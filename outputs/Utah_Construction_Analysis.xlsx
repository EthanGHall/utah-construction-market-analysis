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27699be80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5a0d5a2de464f08"/>
    <x:sheet xmlns:r="http://schemas.openxmlformats.org/officeDocument/2006/relationships" name="County annual" sheetId="2" r:id="R9444d9e3c6bc445c"/>
    <x:sheet xmlns:r="http://schemas.openxmlformats.org/officeDocument/2006/relationships" name="By structure" sheetId="3" r:id="R6d71119eac3e4d83"/>
    <x:sheet xmlns:r="http://schemas.openxmlformats.org/officeDocument/2006/relationships" name="Sources" sheetId="4" r:id="Rb72400dce94548f5"/>
    <x:sheet xmlns:r="http://schemas.openxmlformats.org/officeDocument/2006/relationships" name="Dictionary" sheetId="5" r:id="Rf25eac859e994a28"/>
    <x:sheet xmlns:r="http://schemas.openxmlformats.org/officeDocument/2006/relationships" name="County comparison" sheetId="6" r:id="R730e212477f44955"/>
    <x:sheet xmlns:r="http://schemas.openxmlformats.org/officeDocument/2006/relationships" name="County coverage" sheetId="7" r:id="R4dba21c68b89482a"/>
    <x:sheet xmlns:r="http://schemas.openxmlformats.org/officeDocument/2006/relationships" name="Source comparison" sheetId="8" r:id="Rb1565c5d2a054dca"/>
    <x:sheet xmlns:r="http://schemas.openxmlformats.org/officeDocument/2006/relationships" name="State reconciliation" sheetId="9" r:id="R3c0d15a7219e4807"/>
    <x:sheet xmlns:r="http://schemas.openxmlformats.org/officeDocument/2006/relationships" name="Validation log" sheetId="10" r:id="R7f9ddf326ae74f46"/>
  </x:sheets>
</x:workbook>
</file>

<file path=xl/sharedStrings.xml><?xml version="1.0" encoding="utf-8"?>
<x:sst xmlns:x="http://schemas.openxmlformats.org/spreadsheetml/2006/main">
  <x:si>
    <x:t xml:space="preserve">Utah residential construction | County annual data</x:t>
  </x:si>
  <x:si>
    <x:t xml:space="preserve">2021–2025 analysis • 2020 baseline • estimates include Census imputation • Sources and Dictionary explain the fields</x:t>
  </x:si>
  <x:si>
    <x:t xml:space="preserve">Year</x:t>
  </x:si>
  <x:si>
    <x:t xml:space="preserve">County</x:t>
  </x:si>
  <x:si>
    <x:t xml:space="preserve">County FIPS</x:t>
  </x:si>
  <x:si>
    <x:t xml:space="preserve">1-unit units</x:t>
  </x:si>
  <x:si>
    <x:t xml:space="preserve">2-unit units</x:t>
  </x:si>
  <x:si>
    <x:t xml:space="preserve">3–4-unit units</x:t>
  </x:si>
  <x:si>
    <x:t xml:space="preserve">5+ units</x:t>
  </x:si>
  <x:si>
    <x:t xml:space="preserve">Total units</x:t>
  </x:si>
  <x:si>
    <x:t xml:space="preserve">Multifamily units</x:t>
  </x:si>
  <x:si>
    <x:t xml:space="preserve">Valuation USD</x:t>
  </x:si>
  <x:si>
    <x:t xml:space="preserve">Reported units</x:t>
  </x:si>
  <x:si>
    <x:t xml:space="preserve">Imputed unit share</x:t>
  </x:si>
  <x:si>
    <x:t xml:space="preserve">Period role</x:t>
  </x:si>
  <x:si>
    <x:t xml:space="preserve">Coverage basis</x:t>
  </x:si>
  <x:si>
    <x:t xml:space="preserve">Source ID</x:t>
  </x:si>
  <x:si>
    <x:t xml:space="preserve">Source line</x:t>
  </x:si>
  <x:si>
    <x:t xml:space="preserve">Beaver County</x:t>
  </x:si>
  <x:si>
    <x:t xml:space="preserve">49001</x:t>
  </x:si>
  <x:si>
    <x:t xml:space="preserve">baseline</x:t>
  </x:si>
  <x:si>
    <x:t xml:space="preserve">2014 fixed universe</x:t>
  </x:si>
  <x:si>
    <x:t xml:space="preserve">BPS-CO-2020</x:t>
  </x:si>
  <x:si>
    <x:t xml:space="preserve">Box Elder County</x:t>
  </x:si>
  <x:si>
    <x:t xml:space="preserve">49003</x:t>
  </x:si>
  <x:si>
    <x:t xml:space="preserve">Cache County</x:t>
  </x:si>
  <x:si>
    <x:t xml:space="preserve">49005</x:t>
  </x:si>
  <x:si>
    <x:t xml:space="preserve">Carbon County</x:t>
  </x:si>
  <x:si>
    <x:t xml:space="preserve">49007</x:t>
  </x:si>
  <x:si>
    <x:t xml:space="preserve">Daggett County</x:t>
  </x:si>
  <x:si>
    <x:t xml:space="preserve">49009</x:t>
  </x:si>
  <x:si>
    <x:t xml:space="preserve">Davis County</x:t>
  </x:si>
  <x:si>
    <x:t xml:space="preserve">49011</x:t>
  </x:si>
  <x:si>
    <x:t xml:space="preserve">Duchesne County</x:t>
  </x:si>
  <x:si>
    <x:t xml:space="preserve">49013</x:t>
  </x:si>
  <x:si>
    <x:t xml:space="preserve">Emery County</x:t>
  </x:si>
  <x:si>
    <x:t xml:space="preserve">49015</x:t>
  </x:si>
  <x:si>
    <x:t xml:space="preserve">Garfield County</x:t>
  </x:si>
  <x:si>
    <x:t xml:space="preserve">49017</x:t>
  </x:si>
  <x:si>
    <x:t xml:space="preserve">Grand County</x:t>
  </x:si>
  <x:si>
    <x:t xml:space="preserve">49019</x:t>
  </x:si>
  <x:si>
    <x:t xml:space="preserve">Iron County</x:t>
  </x:si>
  <x:si>
    <x:t xml:space="preserve">49021</x:t>
  </x:si>
  <x:si>
    <x:t xml:space="preserve">Juab County</x:t>
  </x:si>
  <x:si>
    <x:t xml:space="preserve">49023</x:t>
  </x:si>
  <x:si>
    <x:t xml:space="preserve">Kane County</x:t>
  </x:si>
  <x:si>
    <x:t xml:space="preserve">49025</x:t>
  </x:si>
  <x:si>
    <x:t xml:space="preserve">Millard County</x:t>
  </x:si>
  <x:si>
    <x:t xml:space="preserve">49027</x:t>
  </x:si>
  <x:si>
    <x:t xml:space="preserve">Morgan County</x:t>
  </x:si>
  <x:si>
    <x:t xml:space="preserve">49029</x:t>
  </x:si>
  <x:si>
    <x:t xml:space="preserve">Piute County</x:t>
  </x:si>
  <x:si>
    <x:t xml:space="preserve">49031</x:t>
  </x:si>
  <x:si>
    <x:t xml:space="preserve">Rich County</x:t>
  </x:si>
  <x:si>
    <x:t xml:space="preserve">49033</x:t>
  </x:si>
  <x:si>
    <x:t xml:space="preserve">Salt Lake County</x:t>
  </x:si>
  <x:si>
    <x:t xml:space="preserve">49035</x:t>
  </x:si>
  <x:si>
    <x:t xml:space="preserve">San Juan County</x:t>
  </x:si>
  <x:si>
    <x:t xml:space="preserve">49037</x:t>
  </x:si>
  <x:si>
    <x:t xml:space="preserve">Sanpete County</x:t>
  </x:si>
  <x:si>
    <x:t xml:space="preserve">49039</x:t>
  </x:si>
  <x:si>
    <x:t xml:space="preserve">Sevier County</x:t>
  </x:si>
  <x:si>
    <x:t xml:space="preserve">49041</x:t>
  </x:si>
  <x:si>
    <x:t xml:space="preserve">Summit County</x:t>
  </x:si>
  <x:si>
    <x:t xml:space="preserve">49043</x:t>
  </x:si>
  <x:si>
    <x:t xml:space="preserve">Tooele County</x:t>
  </x:si>
  <x:si>
    <x:t xml:space="preserve">49045</x:t>
  </x:si>
  <x:si>
    <x:t xml:space="preserve">Uintah County</x:t>
  </x:si>
  <x:si>
    <x:t xml:space="preserve">49047</x:t>
  </x:si>
  <x:si>
    <x:t xml:space="preserve">Utah County</x:t>
  </x:si>
  <x:si>
    <x:t xml:space="preserve">49049</x:t>
  </x:si>
  <x:si>
    <x:t xml:space="preserve">Wasatch County</x:t>
  </x:si>
  <x:si>
    <x:t xml:space="preserve">49051</x:t>
  </x:si>
  <x:si>
    <x:t xml:space="preserve">Washington County</x:t>
  </x:si>
  <x:si>
    <x:t xml:space="preserve">49053</x:t>
  </x:si>
  <x:si>
    <x:t xml:space="preserve">Wayne County</x:t>
  </x:si>
  <x:si>
    <x:t xml:space="preserve">49055</x:t>
  </x:si>
  <x:si>
    <x:t xml:space="preserve">Weber County</x:t>
  </x:si>
  <x:si>
    <x:t xml:space="preserve">49057</x:t>
  </x:si>
  <x:si>
    <x:t xml:space="preserve">analysis</x:t>
  </x:si>
  <x:si>
    <x:t xml:space="preserve">BPS-CO-2021</x:t>
  </x:si>
  <x:si>
    <x:t xml:space="preserve">BPS-CO-2022</x:t>
  </x:si>
  <x:si>
    <x:t xml:space="preserve">annually updated universe</x:t>
  </x:si>
  <x:si>
    <x:t xml:space="preserve">BPS-CO-2023</x:t>
  </x:si>
  <x:si>
    <x:t xml:space="preserve">BPS-CO-2024</x:t>
  </x:si>
  <x:si>
    <x:t xml:space="preserve">BPS-CO-2025</x:t>
  </x:si>
  <x:si>
    <x:t xml:space="preserve">Utah residential construction | Structure detail</x:t>
  </x:si>
  <x:si>
    <x:t xml:space="preserve">Four structure types per county and year • estimated measures already include reported data • do not add both blocks</x:t>
  </x:si>
  <x:si>
    <x:t xml:space="preserve">Structure type</x:t>
  </x:si>
  <x:si>
    <x:t xml:space="preserve">Est. buildings</x:t>
  </x:si>
  <x:si>
    <x:t xml:space="preserve">Est. units</x:t>
  </x:si>
  <x:si>
    <x:t xml:space="preserve">Est. valuation USD</x:t>
  </x:si>
  <x:si>
    <x:t xml:space="preserve">Reported buildings</x:t>
  </x:si>
  <x:si>
    <x:t xml:space="preserve">Reported valuation USD</x:t>
  </x:si>
  <x:si>
    <x:t xml:space="preserve">1-unit</x:t>
  </x:si>
  <x:si>
    <x:t xml:space="preserve">2-unit</x:t>
  </x:si>
  <x:si>
    <x:t xml:space="preserve">3-4-unit</x:t>
  </x:si>
  <x:si>
    <x:t xml:space="preserve">5-plus-unit</x:t>
  </x:si>
  <x:si>
    <x:t xml:space="preserve">Source register | U.S. Census Bureau</x:t>
  </x:si>
  <x:si>
    <x:t xml:space="preserve">Downloaded October 1, 2026 • unchanged originals are included in the package • source IDs connect records to their origin</x:t>
  </x:si>
  <x:si>
    <x:t xml:space="preserve">Source title</x:t>
  </x:si>
  <x:si>
    <x:t xml:space="preserve">Original URL</x:t>
  </x:si>
  <x:si>
    <x:t xml:space="preserve">Local snapshot</x:t>
  </x:si>
  <x:si>
    <x:t xml:space="preserve">Retrieved at UTC</x:t>
  </x:si>
  <x:si>
    <x:t xml:space="preserve">SHA-256</x:t>
  </x:si>
  <x:si>
    <x:t xml:space="preserve">Census BPS county annual file, 2020</x:t>
  </x:si>
  <x:si>
    <x:t xml:space="preserve">https://www2.census.gov/econ/bps/County/co2020a.txt</x:t>
  </x:si>
  <x:si>
    <x:t xml:space="preserve">raw/county/co2020a.txt</x:t>
  </x:si>
  <x:si>
    <x:t xml:space="preserve">04efba6d3ffecd19340dece9d76d01343f8b97647617c79422c04e227e2d7293</x:t>
  </x:si>
  <x:si>
    <x:t xml:space="preserve">BPS-ST-2020</x:t>
  </x:si>
  <x:si>
    <x:t xml:space="preserve">Census BPS state annual file, 2020</x:t>
  </x:si>
  <x:si>
    <x:t xml:space="preserve">https://www2.census.gov/econ/bps/State/st2020a.txt</x:t>
  </x:si>
  <x:si>
    <x:t xml:space="preserve">raw/state/st2020a.txt</x:t>
  </x:si>
  <x:si>
    <x:t xml:space="preserve">446533087cb10997e488f081d05a2f04179468a04bd543316c0167763965cfd4</x:t>
  </x:si>
  <x:si>
    <x:t xml:space="preserve">Census BPS county annual file, 2021</x:t>
  </x:si>
  <x:si>
    <x:t xml:space="preserve">https://www2.census.gov/econ/bps/County/co2021a.txt</x:t>
  </x:si>
  <x:si>
    <x:t xml:space="preserve">raw/county/co2021a.txt</x:t>
  </x:si>
  <x:si>
    <x:t xml:space="preserve">ce2c9aa7b7c036ddbc99d6dc398ddf71e4a0ad0fc2782db883b559ca264f14b6</x:t>
  </x:si>
  <x:si>
    <x:t xml:space="preserve">BPS-ST-2021</x:t>
  </x:si>
  <x:si>
    <x:t xml:space="preserve">Census BPS state annual file, 2021</x:t>
  </x:si>
  <x:si>
    <x:t xml:space="preserve">https://www2.census.gov/econ/bps/State/st2021a.txt</x:t>
  </x:si>
  <x:si>
    <x:t xml:space="preserve">raw/state/st2021a.txt</x:t>
  </x:si>
  <x:si>
    <x:t xml:space="preserve">82fea768a93c91a702c91727d8dea64d2573f835dc9858b11d0e63a4092c524b</x:t>
  </x:si>
  <x:si>
    <x:t xml:space="preserve">Census BPS county annual file, 2022</x:t>
  </x:si>
  <x:si>
    <x:t xml:space="preserve">https://www2.census.gov/econ/bps/County/co2022a.txt</x:t>
  </x:si>
  <x:si>
    <x:t xml:space="preserve">raw/county/co2022a.txt</x:t>
  </x:si>
  <x:si>
    <x:t xml:space="preserve">0a88c16861ede81b04f8785e1c626e772510f33f1de9452f7592d86d308e2b5c</x:t>
  </x:si>
  <x:si>
    <x:t xml:space="preserve">BPS-ST-2022</x:t>
  </x:si>
  <x:si>
    <x:t xml:space="preserve">Census BPS state annual file, 2022</x:t>
  </x:si>
  <x:si>
    <x:t xml:space="preserve">https://www2.census.gov/econ/bps/State/st2022a.txt</x:t>
  </x:si>
  <x:si>
    <x:t xml:space="preserve">raw/state/st2022a.txt</x:t>
  </x:si>
  <x:si>
    <x:t xml:space="preserve">c973dde1f227de2c825ac0ce20b604979291080c7a1f70e9c953bf5a13980790</x:t>
  </x:si>
  <x:si>
    <x:t xml:space="preserve">Census BPS county annual file, 2023</x:t>
  </x:si>
  <x:si>
    <x:t xml:space="preserve">https://www2.census.gov/econ/bps/County/co2023a.txt</x:t>
  </x:si>
  <x:si>
    <x:t xml:space="preserve">raw/county/co2023a.txt</x:t>
  </x:si>
  <x:si>
    <x:t xml:space="preserve">fab11d759e905ff61838b8dfa41c0f2082e150cad07a20c65ddd620a007aa158</x:t>
  </x:si>
  <x:si>
    <x:t xml:space="preserve">BPS-ST-2023</x:t>
  </x:si>
  <x:si>
    <x:t xml:space="preserve">Census BPS state annual file, 2023</x:t>
  </x:si>
  <x:si>
    <x:t xml:space="preserve">https://www2.census.gov/econ/bps/State/st2023a.txt</x:t>
  </x:si>
  <x:si>
    <x:t xml:space="preserve">raw/state/st2023a.txt</x:t>
  </x:si>
  <x:si>
    <x:t xml:space="preserve">c3915919cc2b58ccb2be6c9e6000f064236aeaa9d032f9352d60c0f484b4a583</x:t>
  </x:si>
  <x:si>
    <x:t xml:space="preserve">Census BPS county annual file, 2024</x:t>
  </x:si>
  <x:si>
    <x:t xml:space="preserve">https://www2.census.gov/econ/bps/County/co2024a.txt</x:t>
  </x:si>
  <x:si>
    <x:t xml:space="preserve">raw/county/co2024a.txt</x:t>
  </x:si>
  <x:si>
    <x:t xml:space="preserve">a64c2dd19be96c469763c10d637575a584ef16a6878f451bba80c847bcafc8c6</x:t>
  </x:si>
  <x:si>
    <x:t xml:space="preserve">BPS-ST-2024</x:t>
  </x:si>
  <x:si>
    <x:t xml:space="preserve">Census BPS state annual file, 2024</x:t>
  </x:si>
  <x:si>
    <x:t xml:space="preserve">https://www2.census.gov/econ/bps/State/st2024a.txt</x:t>
  </x:si>
  <x:si>
    <x:t xml:space="preserve">raw/state/st2024a.txt</x:t>
  </x:si>
  <x:si>
    <x:t xml:space="preserve">8dd34fb3bc362a0d6c1e6832161432dd833aff9be49ebebc128335635c59e7d0</x:t>
  </x:si>
  <x:si>
    <x:t xml:space="preserve">Census BPS county annual file, 2025</x:t>
  </x:si>
  <x:si>
    <x:t xml:space="preserve">https://www2.census.gov/econ/bps/County/co2025a.txt</x:t>
  </x:si>
  <x:si>
    <x:t xml:space="preserve">raw/county/co2025a.txt</x:t>
  </x:si>
  <x:si>
    <x:t xml:space="preserve">5d523b1ff172c886ee7f2bc770c82c8c5470b5aaaec5f63441a18c621c80b30e</x:t>
  </x:si>
  <x:si>
    <x:t xml:space="preserve">BPS-ST-2025</x:t>
  </x:si>
  <x:si>
    <x:t xml:space="preserve">Census BPS state annual file, 2025</x:t>
  </x:si>
  <x:si>
    <x:t xml:space="preserve">https://www2.census.gov/econ/bps/State/st2025a.txt</x:t>
  </x:si>
  <x:si>
    <x:t xml:space="preserve">raw/state/st2025a.txt</x:t>
  </x:si>
  <x:si>
    <x:t xml:space="preserve">eab29258ada8389b9f469c566eb6eb074cf128aa94c471e89f818a20a4d83afb</x:t>
  </x:si>
  <x:si>
    <x:t xml:space="preserve">DOC-CNTYASC</x:t>
  </x:si>
  <x:si>
    <x:t xml:space="preserve">County ASCII file layout</x:t>
  </x:si>
  <x:si>
    <x:t xml:space="preserve">https://www2.census.gov/econ/bps/Documentation/cntyasc.pdf</x:t>
  </x:si>
  <x:si>
    <x:t xml:space="preserve">sources/cntyasc.pdf</x:t>
  </x:si>
  <x:si>
    <x:t xml:space="preserve">21653ec1dc0f9a0a2a610f6698e004d40cdcab9855aeec766ace8ce81f30b2e8</x:t>
  </x:si>
  <x:si>
    <x:t xml:space="preserve">DOC-STATEASC</x:t>
  </x:si>
  <x:si>
    <x:t xml:space="preserve">State ASCII file layout</x:t>
  </x:si>
  <x:si>
    <x:t xml:space="preserve">https://www2.census.gov/econ/bps/Documentation/stateasc.pdf</x:t>
  </x:si>
  <x:si>
    <x:t xml:space="preserve">sources/stateasc.pdf</x:t>
  </x:si>
  <x:si>
    <x:t xml:space="preserve">c80b331127952f2ca0eead1c63ebfa632facad0095ef2e3038140079d41a8cb4</x:t>
  </x:si>
  <x:si>
    <x:t xml:space="preserve">DOC-2022-UPDATE</x:t>
  </x:si>
  <x:si>
    <x:t xml:space="preserve">2022 county file revision notice</x:t>
  </x:si>
  <x:si>
    <x:t xml:space="preserve">https://www2.census.gov/econ/bps/County/co2022aupdatednotice.txt</x:t>
  </x:si>
  <x:si>
    <x:t xml:space="preserve">sources/co2022aupdatednotice.txt</x:t>
  </x:si>
  <x:si>
    <x:t xml:space="preserve">bc83046236dd0647eb2b4edf7133348de67c0fd81f49b2a3dcd1b38e25df0142</x:t>
  </x:si>
  <x:si>
    <x:t xml:space="preserve">DOC-DEFINITIONS</x:t>
  </x:si>
  <x:si>
    <x:t xml:space="preserve">Building Permits Survey definitions</x:t>
  </x:si>
  <x:si>
    <x:t xml:space="preserve">https://www.census.gov/construction/bps/definitions.html</x:t>
  </x:si>
  <x:si>
    <x:t xml:space="preserve">sources/definitions.html</x:t>
  </x:si>
  <x:si>
    <x:t xml:space="preserve">8cd51d879cd8341daada8c8e2c0c811dd629c7b3848a496ca7c37a910f0b3e0a</x:t>
  </x:si>
  <x:si>
    <x:t xml:space="preserve">DOC-METHODOLOGY</x:t>
  </x:si>
  <x:si>
    <x:t xml:space="preserve">Building Permits Survey methodology</x:t>
  </x:si>
  <x:si>
    <x:t xml:space="preserve">https://www.census.gov/construction/bps/methodology.html</x:t>
  </x:si>
  <x:si>
    <x:t xml:space="preserve">sources/methodology.html</x:t>
  </x:si>
  <x:si>
    <x:t xml:space="preserve">3fc799ee772ad82198cf4307b2eb1af054113fbd5f7d683f6dbba6afc77f39e7</x:t>
  </x:si>
  <x:si>
    <x:t xml:space="preserve">DOC-ANNOUNCEMENTS</x:t>
  </x:si>
  <x:si>
    <x:t xml:space="preserve">Building Permits Survey announcements</x:t>
  </x:si>
  <x:si>
    <x:t xml:space="preserve">https://www.census.gov/construction/bps/announcements.html</x:t>
  </x:si>
  <x:si>
    <x:t xml:space="preserve">sources/announcements.html</x:t>
  </x:si>
  <x:si>
    <x:t xml:space="preserve">6f4ef838806ae776a4535d7d2426dc3cdb072196caa8cf5cc0d1f40f5bb748d3</x:t>
  </x:si>
  <x:si>
    <x:t xml:space="preserve">DOC-BPS-HOME</x:t>
  </x:si>
  <x:si>
    <x:t xml:space="preserve">Building Permits Survey home page</x:t>
  </x:si>
  <x:si>
    <x:t xml:space="preserve">https://www.census.gov/construction/bps/index.html</x:t>
  </x:si>
  <x:si>
    <x:t xml:space="preserve">sources/bps_home.html</x:t>
  </x:si>
  <x:si>
    <x:t xml:space="preserve">588752df4f306456e012485fd4b40296e70842557003d9464d449ff58af36f97</x:t>
  </x:si>
  <x:si>
    <x:t xml:space="preserve">DOC-2023-FAQ</x:t>
  </x:si>
  <x:si>
    <x:t xml:space="preserve">2023 universe change frequently asked questions</x:t>
  </x:si>
  <x:si>
    <x:t xml:space="preserve">https://www.census.gov/construction/pdf/bps_2023_faqs.pdf</x:t>
  </x:si>
  <x:si>
    <x:t xml:space="preserve">sources/bps_2023_faqs.pdf</x:t>
  </x:si>
  <x:si>
    <x:t xml:space="preserve">19dda7b27ce99d42788d898f2c0b19eec6ef9509fd54d6d3620077f1e5714a4e</x:t>
  </x:si>
  <x:si>
    <x:t xml:space="preserve">DOC-C404-FORM</x:t>
  </x:si>
  <x:si>
    <x:t xml:space="preserve">C-404 building permits survey sample form</x:t>
  </x:si>
  <x:si>
    <x:t xml:space="preserve">https://www.census.gov/construction/bps/pdf/c404_06142024_sample_final.pdf</x:t>
  </x:si>
  <x:si>
    <x:t xml:space="preserve">sources/c404_sample.pdf</x:t>
  </x:si>
  <x:si>
    <x:t xml:space="preserve">f419cc2cf6f92772d11ced2ae060f69bdbb60ef80ee55159f68466ee5b94ac9b</x:t>
  </x:si>
  <x:si>
    <x:t xml:space="preserve">Data dictionary | CSV field definitions</x:t>
  </x:si>
  <x:si>
    <x:t xml:space="preserve">Filter Dataset to see one table • amounts are nominal USD unless explicitly labeled thousand USD • FIPS identifiers are text</x:t>
  </x:si>
  <x:si>
    <x:t xml:space="preserve">Dataset</x:t>
  </x:si>
  <x:si>
    <x:t xml:space="preserve">Field</x:t>
  </x:si>
  <x:si>
    <x:t xml:space="preserve">Data type</x:t>
  </x:si>
  <x:si>
    <x:t xml:space="preserve">Unit</x:t>
  </x:si>
  <x:si>
    <x:t xml:space="preserve">Definition</x:t>
  </x:si>
  <x:si>
    <x:t xml:space="preserve">Source or derivation</x:t>
  </x:si>
  <x:si>
    <x:t xml:space="preserve">county_annual</x:t>
  </x:si>
  <x:si>
    <x:t xml:space="preserve">year</x:t>
  </x:si>
  <x:si>
    <x:t xml:space="preserve">integer</x:t>
  </x:si>
  <x:si>
    <x:t xml:space="preserve">calendar year</x:t>
  </x:si>
  <x:si>
    <x:t xml:space="preserve">Annual period; 2020 is only the growth baseline.</x:t>
  </x:si>
  <x:si>
    <x:t xml:space="preserve">County field 1; state field 1 uses YYYY99.</x:t>
  </x:si>
  <x:si>
    <x:t xml:space="preserve">state_fips</x:t>
  </x:si>
  <x:si>
    <x:t xml:space="preserve">text</x:t>
  </x:si>
  <x:si>
    <x:t xml:space="preserve">code</x:t>
  </x:si>
  <x:si>
    <x:t xml:space="preserve">Two-character state identifier; Utah is 49.</x:t>
  </x:si>
  <x:si>
    <x:t xml:space="preserve">County/state field 2.</x:t>
  </x:si>
  <x:si>
    <x:t xml:space="preserve">county_fips</x:t>
  </x:si>
  <x:si>
    <x:t xml:space="preserve">Three-character county identifier; preserve leading zeros.</x:t>
  </x:si>
  <x:si>
    <x:t xml:space="preserve">County field 3.</x:t>
  </x:si>
  <x:si>
    <x:t xml:space="preserve">county_fips5</x:t>
  </x:si>
  <x:si>
    <x:t xml:space="preserve">Five-character unique county identifier.</x:t>
  </x:si>
  <x:si>
    <x:t xml:space="preserve">state_fips + county_fips; primary-key component.</x:t>
  </x:si>
  <x:si>
    <x:t xml:space="preserve">county_name</x:t>
  </x:si>
  <x:si>
    <x:t xml:space="preserve">name</x:t>
  </x:si>
  <x:si>
    <x:t xml:space="preserve">Census county name, with leading/trailing spaces removed.</x:t>
  </x:si>
  <x:si>
    <x:t xml:space="preserve">County field 6.</x:t>
  </x:si>
  <x:si>
    <x:t xml:space="preserve">single_family_units</x:t>
  </x:si>
  <x:si>
    <x:t xml:space="preserve">count</x:t>
  </x:si>
  <x:si>
    <x:t xml:space="preserve">Units in 1-unit buildings, including qualifying attached homes.</x:t>
  </x:si>
  <x:si>
    <x:t xml:space="preserve">county_by_structure estimated_units for 101.</x:t>
  </x:si>
  <x:si>
    <x:t xml:space="preserve">two_unit_units</x:t>
  </x:si>
  <x:si>
    <x:t xml:space="preserve">Units in 2-unit buildings.</x:t>
  </x:si>
  <x:si>
    <x:t xml:space="preserve">county_by_structure estimated_units for 103.</x:t>
  </x:si>
  <x:si>
    <x:t xml:space="preserve">three_four_unit_units</x:t>
  </x:si>
  <x:si>
    <x:t xml:space="preserve">Units in 3-4-unit buildings.</x:t>
  </x:si>
  <x:si>
    <x:t xml:space="preserve">county_by_structure estimated_units for 104.</x:t>
  </x:si>
  <x:si>
    <x:t xml:space="preserve">five_plus_unit_units</x:t>
  </x:si>
  <x:si>
    <x:t xml:space="preserve">Units in buildings containing at least 5 units.</x:t>
  </x:si>
  <x:si>
    <x:t xml:space="preserve">county_by_structure estimated_units for 105.</x:t>
  </x:si>
  <x:si>
    <x:t xml:space="preserve">total_buildings</x:t>
  </x:si>
  <x:si>
    <x:t xml:space="preserve">Total estimated residential buildings authorized.</x:t>
  </x:si>
  <x:si>
    <x:t xml:space="preserve">Sum estimated_buildings across all four structure types.</x:t>
  </x:si>
  <x:si>
    <x:t xml:space="preserve">total_units</x:t>
  </x:si>
  <x:si>
    <x:t xml:space="preserve">Total estimated housing units authorized; includes imputation.</x:t>
  </x:si>
  <x:si>
    <x:t xml:space="preserve">Sum estimated_units across all four structure types.</x:t>
  </x:si>
  <x:si>
    <x:t xml:space="preserve">multifamily_units</x:t>
  </x:si>
  <x:si>
    <x:t xml:space="preserve">Estimated units in structures containing two or more units.</x:t>
  </x:si>
  <x:si>
    <x:t xml:space="preserve">two_unit_units + three_four_unit_units + five_plus_unit_units.</x:t>
  </x:si>
  <x:si>
    <x:t xml:space="preserve">total_valuation_usd</x:t>
  </x:si>
  <x:si>
    <x:t xml:space="preserve">USD</x:t>
  </x:si>
  <x:si>
    <x:t xml:space="preserve">Total estimated nominal permit valuation.</x:t>
  </x:si>
  <x:si>
    <x:t xml:space="preserve">Sum estimated_valuation_usd across all four structure types.</x:t>
  </x:si>
  <x:si>
    <x:t xml:space="preserve">reported_buildings</x:t>
  </x:si>
  <x:si>
    <x:t xml:space="preserve">Reported-only residential buildings authorized.</x:t>
  </x:si>
  <x:si>
    <x:t xml:space="preserve">Sum reported_buildings across all four structure types.</x:t>
  </x:si>
  <x:si>
    <x:t xml:space="preserve">reported_units</x:t>
  </x:si>
  <x:si>
    <x:t xml:space="preserve">Reported-only housing units authorized.</x:t>
  </x:si>
  <x:si>
    <x:t xml:space="preserve">Sum reported_units across all four structure types.</x:t>
  </x:si>
  <x:si>
    <x:t xml:space="preserve">reported_valuation_usd</x:t>
  </x:si>
  <x:si>
    <x:t xml:space="preserve">Reported-only nominal permit valuation.</x:t>
  </x:si>
  <x:si>
    <x:t xml:space="preserve">Sum reported_valuation_usd across all four structure types.</x:t>
  </x:si>
  <x:si>
    <x:t xml:space="preserve">imputed_units</x:t>
  </x:si>
  <x:si>
    <x:t xml:space="preserve">Units added through Census imputation.</x:t>
  </x:si>
  <x:si>
    <x:t xml:space="preserve">total_units - reported_units.</x:t>
  </x:si>
  <x:si>
    <x:t xml:space="preserve">imputed_unit_share</x:t>
  </x:si>
  <x:si>
    <x:t xml:space="preserve">decimal / nullable</x:t>
  </x:si>
  <x:si>
    <x:t xml:space="preserve">proportion 0-1</x:t>
  </x:si>
  <x:si>
    <x:t xml:space="preserve">Share of estimated units contributed by imputation; not an office response rate or confidence score.</x:t>
  </x:si>
  <x:si>
    <x:t xml:space="preserve">imputed_units / total_units; blank if total_units is zero.</x:t>
  </x:si>
  <x:si>
    <x:t xml:space="preserve">period_role</x:t>
  </x:si>
  <x:si>
    <x:t xml:space="preserve">category</x:t>
  </x:si>
  <x:si>
    <x:t xml:space="preserve">baseline for 2020; analysis for 2021-2025.</x:t>
  </x:si>
  <x:si>
    <x:t xml:space="preserve">Assigned from year; exclude baseline from five-year averages/rankings.</x:t>
  </x:si>
  <x:si>
    <x:t xml:space="preserve">coverage_basis</x:t>
  </x:si>
  <x:si>
    <x:t xml:space="preserve">method</x:t>
  </x:si>
  <x:si>
    <x:t xml:space="preserve">Survey permit-office universe used for the annual estimate.</x:t>
  </x:si>
  <x:si>
    <x:t xml:space="preserve">2014 fixed universe through 2022; annually updated from 2023. See DOC-2023-FAQ.</x:t>
  </x:si>
  <x:si>
    <x:t xml:space="preserve">source_id</x:t>
  </x:si>
  <x:si>
    <x:t xml:space="preserve">key</x:t>
  </x:si>
  <x:si>
    <x:t xml:space="preserve">Join to sources/download_manifest.csv to find URL and retrieval metadata.</x:t>
  </x:si>
  <x:si>
    <x:t xml:space="preserve">Annual county BPS-CO-YYYY or state BPS-ST-YYYY.</x:t>
  </x:si>
  <x:si>
    <x:t xml:space="preserve">source_file</x:t>
  </x:si>
  <x:si>
    <x:t xml:space="preserve">relative path</x:t>
  </x:si>
  <x:si>
    <x:t xml:space="preserve">Location of unchanged original file inside this package.</x:t>
  </x:si>
  <x:si>
    <x:t xml:space="preserve">raw/county/coYYYYa.txt or raw/state/stYYYYa.txt.</x:t>
  </x:si>
  <x:si>
    <x:t xml:space="preserve">source_line</x:t>
  </x:si>
  <x:si>
    <x:t xml:space="preserve">line number</x:t>
  </x:si>
  <x:si>
    <x:t xml:space="preserve">One-based physical source line including header rows.</x:t>
  </x:si>
  <x:si>
    <x:t xml:space="preserve">Recorded while parsing original text file.</x:t>
  </x:si>
  <x:si>
    <x:t xml:space="preserve">county_by_structure</x:t>
  </x:si>
  <x:si>
    <x:t xml:space="preserve">structure_code</x:t>
  </x:si>
  <x:si>
    <x:t xml:space="preserve">101 = 1 unit; 103 = 2 units; 104 = 3-4 units; 105 = 5+ units.</x:t>
  </x:si>
  <x:si>
    <x:t xml:space="preserve">C-404 item codes assigned from source column groups.</x:t>
  </x:si>
  <x:si>
    <x:t xml:space="preserve">structure_type</x:t>
  </x:si>
  <x:si>
    <x:t xml:space="preserve">Number of housing units per residential building.</x:t>
  </x:si>
  <x:si>
    <x:t xml:space="preserve">Mapped from structure_code.</x:t>
  </x:si>
  <x:si>
    <x:t xml:space="preserve">housing_group</x:t>
  </x:si>
  <x:si>
    <x:t xml:space="preserve">single_family = code 101; multifamily = codes 103/104/105.</x:t>
  </x:si>
  <x:si>
    <x:t xml:space="preserve">Mapped from structure_code; single family includes qualifying attached homes.</x:t>
  </x:si>
  <x:si>
    <x:t xml:space="preserve">estimated_buildings</x:t>
  </x:si>
  <x:si>
    <x:t xml:space="preserve">Residential buildings authorized; not individual permit-document counts. Includes reported data and Census imputation.</x:t>
  </x:si>
  <x:si>
    <x:t xml:space="preserve">County fields 7, 10, 13, 16, respectively for codes 101/103/104/105.</x:t>
  </x:si>
  <x:si>
    <x:t xml:space="preserve">estimated_units</x:t>
  </x:si>
  <x:si>
    <x:t xml:space="preserve">Housing units authorized within residential buildings. Includes reported data and Census imputation.</x:t>
  </x:si>
  <x:si>
    <x:t xml:space="preserve">County fields 8, 11, 14, 17, respectively for codes 101/103/104/105.</x:t>
  </x:si>
  <x:si>
    <x:t xml:space="preserve">estimated_valuation_usd</x:t>
  </x:si>
  <x:si>
    <x:t xml:space="preserve">Permit valuation in whole nominal U.S. dollars; not sales, profit, or inflation-adjusted cost. Includes reported data and Census imputation.</x:t>
  </x:si>
  <x:si>
    <x:t xml:space="preserve">County fields 9, 12, 15, 18, respectively for codes 101/103/104/105.</x:t>
  </x:si>
  <x:si>
    <x:t xml:space="preserve">Residential buildings authorized; not individual permit-document counts. Reported-only data; excludes Census imputation.</x:t>
  </x:si>
  <x:si>
    <x:t xml:space="preserve">County fields 19, 22, 25, 28, respectively for codes 101/103/104/105.</x:t>
  </x:si>
  <x:si>
    <x:t xml:space="preserve">Housing units authorized within residential buildings. Reported-only data; excludes Census imputation.</x:t>
  </x:si>
  <x:si>
    <x:t xml:space="preserve">County fields 20, 23, 26, 29, respectively for codes 101/103/104/105.</x:t>
  </x:si>
  <x:si>
    <x:t xml:space="preserve">Permit valuation in whole nominal U.S. dollars; not sales, profit, or inflation-adjusted cost. Reported-only data; excludes Census imputation.</x:t>
  </x:si>
  <x:si>
    <x:t xml:space="preserve">County fields 21, 24, 27, 30, respectively for codes 101/103/104/105.</x:t>
  </x:si>
  <x:si>
    <x:t xml:space="preserve">counties</x:t>
  </x:si>
  <x:si>
    <x:t xml:space="preserve">utah_state_controls</x:t>
  </x:si>
  <x:si>
    <x:t xml:space="preserve">state_name</x:t>
  </x:si>
  <x:si>
    <x:t xml:space="preserve">State name.</x:t>
  </x:si>
  <x:si>
    <x:t xml:space="preserve">State field 5.</x:t>
  </x:si>
  <x:si>
    <x:t xml:space="preserve">Estimated state buildings; separate state-file control.</x:t>
  </x:si>
  <x:si>
    <x:t xml:space="preserve">State fields 6, 9, 12, 15, respectively for codes 101/103/104/105.</x:t>
  </x:si>
  <x:si>
    <x:t xml:space="preserve">Estimated state units; separate state-file control.</x:t>
  </x:si>
  <x:si>
    <x:t xml:space="preserve">State fields 7, 10, 13, 16, respectively for codes 101/103/104/105.</x:t>
  </x:si>
  <x:si>
    <x:t xml:space="preserve">estimated_valuation_thousand_usd</x:t>
  </x:si>
  <x:si>
    <x:t xml:space="preserve">thousand USD</x:t>
  </x:si>
  <x:si>
    <x:t xml:space="preserve">Estimated state valuation thousand usd; separate state-file control.</x:t>
  </x:si>
  <x:si>
    <x:t xml:space="preserve">State fields 8, 11, 14, 17, respectively for codes 101/103/104/105.</x:t>
  </x:si>
  <x:si>
    <x:t xml:space="preserve">Estimated state valuation converted from rounded thousands; a reconciliation control.</x:t>
  </x:si>
  <x:si>
    <x:t xml:space="preserve">estimated_valuation_thousand_usd * 1000.</x:t>
  </x:si>
  <x:si>
    <x:t xml:space="preserve">Reported state buildings; separate state-file control.</x:t>
  </x:si>
  <x:si>
    <x:t xml:space="preserve">State fields 18, 21, 24, 27, respectively for codes 101/103/104/105.</x:t>
  </x:si>
  <x:si>
    <x:t xml:space="preserve">Reported state units; separate state-file control.</x:t>
  </x:si>
  <x:si>
    <x:t xml:space="preserve">State fields 19, 22, 25, 28, respectively for codes 101/103/104/105.</x:t>
  </x:si>
  <x:si>
    <x:t xml:space="preserve">reported_valuation_thousand_usd</x:t>
  </x:si>
  <x:si>
    <x:t xml:space="preserve">Reported state valuation thousand usd; separate state-file control.</x:t>
  </x:si>
  <x:si>
    <x:t xml:space="preserve">State fields 20, 23, 26, 29, respectively for codes 101/103/104/105.</x:t>
  </x:si>
  <x:si>
    <x:t xml:space="preserve">Reported state valuation converted from rounded thousands; a reconciliation control.</x:t>
  </x:si>
  <x:si>
    <x:t xml:space="preserve">reported_valuation_thousand_usd * 1000.</x:t>
  </x:si>
</x:sst>
</file>

<file path=xl/styles.xml><?xml version="1.0" encoding="utf-8"?>
<x:styleSheet xmlns:x="http://schemas.openxmlformats.org/spreadsheetml/2006/main">
  <x:numFmts count="9">
    <x:numFmt numFmtId="164" formatCode="\$#,##0"/>
    <x:numFmt numFmtId="165" formatCode="0.0%"/>
    <x:numFmt numFmtId="200" formatCode="yyyy-mm-dd hh:mm:ss"/>
    <x:numFmt numFmtId="201" formatCode="0"/>
    <x:numFmt numFmtId="202" formatCode="#,##0;[Red](#,##0);–"/>
    <x:numFmt numFmtId="203" formatCode="#,##0.0"/>
    <x:numFmt numFmtId="204" formatCode="0.0%;[Red](0.0%);–"/>
    <x:numFmt numFmtId="205" formatCode="@"/>
    <x:numFmt numFmtId="206" formatCode="$#,##0;[Red]($#,##0);–"/>
  </x:numFmts>
  <x:fonts count="14">
    <x:font>
      <x:sz val="11"/>
      <x:name val="Carlito"/>
    </x:font>
    <x:font>
      <x:sz val="10"/>
      <x:color rgb="FF253746"/>
      <x:name val="Arial"/>
    </x:font>
    <x:font>
      <x:b/>
      <x:sz val="16"/>
      <x:color rgb="FF17324D"/>
      <x:name val="Arial"/>
    </x:font>
    <x:font>
      <x:sz val="10"/>
      <x:color rgb="FF617489"/>
      <x:name val="Arial"/>
    </x:font>
    <x:font>
      <x:b/>
      <x:sz val="10"/>
      <x:color rgb="FFFFFFFF"/>
      <x:name val="Arial"/>
    </x:font>
    <x:font>
      <x:sz val="11"/>
      <x:color rgb="FF253746"/>
      <x:name val="Arial"/>
    </x:font>
    <x:font>
      <x:sz val="11"/>
      <x:color rgb="FF617489"/>
      <x:name val="Arial"/>
    </x:font>
    <x:font>
      <x:b/>
      <x:sz val="11"/>
      <x:color rgb="FF17324D"/>
      <x:name val="Arial"/>
    </x:font>
    <x:font>
      <x:sz val="10"/>
      <x:color rgb="FF203445"/>
      <x:name val="Arial"/>
    </x:font>
    <x:font>
      <x:b/>
      <x:sz val="16"/>
      <x:color rgb="FF18364D"/>
      <x:name val="Arial"/>
    </x:font>
    <x:font>
      <x:i/>
      <x:sz val="10"/>
      <x:color rgb="FF617486"/>
      <x:name val="Arial"/>
    </x:font>
    <x:font>
      <x:b/>
      <x:sz val="10"/>
      <x:color rgb="FF18364D"/>
      <x:name val="Arial"/>
    </x:font>
    <x:font>
      <x:b/>
      <x:sz val="14"/>
      <x:color rgb="FF18364D"/>
      <x:name val="Arial"/>
    </x:font>
    <x:font>
      <x:sz val="10"/>
      <x:color rgb="FF61748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EF4F7"/>
      </x:patternFill>
    </x:fill>
    <x:fill>
      <x:patternFill patternType="solid">
        <x:fgColor rgb="FF18364D"/>
      </x:patternFill>
    </x:fill>
    <x:fill>
      <x:patternFill patternType="solid">
        <x:fgColor rgb="FFDFE9F1"/>
      </x:patternFill>
    </x:fill>
    <x:fill>
      <x:patternFill patternType="solid">
        <x:fgColor rgb="FFEEF3F7"/>
      </x:patternFill>
    </x:fill>
  </x:fills>
  <x:borders count="5">
    <x:border/>
    <x:border>
      <x:bottom style="thin">
        <x:color rgb="FFBCD0DF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80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4" fillId="3" borderId="0" xfId="0" applyFont="1" applyFill="1" applyAlignment="1">
      <x:alignment vertical="center" wrapText="1"/>
    </x:xf>
    <x:xf numFmtId="0" fontId="1" fillId="4" borderId="0" xfId="0" applyFont="1" applyFill="1" applyAlignment="1">
      <x:alignment vertical="center"/>
    </x:xf>
    <x:xf numFmtId="49" fontId="1" fillId="4" borderId="0" xfId="0" applyNumberFormat="1" applyFont="1" applyFill="1" applyAlignment="1">
      <x:alignment vertical="center"/>
    </x:xf>
    <x:xf numFmtId="49" fontId="1" fillId="2" borderId="0" xfId="0" applyNumberFormat="1" applyFont="1" applyFill="1" applyAlignment="1">
      <x:alignment vertical="center"/>
    </x:xf>
    <x:xf numFmtId="3" fontId="1" fillId="4" borderId="0" xfId="0" applyNumberFormat="1" applyFont="1" applyFill="1" applyAlignment="1">
      <x:alignment vertical="center"/>
    </x:xf>
    <x:xf numFmtId="3" fontId="1" fillId="2" borderId="0" xfId="0" applyNumberFormat="1" applyFont="1" applyFill="1" applyAlignment="1">
      <x:alignment vertical="center"/>
    </x:xf>
    <x:xf numFmtId="164" fontId="1" fillId="4" borderId="0" xfId="0" applyNumberFormat="1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5" fontId="1" fillId="4" borderId="0" xfId="0" applyNumberFormat="1" applyFont="1" applyFill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" fontId="1" fillId="4" borderId="0" xfId="0" applyNumberFormat="1" applyFont="1" applyFill="1" applyAlignment="1">
      <x:alignment vertical="center"/>
    </x:xf>
    <x:xf numFmtId="1" fontId="1" fillId="2" borderId="0" xfId="0" applyNumberFormat="1" applyFont="1" applyFill="1" applyAlignment="1">
      <x:alignment vertical="center"/>
    </x:xf>
    <x:xf numFmtId="0" fontId="1" fillId="4" borderId="0" xfId="0" applyFont="1" applyFill="1" applyAlignment="1">
      <x:alignment vertical="center" wrapText="1"/>
    </x:xf>
    <x:xf numFmtId="0" fontId="1" fillId="2" borderId="0" xfId="0" applyFont="1" applyFill="1" applyAlignment="1">
      <x:alignment vertical="center" wrapText="1"/>
    </x:xf>
    <x:xf numFmtId="0" fontId="5" fillId="2" borderId="0" xfId="0" applyFont="1" applyFill="1"/>
    <x:xf numFmtId="0" fontId="2" fillId="2" borderId="0" xfId="0" applyFont="1" applyFill="1"/>
    <x:xf numFmtId="0" fontId="6" fillId="2" borderId="0" xfId="0" applyFont="1" applyFill="1"/>
    <x:xf numFmtId="0" fontId="5" fillId="2" borderId="0" xfId="0" applyFont="1" applyFill="1" applyAlignment="1">
      <x:alignment vertical="center" wrapText="1"/>
    </x:xf>
    <x:xf numFmtId="0" fontId="7" fillId="2" borderId="0" xfId="0" applyFont="1" applyFill="1" applyAlignment="1">
      <x:alignment vertical="center" wrapText="1"/>
    </x:xf>
    <x:xf numFmtId="0" fontId="7" fillId="4" borderId="0" xfId="0" applyFont="1" applyFill="1" applyAlignment="1">
      <x:alignment vertical="center" wrapText="1"/>
    </x:xf>
    <x:xf numFmtId="0" fontId="5" fillId="4" borderId="0" xfId="0" applyFont="1" applyFill="1" applyAlignment="1">
      <x:alignment vertical="center" wrapText="1"/>
    </x:xf>
    <x:xf numFmtId="0" fontId="3" fillId="2" borderId="0" xfId="0" applyFont="1" applyFill="1"/>
    <x:xf numFmtId="200" fontId="1" fillId="4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11" fillId="6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8" fillId="0" borderId="0" xfId="0" applyNumberFormat="1" applyFont="1" applyFill="1" applyBorder="1" applyAlignment="1">
      <x:alignment vertical="center"/>
    </x:xf>
    <x:xf numFmtId="203" fontId="11" fillId="6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4" fontId="8" fillId="0" borderId="0" xfId="0" applyNumberFormat="1" applyFont="1" applyFill="1" applyBorder="1" applyAlignment="1">
      <x:alignment vertical="center"/>
    </x:xf>
    <x:xf numFmtId="204" fontId="11" fillId="6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1" fontId="8" fillId="0" borderId="0" xfId="0" applyNumberFormat="1" applyFont="1" applyFill="1" applyBorder="1" applyAlignment="1">
      <x:alignment vertical="center"/>
    </x:xf>
    <x:xf numFmtId="201" fontId="11" fillId="6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205" fontId="11" fillId="6" borderId="0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8" fillId="0" borderId="0" xfId="0" applyNumberFormat="1" applyFont="1" applyFill="1" applyBorder="1" applyAlignment="1">
      <x:alignment vertical="center"/>
    </x:xf>
    <x:xf numFmtId="206" fontId="11" fillId="6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205" fontId="8" fillId="7" borderId="0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horizontal="center" vertical="center"/>
    </x:xf>
    <x:xf numFmtId="201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 wrapText="1"/>
    </x:xf>
    <x:xf numFmtId="202" fontId="8" fillId="7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3" fontId="8" fillId="7" borderId="0" xfId="0" applyNumberFormat="1" applyFont="1" applyFill="1" applyBorder="1" applyAlignment="1">
      <x:alignment vertical="center"/>
    </x:xf>
    <x:xf numFmtId="204" fontId="8" fillId="7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  <x:dxf>
      <x:font>
        <x:b/>
        <x:color rgb="FFA12828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d263a066bc4a06" /><Relationship Type="http://schemas.openxmlformats.org/officeDocument/2006/relationships/theme" Target="/xl/theme/theme1.xml" Id="R9efaa3607cc24a96" /><Relationship Type="http://schemas.openxmlformats.org/officeDocument/2006/relationships/sharedStrings" Target="/xl/sharedStrings.xml" Id="R0af39959c2ae4463" /><Relationship Type="http://schemas.openxmlformats.org/officeDocument/2006/relationships/worksheet" Target="/xl/worksheets/sheet1.xml" Id="R05a0d5a2de464f08" /><Relationship Type="http://schemas.openxmlformats.org/officeDocument/2006/relationships/worksheet" Target="/xl/worksheets/sheet2.xml" Id="R9444d9e3c6bc445c" /><Relationship Type="http://schemas.openxmlformats.org/officeDocument/2006/relationships/worksheet" Target="/xl/worksheets/sheet3.xml" Id="R6d71119eac3e4d83" /><Relationship Type="http://schemas.openxmlformats.org/officeDocument/2006/relationships/worksheet" Target="/xl/worksheets/sheet4.xml" Id="Rb72400dce94548f5" /><Relationship Type="http://schemas.openxmlformats.org/officeDocument/2006/relationships/worksheet" Target="/xl/worksheets/sheet5.xml" Id="Rf25eac859e994a28" /><Relationship Type="http://schemas.openxmlformats.org/officeDocument/2006/relationships/worksheet" Target="/xl/worksheets/sheet6.xml" Id="R730e212477f44955" /><Relationship Type="http://schemas.openxmlformats.org/officeDocument/2006/relationships/worksheet" Target="/xl/worksheets/sheet7.xml" Id="R4dba21c68b89482a" /><Relationship Type="http://schemas.openxmlformats.org/officeDocument/2006/relationships/worksheet" Target="/xl/worksheets/sheet8.xml" Id="Rb1565c5d2a054dca" /><Relationship Type="http://schemas.openxmlformats.org/officeDocument/2006/relationships/worksheet" Target="/xl/worksheets/sheet9.xml" Id="R3c0d15a7219e4807" /><Relationship Type="http://schemas.openxmlformats.org/officeDocument/2006/relationships/worksheet" Target="/xl/worksheets/sheet10.xml" Id="R7f9ddf326ae74f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66647f5a7440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Authorized housing units in the three shortlisted counties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Utah County</c:v>
          </c:tx>
          <c:spPr>
            <a:solidFill xmlns:a="http://schemas.openxmlformats.org/drawingml/2006/main">
              <a:srgbClr val="193D55"/>
            </a:solidFill>
            <a:ln xmlns:a="http://schemas.openxmlformats.org/drawingml/2006/main" w="19050">
              <a:solidFill>
                <a:srgbClr val="193D55"/>
              </a:solidFill>
              <a:prstDash val="solid"/>
            </a:ln>
          </c:spPr>
          <c:marker>
            <c:symbol val="none"/>
          </c:marker>
          <c:cat>
            <c:strRef>
              <c:f>'Start here'!$B$56:$B$61</c:f>
              <c:strCache>
                <c:ptCount val="0"/>
              </c:strCache>
            </c:strRef>
          </c:cat>
          <c:val>
            <c:numRef>
              <c:f>'Start here'!$C$56:$C$61</c:f>
              <c:numCache>
                <c:formatCode>#,##0;[Red](#,##0);–</c:formatCode>
                <c:ptCount val="0"/>
              </c:numCache>
            </c:numRef>
          </c:val>
          <c:smooth val="0"/>
        </c:ser>
        <c:ser>
          <c:idx val="1"/>
          <c:order val="1"/>
          <c:tx>
            <c:v>Salt Lake County</c:v>
          </c:tx>
          <c:spPr>
            <a:solidFill xmlns:a="http://schemas.openxmlformats.org/drawingml/2006/main">
              <a:srgbClr val="00888E"/>
            </a:solidFill>
            <a:ln xmlns:a="http://schemas.openxmlformats.org/drawingml/2006/main" w="19050">
              <a:solidFill>
                <a:srgbClr val="00888E"/>
              </a:solidFill>
              <a:prstDash val="solid"/>
            </a:ln>
          </c:spPr>
          <c:marker>
            <c:symbol val="none"/>
          </c:marker>
          <c:cat>
            <c:strRef>
              <c:f>'Start here'!$B$56:$B$61</c:f>
              <c:strCache>
                <c:ptCount val="0"/>
              </c:strCache>
            </c:strRef>
          </c:cat>
          <c:val>
            <c:numRef>
              <c:f>'Start here'!$D$56:$D$61</c:f>
              <c:numCache>
                <c:formatCode>#,##0;[Red](#,##0);–</c:formatCode>
                <c:ptCount val="0"/>
              </c:numCache>
            </c:numRef>
          </c:val>
          <c:smooth val="0"/>
        </c:ser>
        <c:ser>
          <c:idx val="2"/>
          <c:order val="2"/>
          <c:tx>
            <c:v>Washington County</c:v>
          </c:tx>
          <c:spPr>
            <a:solidFill xmlns:a="http://schemas.openxmlformats.org/drawingml/2006/main">
              <a:srgbClr val="C56F24"/>
            </a:solidFill>
            <a:ln xmlns:a="http://schemas.openxmlformats.org/drawingml/2006/main" w="19050">
              <a:solidFill>
                <a:srgbClr val="C56F24"/>
              </a:solidFill>
              <a:prstDash val="solid"/>
            </a:ln>
          </c:spPr>
          <c:marker>
            <c:symbol val="none"/>
          </c:marker>
          <c:cat>
            <c:strRef>
              <c:f>'Start here'!$B$56:$B$61</c:f>
              <c:strCache>
                <c:ptCount val="0"/>
              </c:strCache>
            </c:strRef>
          </c:cat>
          <c:val>
            <c:numRef>
              <c:f>'Start here'!$E$56:$E$61</c:f>
              <c:numCache>
                <c:formatCode>#,##0;[Red](#,##0);–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25</xdr:row>
      <xdr:rowOff>0</xdr:rowOff>
    </xdr:from>
    <xdr:to>
      <xdr:col>9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66647f5a7440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5" name="CountyannualTable" displayName="CountyannualTable" ref="A5:Q179" headerRowCount="1" totalsRowCount="0" totalsRowShown="0">
  <x:tableColumns count="17">
    <x:tableColumn id="1" name="Year"/>
    <x:tableColumn id="2" name="County"/>
    <x:tableColumn id="3" name="County FIPS"/>
    <x:tableColumn id="4" name="1-unit units"/>
    <x:tableColumn id="5" name="2-unit units"/>
    <x:tableColumn id="6" name="3–4-unit units"/>
    <x:tableColumn id="7" name="5+ units"/>
    <x:tableColumn id="8" name="Total units"/>
    <x:tableColumn id="9" name="Multifamily units"/>
    <x:tableColumn id="10" name="Valuation USD"/>
    <x:tableColumn id="11" name="Reported units"/>
    <x:tableColumn id="12" name="Imputed unit share"/>
    <x:tableColumn id="13" name="Period role"/>
    <x:tableColumn id="14" name="Coverage basis"/>
    <x:tableColumn id="15" name="Source ID"/>
    <x:tableColumn id="16" name="Source line"/>
    <x:tableColumn id="17" name="Record 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ystructureTable" displayName="BystructureTable" ref="A5:L701" totalsRowShown="0">
  <x:autoFilter ref="A5:L701"/>
  <x:tableColumns count="12">
    <x:tableColumn id="1" name="Year"/>
    <x:tableColumn id="2" name="County"/>
    <x:tableColumn id="3" name="County FIPS"/>
    <x:tableColumn id="4" name="Structure type"/>
    <x:tableColumn id="5" name="Est. buildings"/>
    <x:tableColumn id="6" name="Est. units"/>
    <x:tableColumn id="7" name="Est. valuation USD"/>
    <x:tableColumn id="8" name="Reported units"/>
    <x:tableColumn id="9" name="Reported buildings"/>
    <x:tableColumn id="10" name="Reported valuation USD"/>
    <x:tableColumn id="11" name="Source ID"/>
    <x:tableColumn id="12" name="Source lin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5:F26" totalsRowShown="0">
  <x:autoFilter ref="A5:F26"/>
  <x:tableColumns count="6">
    <x:tableColumn id="1" name="Source ID"/>
    <x:tableColumn id="2" name="Source title"/>
    <x:tableColumn id="3" name="Original URL"/>
    <x:tableColumn id="4" name="Local snapshot"/>
    <x:tableColumn id="5" name="Retrieved at UTC"/>
    <x:tableColumn id="6" name="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ionaryTable" displayName="DictionaryTable" ref="A5:F67" totalsRowShown="0">
  <x:autoFilter ref="A5:F67"/>
  <x:tableColumns count="6">
    <x:tableColumn id="1" name="Dataset"/>
    <x:tableColumn id="2" name="Field"/>
    <x:tableColumn id="3" name="Data type"/>
    <x:tableColumn id="4" name="Unit"/>
    <x:tableColumn id="5" name="Definition"/>
    <x:tableColumn id="6" name="Source or deriv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ountyComparisonTable" displayName="CountyComparisonTable" ref="A5:W34" headerRowCount="1" totalsRowCount="0" totalsRowShown="0">
  <x:tableColumns count="23">
    <x:tableColumn id="1" name="County FIPS"/>
    <x:tableColumn id="2" name="County"/>
    <x:tableColumn id="3" name="2020"/>
    <x:tableColumn id="4" name="2021"/>
    <x:tableColumn id="5" name="2022"/>
    <x:tableColumn id="6" name="2023"/>
    <x:tableColumn id="7" name="2024"/>
    <x:tableColumn id="8" name="2025"/>
    <x:tableColumn id="9" name="2023–25 avg units"/>
    <x:tableColumn id="10" name="2025 change units"/>
    <x:tableColumn id="11" name="2025 change %"/>
    <x:tableColumn id="12" name="2025 state share"/>
    <x:tableColumn id="13" name="2025 single-family share"/>
    <x:tableColumn id="14" name="2025 multifamily share"/>
    <x:tableColumn id="15" name="2025 imputed share"/>
    <x:tableColumn id="16" name="2025 valuation USD"/>
    <x:tableColumn id="17" name="2025 volume rank"/>
    <x:tableColumn id="18" name="3-year avg rank"/>
    <x:tableColumn id="19" name="2021–25 avg units"/>
    <x:tableColumn id="20" name="5-year avg rank"/>
    <x:tableColumn id="21" name="2025 reported units"/>
    <x:tableColumn id="22" name="Reported-only rank"/>
    <x:tableColumn id="23" name="2023–25 change %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ourceComparisonTable" displayName="SourceComparisonTable" ref="A5:U179" headerRowCount="1" totalsRowCount="0" totalsRowShown="0">
  <x:tableColumns count="21">
    <x:tableColumn id="1" name="Year"/>
    <x:tableColumn id="2" name="County"/>
    <x:tableColumn id="3" name="County FIPS"/>
    <x:tableColumn id="4" name="Raw 1-unit"/>
    <x:tableColumn id="5" name="Raw 2-unit"/>
    <x:tableColumn id="6" name="Raw 3–4-unit"/>
    <x:tableColumn id="7" name="Raw 5+ units"/>
    <x:tableColumn id="8" name="Raw total units"/>
    <x:tableColumn id="9" name="Workbook total units"/>
    <x:tableColumn id="10" name="Unit difference"/>
    <x:tableColumn id="11" name="Raw valuation USD"/>
    <x:tableColumn id="12" name="Workbook valuation USD"/>
    <x:tableColumn id="13" name="Value difference"/>
    <x:tableColumn id="14" name="Raw reported units"/>
    <x:tableColumn id="15" name="Workbook reported units"/>
    <x:tableColumn id="16" name="Reported difference"/>
    <x:tableColumn id="17" name="Category mismatches"/>
    <x:tableColumn id="18" name="All match"/>
    <x:tableColumn id="19" name="Source ID"/>
    <x:tableColumn id="20" name="Source file"/>
    <x:tableColumn id="21" name="Source lin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tateReconciliationTable" displayName="StateReconciliationTable" ref="A5:L149" headerRowCount="1" totalsRowCount="0" totalsRowShown="0">
  <x:tableColumns count="12">
    <x:tableColumn id="1" name="Year"/>
    <x:tableColumn id="2" name="Structure type"/>
    <x:tableColumn id="3" name="Basis"/>
    <x:tableColumn id="4" name="Measure"/>
    <x:tableColumn id="5" name="County sum"/>
    <x:tableColumn id="6" name="State control"/>
    <x:tableColumn id="7" name="Difference"/>
    <x:tableColumn id="8" name="Tolerance"/>
    <x:tableColumn id="9" name="Within tolerance"/>
    <x:tableColumn id="10" name="Source ID"/>
    <x:tableColumn id="11" name="Source line"/>
    <x:tableColumn id="12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ad6ed0af4d4e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a6954e23cb4e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2742e3c54b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e0d86771d43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e3197b9eee4c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21df3dc44e44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e92192d9dfb43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b1ae29a720442dc" /></Relationships>
</file>

<file path=xl/worksheets/sheet1.xml><?xml version="1.0" encoding="utf-8"?>
<x:worksheet xmlns:x="http://schemas.openxmlformats.org/spreadsheetml/2006/main">
  <x:sheetPr>
    <x:tabColor rgb="FF18364D"/>
  </x:sheetPr>
  <x:sheetViews>
    <x:sheetView showGridLines="0" workbookViewId="0"/>
  </x:sheetViews>
  <x:sheetFormatPr defaultRowHeight="14.5"/>
  <x:cols>
    <x:col min="1" max="1" width="3" hidden="0" customWidth="1"/>
    <x:col min="2" max="2" width="26" hidden="0" customWidth="1"/>
    <x:col min="3" max="3" width="15" hidden="0" customWidth="1"/>
    <x:col min="4" max="6" width="1.90625" customWidth="1"/>
    <x:col min="10" max="10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1" customHeight="1">
      <x:c r="A1" s="30"/>
      <x:c r="B1" s="30"/>
      <x:c r="C1" s="30"/>
      <x:c r="D1" s="30"/>
      <x:c r="E1" s="30"/>
      <x:c r="F1" s="30"/>
      <x:c r="G1" s="30"/>
      <x:c r="H1" s="30"/>
      <x:c r="I1" s="30"/>
      <x:c r="J1" s="30"/>
    </x:row>
    <x:row r="2" ht="31" customHeight="1">
      <x:c r="A2" s="30"/>
      <x:c r="B2" s="31" t="str">
        <x:v>Utah residential construction markets</x:v>
      </x:c>
      <x:c r="C2" s="30"/>
      <x:c r="D2" s="30"/>
      <x:c r="E2" s="30"/>
      <x:c r="F2" s="30"/>
      <x:c r="G2" s="30"/>
      <x:c r="H2" s="30"/>
      <x:c r="I2" s="30"/>
      <x:c r="J2" s="30"/>
    </x:row>
    <x:row r="3" ht="21" customHeight="1">
      <x:c r="A3" s="30"/>
      <x:c r="B3" s="32" t="str">
        <x:v>County-level expansion screening for a hypothetical construction supplier | October 4, 2026</x:v>
      </x:c>
      <x:c r="C3" s="30"/>
      <x:c r="D3" s="30"/>
      <x:c r="E3" s="30"/>
      <x:c r="F3" s="30"/>
      <x:c r="G3" s="30"/>
      <x:c r="H3" s="30"/>
      <x:c r="I3" s="30"/>
      <x:c r="J3" s="30"/>
    </x:row>
    <x:row r="4" ht="21" customHeight="1">
      <x:c r="A4" s="30"/>
      <x:c r="B4" s="33"/>
      <x:c r="C4" s="33"/>
      <x:c r="D4" s="33"/>
      <x:c r="E4" s="33"/>
      <x:c r="F4" s="33"/>
      <x:c r="G4" s="33"/>
      <x:c r="H4" s="33"/>
      <x:c r="I4" s="33"/>
      <x:c r="J4" s="30"/>
    </x:row>
    <x:row r="5" ht="21" customHeight="1">
      <x:c r="A5" s="30"/>
      <x:c r="B5" s="30"/>
      <x:c r="C5" s="30"/>
      <x:c r="D5" s="30"/>
      <x:c r="E5" s="30"/>
      <x:c r="F5" s="30"/>
      <x:c r="G5" s="30"/>
      <x:c r="H5" s="30"/>
      <x:c r="I5" s="30"/>
      <x:c r="J5" s="30"/>
    </x:row>
    <x:row r="6" ht="37" customHeight="1">
      <x:c r="A6" s="30"/>
      <x:c r="B6" s="42" t="str">
        <x:v>Utah statewide</x:v>
      </x:c>
      <x:c r="C6" s="43" t="str">
        <x:v>2023</x:v>
      </x:c>
      <x:c r="D6" s="43" t="str">
        <x:v>2024</x:v>
      </x:c>
      <x:c r="E6" s="44" t="str">
        <x:v>2025</x:v>
      </x:c>
      <x:c r="F6" s="30"/>
      <x:c r="G6" s="74" t="str">
        <x:v>Decision supported</x:v>
      </x:c>
      <x:c r="H6" s="74"/>
      <x:c r="I6" s="74"/>
      <x:c r="J6" s="30"/>
    </x:row>
    <x:row r="7" ht="21" customHeight="1">
      <x:c r="A7" s="30"/>
      <x:c r="B7" s="30" t="str">
        <x:v>Authorized units</x:v>
      </x:c>
      <x:c r="C7" s="47" t="n">
        <x:f>'County comparison'!F36</x:f>
        <x:v>25361</x:v>
      </x:c>
      <x:c r="D7" s="47" t="n">
        <x:f>'County comparison'!G36</x:f>
        <x:v>23902</x:v>
      </x:c>
      <x:c r="E7" s="47" t="n">
        <x:f>'County comparison'!H36</x:f>
        <x:v>26775</x:v>
      </x:c>
      <x:c r="F7" s="30"/>
      <x:c r="G7" s="70" t="str">
        <x:v>Prioritize market research and builder outreach in Utah, Salt Lake and Washington counties. Facility placement needs additional evidence.</x:v>
      </x:c>
      <x:c r="H7" s="70"/>
      <x:c r="I7" s="70"/>
      <x:c r="J7" s="30"/>
    </x:row>
    <x:row r="8" ht="21" customHeight="1">
      <x:c r="A8" s="30"/>
      <x:c r="B8" s="30" t="str">
        <x:v>Multifamily share</x:v>
      </x:c>
      <x:c r="C8" s="53" t="n">
        <x:f>SUMIFS('County annual'!$I$6:$I$179,'County annual'!$A$6:$A$179,2023)/C7</x:f>
        <x:v>0.4119711367848271</x:v>
      </x:c>
      <x:c r="D8" s="53" t="n">
        <x:f>SUMIFS('County annual'!$I$6:$I$179,'County annual'!$A$6:$A$179,2024)/D7</x:f>
        <x:v>0.2605639695422977</x:v>
      </x:c>
      <x:c r="E8" s="53" t="n">
        <x:f>SUMIFS('County annual'!$I$6:$I$179,'County annual'!$A$6:$A$179,2025)/E7</x:f>
        <x:v>0.3735200746965453</x:v>
      </x:c>
      <x:c r="F8" s="30"/>
      <x:c r="G8" s="70"/>
      <x:c r="H8" s="70"/>
      <x:c r="I8" s="70"/>
      <x:c r="J8" s="30"/>
    </x:row>
    <x:row r="9" ht="21" customHeight="1">
      <x:c r="A9" s="30"/>
      <x:c r="B9" s="30" t="str">
        <x:v>Imputed unit share</x:v>
      </x:c>
      <x:c r="C9" s="53" t="n">
        <x:f>(C7-SUMIFS('County annual'!$K$6:$K$179,'County annual'!$A$6:$A$179,2023))/C7</x:f>
        <x:v>0.166318362840582</x:v>
      </x:c>
      <x:c r="D9" s="53" t="n">
        <x:f>(D7-SUMIFS('County annual'!$K$6:$K$179,'County annual'!$A$6:$A$179,2024))/D7</x:f>
        <x:v>0.05129277884695841</x:v>
      </x:c>
      <x:c r="E9" s="53" t="n">
        <x:f>(E7-SUMIFS('County annual'!$K$6:$K$179,'County annual'!$A$6:$A$179,2025))/E7</x:f>
        <x:v>0.036601307189542485</x:v>
      </x:c>
      <x:c r="F9" s="30"/>
      <x:c r="G9" s="70"/>
      <x:c r="H9" s="70"/>
      <x:c r="I9" s="70"/>
      <x:c r="J9" s="30"/>
    </x:row>
    <x:row r="10" ht="21" customHeight="1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</x:row>
    <x:row r="11" ht="21" customHeight="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</x:row>
    <x:row r="12" ht="21" customHeight="1">
      <x:c r="A12" s="30"/>
      <x:c r="B12" s="75" t="str">
        <x:v>Three markets to investigate</x:v>
      </x:c>
      <x:c r="C12" s="30"/>
      <x:c r="D12" s="30"/>
      <x:c r="E12" s="30"/>
      <x:c r="F12" s="30"/>
      <x:c r="G12" s="30"/>
      <x:c r="H12" s="30"/>
      <x:c r="I12" s="30"/>
      <x:c r="J12" s="30"/>
    </x:row>
    <x:row r="13" ht="21" customHeight="1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 ht="37" customHeight="1">
      <x:c r="A14" s="30"/>
      <x:c r="B14" s="42" t="str">
        <x:v>County</x:v>
      </x:c>
      <x:c r="C14" s="43" t="str">
        <x:v>2025 units</x:v>
      </x:c>
      <x:c r="D14" s="43" t="str">
        <x:v>3-year avg</x:v>
      </x:c>
      <x:c r="E14" s="43" t="str">
        <x:v>2025 change</x:v>
      </x:c>
      <x:c r="F14" s="43" t="str">
        <x:v>State share</x:v>
      </x:c>
      <x:c r="G14" s="43" t="str">
        <x:v>Multifamily</x:v>
      </x:c>
      <x:c r="H14" s="43" t="str">
        <x:v>Imputed</x:v>
      </x:c>
      <x:c r="I14" s="44" t="str">
        <x:v>2025 rank</x:v>
      </x:c>
      <x:c r="J14" s="30"/>
    </x:row>
    <x:row r="15" ht="21" customHeight="1">
      <x:c r="A15" s="30"/>
      <x:c r="B15" s="65" t="str">
        <x:v>Utah County</x:v>
      </x:c>
      <x:c r="C15" s="71" t="n">
        <x:f>INDEX('County comparison'!$H$6:$H$34,MATCH($B15,'County comparison'!$B$6:$B$34,0))</x:f>
        <x:v>7202</x:v>
      </x:c>
      <x:c r="D15" s="76" t="n">
        <x:f>INDEX('County comparison'!$I$6:$I$34,MATCH($B15,'County comparison'!$B$6:$B$34,0))</x:f>
        <x:v>6519.666666666667</x:v>
      </x:c>
      <x:c r="E15" s="77" t="n">
        <x:f>INDEX('County comparison'!$K$6:$K$34,MATCH($B15,'County comparison'!$B$6:$B$34,0))</x:f>
        <x:v>0.13937668090492017</x:v>
      </x:c>
      <x:c r="F15" s="77" t="n">
        <x:f>INDEX('County comparison'!$L$6:$L$34,MATCH($B15,'County comparison'!$B$6:$B$34,0))</x:f>
        <x:v>0.2689822595704949</x:v>
      </x:c>
      <x:c r="G15" s="77" t="n">
        <x:f>INDEX('County comparison'!$N$6:$N$34,MATCH($B15,'County comparison'!$B$6:$B$34,0))</x:f>
        <x:v>0.26076089975006944</x:v>
      </x:c>
      <x:c r="H15" s="77" t="n">
        <x:f>INDEX('County comparison'!$O$6:$O$34,MATCH($B15,'County comparison'!$B$6:$B$34,0))</x:f>
        <x:v>0.004165509580672035</x:v>
      </x:c>
      <x:c r="I15" s="67" t="n">
        <x:f>INDEX('County comparison'!$Q$6:$Q$34,MATCH($B15,'County comparison'!$B$6:$B$34,0))</x:f>
        <x:v>1</x:v>
      </x:c>
      <x:c r="J15" s="30"/>
    </x:row>
    <x:row r="16" ht="21" customHeight="1">
      <x:c r="A16" s="30"/>
      <x:c r="B16" s="30" t="str">
        <x:v>Salt Lake County</x:v>
      </x:c>
      <x:c r="C16" s="47" t="n">
        <x:f>INDEX('County comparison'!$H$6:$H$34,MATCH($B16,'County comparison'!$B$6:$B$34,0))</x:f>
        <x:v>7179</x:v>
      </x:c>
      <x:c r="D16" s="50" t="n">
        <x:f>INDEX('County comparison'!$I$6:$I$34,MATCH($B16,'County comparison'!$B$6:$B$34,0))</x:f>
        <x:v>6681.333333333333</x:v>
      </x:c>
      <x:c r="E16" s="53" t="n">
        <x:f>INDEX('County comparison'!$K$6:$K$34,MATCH($B16,'County comparison'!$B$6:$B$34,0))</x:f>
        <x:v>0.5778021978021979</x:v>
      </x:c>
      <x:c r="F16" s="53" t="n">
        <x:f>INDEX('County comparison'!$L$6:$L$34,MATCH($B16,'County comparison'!$B$6:$B$34,0))</x:f>
        <x:v>0.26812324929971987</x:v>
      </x:c>
      <x:c r="G16" s="53" t="n">
        <x:f>INDEX('County comparison'!$N$6:$N$34,MATCH($B16,'County comparison'!$B$6:$B$34,0))</x:f>
        <x:v>0.6411756512049032</x:v>
      </x:c>
      <x:c r="H16" s="53" t="n">
        <x:f>INDEX('County comparison'!$O$6:$O$34,MATCH($B16,'County comparison'!$B$6:$B$34,0))</x:f>
        <x:v>0.003343083994985374</x:v>
      </x:c>
      <x:c r="I16" s="56" t="n">
        <x:f>INDEX('County comparison'!$Q$6:$Q$34,MATCH($B16,'County comparison'!$B$6:$B$34,0))</x:f>
        <x:v>2</x:v>
      </x:c>
      <x:c r="J16" s="30"/>
    </x:row>
    <x:row r="17" ht="21" customHeight="1">
      <x:c r="A17" s="30"/>
      <x:c r="B17" s="65" t="str">
        <x:v>Washington County</x:v>
      </x:c>
      <x:c r="C17" s="71" t="n">
        <x:f>INDEX('County comparison'!$H$6:$H$34,MATCH($B17,'County comparison'!$B$6:$B$34,0))</x:f>
        <x:v>2857</x:v>
      </x:c>
      <x:c r="D17" s="76" t="n">
        <x:f>INDEX('County comparison'!$I$6:$I$34,MATCH($B17,'County comparison'!$B$6:$B$34,0))</x:f>
        <x:v>2943</x:v>
      </x:c>
      <x:c r="E17" s="77" t="n">
        <x:f>INDEX('County comparison'!$K$6:$K$34,MATCH($B17,'County comparison'!$B$6:$B$34,0))</x:f>
        <x:v>-0.09359137055837563</x:v>
      </x:c>
      <x:c r="F17" s="77" t="n">
        <x:f>INDEX('County comparison'!$L$6:$L$34,MATCH($B17,'County comparison'!$B$6:$B$34,0))</x:f>
        <x:v>0.10670401493930906</x:v>
      </x:c>
      <x:c r="G17" s="77" t="n">
        <x:f>INDEX('County comparison'!$N$6:$N$34,MATCH($B17,'County comparison'!$B$6:$B$34,0))</x:f>
        <x:v>0.1260063003150157</x:v>
      </x:c>
      <x:c r="H17" s="77" t="n">
        <x:f>INDEX('County comparison'!$O$6:$O$34,MATCH($B17,'County comparison'!$B$6:$B$34,0))</x:f>
        <x:v>0.0077003850192509625</x:v>
      </x:c>
      <x:c r="I17" s="67" t="n">
        <x:f>INDEX('County comparison'!$Q$6:$Q$34,MATCH($B17,'County comparison'!$B$6:$B$34,0))</x:f>
        <x:v>3</x:v>
      </x:c>
      <x:c r="J17" s="30"/>
    </x:row>
    <x:row r="18" ht="21" customHeight="1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 ht="21" customHeight="1">
      <x:c r="A19" s="30"/>
      <x:c r="B19" s="70" t="str">
        <x:v>Utah leads 2025 volume; Salt Lake leads the 3-year average. Washington ranks third in both, but its 2025 activity declined. Their different housing mixes call for different builder outreach.</x:v>
      </x:c>
      <x:c r="C19" s="70"/>
      <x:c r="D19" s="70"/>
      <x:c r="E19" s="70"/>
      <x:c r="F19" s="70"/>
      <x:c r="G19" s="70"/>
      <x:c r="H19" s="70"/>
      <x:c r="I19" s="70"/>
      <x:c r="J19" s="30"/>
    </x:row>
    <x:row r="20" ht="21" customHeight="1">
      <x:c r="A20" s="30"/>
      <x:c r="B20" s="70"/>
      <x:c r="C20" s="70"/>
      <x:c r="D20" s="70"/>
      <x:c r="E20" s="70"/>
      <x:c r="F20" s="70"/>
      <x:c r="G20" s="70"/>
      <x:c r="H20" s="70"/>
      <x:c r="I20" s="70"/>
      <x:c r="J20" s="30"/>
    </x:row>
    <x:row r="21" ht="21" customHeight="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 ht="21" customHeight="1">
      <x:c r="A22" s="30"/>
      <x:c r="B22" s="78" t="str">
        <x:v>The same three counties lead the 3-year average, 5-year average and reported-only checks. Reported-only counts test sensitivity to imputation; they do not replace the official estimates.</x:v>
      </x:c>
      <x:c r="C22" s="78"/>
      <x:c r="D22" s="78"/>
      <x:c r="E22" s="78"/>
      <x:c r="F22" s="78"/>
      <x:c r="G22" s="78"/>
      <x:c r="H22" s="78"/>
      <x:c r="I22" s="78"/>
      <x:c r="J22" s="30"/>
    </x:row>
    <x:row r="23" ht="21" customHeight="1">
      <x:c r="A23" s="30"/>
      <x:c r="B23" s="78"/>
      <x:c r="C23" s="78"/>
      <x:c r="D23" s="78"/>
      <x:c r="E23" s="78"/>
      <x:c r="F23" s="78"/>
      <x:c r="G23" s="78"/>
      <x:c r="H23" s="78"/>
      <x:c r="I23" s="78"/>
      <x:c r="J23" s="30"/>
    </x:row>
    <x:row r="24" ht="21" customHeight="1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 ht="21" customHeight="1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 ht="21" customHeight="1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 ht="21" customHeight="1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 ht="21" customHeight="1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 ht="21" customHeight="1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 ht="21" customHeight="1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</x:row>
    <x:row r="31" ht="21" customHeight="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</x:row>
    <x:row r="32" ht="21" customHeight="1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</x:row>
    <x:row r="33" ht="21" customHeight="1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</x:row>
    <x:row r="34" ht="21" customHeight="1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</x:row>
    <x:row r="35" ht="21" customHeight="1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</x:row>
    <x:row r="36" ht="21" customHeight="1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</x:row>
    <x:row r="37" ht="21" customHeight="1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</x:row>
    <x:row r="38" ht="21" customHeight="1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</x:row>
    <x:row r="39" ht="21" customHeight="1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</x:row>
    <x:row r="40" ht="21" customHeight="1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</x:row>
    <x:row r="41" ht="21" customHeight="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</x:row>
    <x:row r="42" ht="21" customHeight="1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</x:row>
    <x:row r="43" ht="21" customHeight="1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</x:row>
    <x:row r="44" ht="21" customHeight="1">
      <x:c r="A44" s="30"/>
      <x:c r="B44" s="75" t="str">
        <x:v>Interpretation and next evidence</x:v>
      </x:c>
      <x:c r="C44" s="30"/>
      <x:c r="D44" s="30"/>
      <x:c r="E44" s="30"/>
      <x:c r="F44" s="30"/>
      <x:c r="G44" s="30"/>
      <x:c r="H44" s="30"/>
      <x:c r="I44" s="30"/>
      <x:c r="J44" s="30"/>
    </x:row>
    <x:row r="45" ht="21" customHeight="1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</x:row>
    <x:row r="46" ht="21" customHeight="1">
      <x:c r="A46" s="30"/>
      <x:c r="B46" s="70" t="str">
        <x:v>Selection rule: top three counties by 2025 estimated housing units. This is a transparent market screen, not a composite score or a revenue forecast.</x:v>
      </x:c>
      <x:c r="C46" s="70"/>
      <x:c r="D46" s="70"/>
      <x:c r="E46" s="70"/>
      <x:c r="F46" s="70"/>
      <x:c r="G46" s="70"/>
      <x:c r="H46" s="70"/>
      <x:c r="I46" s="70"/>
      <x:c r="J46" s="30"/>
    </x:row>
    <x:row r="47" ht="21" customHeight="1">
      <x:c r="A47" s="30"/>
      <x:c r="B47" s="70"/>
      <x:c r="C47" s="70"/>
      <x:c r="D47" s="70"/>
      <x:c r="E47" s="70"/>
      <x:c r="F47" s="70"/>
      <x:c r="G47" s="70"/>
      <x:c r="H47" s="70"/>
      <x:c r="I47" s="70"/>
      <x:c r="J47" s="30"/>
    </x:row>
    <x:row r="48" ht="21" customHeight="1">
      <x:c r="A48" s="30"/>
      <x:c r="B48" s="70" t="str">
        <x:v>Permits authorize new private residential construction. They are not starts, completions, orders or supplier sales. Buildings and housing units are different measures.</x:v>
      </x:c>
      <x:c r="C48" s="70"/>
      <x:c r="D48" s="70"/>
      <x:c r="E48" s="70"/>
      <x:c r="F48" s="70"/>
      <x:c r="G48" s="70"/>
      <x:c r="H48" s="70"/>
      <x:c r="I48" s="70"/>
      <x:c r="J48" s="30"/>
    </x:row>
    <x:row r="49" ht="21" customHeight="1">
      <x:c r="A49" s="30"/>
      <x:c r="B49" s="70"/>
      <x:c r="C49" s="70"/>
      <x:c r="D49" s="70"/>
      <x:c r="E49" s="70"/>
      <x:c r="F49" s="70"/>
      <x:c r="G49" s="70"/>
      <x:c r="H49" s="70"/>
      <x:c r="I49" s="70"/>
      <x:c r="J49" s="30"/>
    </x:row>
    <x:row r="50" ht="21" customHeight="1">
      <x:c r="A50" s="30"/>
      <x:c r="B50" s="70" t="str">
        <x:v>Coverage changed in 2023. Longer trends remain useful context, but changes across 2022–2023 are not entirely like-for-like. Dollar valuations are nominal.</x:v>
      </x:c>
      <x:c r="C50" s="70"/>
      <x:c r="D50" s="70"/>
      <x:c r="E50" s="70"/>
      <x:c r="F50" s="70"/>
      <x:c r="G50" s="70"/>
      <x:c r="H50" s="70"/>
      <x:c r="I50" s="70"/>
      <x:c r="J50" s="30"/>
    </x:row>
    <x:row r="51" ht="21" customHeight="1">
      <x:c r="A51" s="30"/>
      <x:c r="B51" s="70"/>
      <x:c r="C51" s="70"/>
      <x:c r="D51" s="70"/>
      <x:c r="E51" s="70"/>
      <x:c r="F51" s="70"/>
      <x:c r="G51" s="70"/>
      <x:c r="H51" s="70"/>
      <x:c r="I51" s="70"/>
      <x:c r="J51" s="30"/>
    </x:row>
    <x:row r="52" ht="21" customHeight="1">
      <x:c r="A52" s="30"/>
      <x:c r="B52" s="70" t="str">
        <x:v>Next evidence: supplier product fit, named builder pipelines, competitor locations, delivery times, land/lease costs and customer interviews.</x:v>
      </x:c>
      <x:c r="C52" s="70"/>
      <x:c r="D52" s="70"/>
      <x:c r="E52" s="70"/>
      <x:c r="F52" s="70"/>
      <x:c r="G52" s="70"/>
      <x:c r="H52" s="70"/>
      <x:c r="I52" s="70"/>
      <x:c r="J52" s="30"/>
    </x:row>
    <x:row r="53" ht="21" customHeight="1">
      <x:c r="A53" s="30"/>
      <x:c r="B53" s="70"/>
      <x:c r="C53" s="70"/>
      <x:c r="D53" s="70"/>
      <x:c r="E53" s="70"/>
      <x:c r="F53" s="70"/>
      <x:c r="G53" s="70"/>
      <x:c r="H53" s="70"/>
      <x:c r="I53" s="70"/>
      <x:c r="J53" s="30"/>
    </x:row>
    <x:row r="54" ht="21" customHeight="1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</x:row>
    <x:row r="55" ht="37" customHeight="1">
      <x:c r="A55" s="30"/>
      <x:c r="B55" s="42" t="str">
        <x:v>Year</x:v>
      </x:c>
      <x:c r="C55" s="43" t="str">
        <x:v>Utah County</x:v>
      </x:c>
      <x:c r="D55" s="43" t="str">
        <x:v>Salt Lake County</x:v>
      </x:c>
      <x:c r="E55" s="44" t="str">
        <x:v>Washington County</x:v>
      </x:c>
      <x:c r="F55" s="30"/>
      <x:c r="G55" s="74" t="str">
        <x:v>Read the supporting sheets</x:v>
      </x:c>
      <x:c r="H55" s="74"/>
      <x:c r="I55" s="74"/>
      <x:c r="J55" s="30"/>
    </x:row>
    <x:row r="56" ht="21" customHeight="1">
      <x:c r="A56" s="30"/>
      <x:c r="B56" s="30" t="str">
        <x:v>2020</x:v>
      </x:c>
      <x:c r="C56" s="47" t="n">
        <x:f>SUMIFS('County annual'!$H$6:$H$179,'County annual'!$B$6:$B$179,C$55,'County annual'!$A$6:$A$179,$B56)</x:f>
        <x:v>7859</x:v>
      </x:c>
      <x:c r="D56" s="47" t="n">
        <x:f>SUMIFS('County annual'!$H$6:$H$179,'County annual'!$B$6:$B$179,D$55,'County annual'!$A$6:$A$179,$B56)</x:f>
        <x:v>10101</x:v>
      </x:c>
      <x:c r="E56" s="47" t="n">
        <x:f>SUMIFS('County annual'!$H$6:$H$179,'County annual'!$B$6:$B$179,E$55,'County annual'!$A$6:$A$179,$B56)</x:f>
        <x:v>3314</x:v>
      </x:c>
      <x:c r="F56" s="30"/>
      <x:c r="G56" s="70" t="str">
        <x:v>County comparison holds the metrics and alternative rankings. Validation log links the coverage, raw-source and state checks. Sources and Dictionary preserve provenance and definitions.</x:v>
      </x:c>
      <x:c r="H56" s="70"/>
      <x:c r="I56" s="70"/>
      <x:c r="J56" s="30"/>
    </x:row>
    <x:row r="57" ht="21" customHeight="1">
      <x:c r="A57" s="30"/>
      <x:c r="B57" s="30" t="str">
        <x:v>2021</x:v>
      </x:c>
      <x:c r="C57" s="47" t="n">
        <x:f>SUMIFS('County annual'!$H$6:$H$179,'County annual'!$B$6:$B$179,C$55,'County annual'!$A$6:$A$179,$B57)</x:f>
        <x:v>11040</x:v>
      </x:c>
      <x:c r="D57" s="47" t="n">
        <x:f>SUMIFS('County annual'!$H$6:$H$179,'County annual'!$B$6:$B$179,D$55,'County annual'!$A$6:$A$179,$B57)</x:f>
        <x:v>10649</x:v>
      </x:c>
      <x:c r="E57" s="47" t="n">
        <x:f>SUMIFS('County annual'!$H$6:$H$179,'County annual'!$B$6:$B$179,E$55,'County annual'!$A$6:$A$179,$B57)</x:f>
        <x:v>3484</x:v>
      </x:c>
      <x:c r="F57" s="30"/>
      <x:c r="G57" s="70"/>
      <x:c r="H57" s="70"/>
      <x:c r="I57" s="70"/>
      <x:c r="J57" s="30"/>
    </x:row>
    <x:row r="58" ht="21" customHeight="1">
      <x:c r="A58" s="30"/>
      <x:c r="B58" s="30" t="str">
        <x:v>2022</x:v>
      </x:c>
      <x:c r="C58" s="47" t="n">
        <x:f>SUMIFS('County annual'!$H$6:$H$179,'County annual'!$B$6:$B$179,C$55,'County annual'!$A$6:$A$179,$B58)</x:f>
        <x:v>8165</x:v>
      </x:c>
      <x:c r="D58" s="47" t="n">
        <x:f>SUMIFS('County annual'!$H$6:$H$179,'County annual'!$B$6:$B$179,D$55,'County annual'!$A$6:$A$179,$B58)</x:f>
        <x:v>9375</x:v>
      </x:c>
      <x:c r="E58" s="47" t="n">
        <x:f>SUMIFS('County annual'!$H$6:$H$179,'County annual'!$B$6:$B$179,E$55,'County annual'!$A$6:$A$179,$B58)</x:f>
        <x:v>3196</x:v>
      </x:c>
      <x:c r="F58" s="30"/>
      <x:c r="G58" s="70"/>
      <x:c r="H58" s="70"/>
      <x:c r="I58" s="70"/>
      <x:c r="J58" s="30"/>
    </x:row>
    <x:row r="59" ht="21" customHeight="1">
      <x:c r="A59" s="30"/>
      <x:c r="B59" s="30" t="str">
        <x:v>2023</x:v>
      </x:c>
      <x:c r="C59" s="47" t="n">
        <x:f>SUMIFS('County annual'!$H$6:$H$179,'County annual'!$B$6:$B$179,C$55,'County annual'!$A$6:$A$179,$B59)</x:f>
        <x:v>6036</x:v>
      </x:c>
      <x:c r="D59" s="47" t="n">
        <x:f>SUMIFS('County annual'!$H$6:$H$179,'County annual'!$B$6:$B$179,D$55,'County annual'!$A$6:$A$179,$B59)</x:f>
        <x:v>8315</x:v>
      </x:c>
      <x:c r="E59" s="47" t="n">
        <x:f>SUMIFS('County annual'!$H$6:$H$179,'County annual'!$B$6:$B$179,E$55,'County annual'!$A$6:$A$179,$B59)</x:f>
        <x:v>2820</x:v>
      </x:c>
      <x:c r="F59" s="30"/>
      <x:c r="G59" s="70"/>
      <x:c r="H59" s="70"/>
      <x:c r="I59" s="70"/>
      <x:c r="J59" s="30"/>
    </x:row>
    <x:row r="60" ht="21" customHeight="1">
      <x:c r="A60" s="30"/>
      <x:c r="B60" s="30" t="str">
        <x:v>2024</x:v>
      </x:c>
      <x:c r="C60" s="47" t="n">
        <x:f>SUMIFS('County annual'!$H$6:$H$179,'County annual'!$B$6:$B$179,C$55,'County annual'!$A$6:$A$179,$B60)</x:f>
        <x:v>6321</x:v>
      </x:c>
      <x:c r="D60" s="47" t="n">
        <x:f>SUMIFS('County annual'!$H$6:$H$179,'County annual'!$B$6:$B$179,D$55,'County annual'!$A$6:$A$179,$B60)</x:f>
        <x:v>4550</x:v>
      </x:c>
      <x:c r="E60" s="47" t="n">
        <x:f>SUMIFS('County annual'!$H$6:$H$179,'County annual'!$B$6:$B$179,E$55,'County annual'!$A$6:$A$179,$B60)</x:f>
        <x:v>3152</x:v>
      </x:c>
      <x:c r="F60" s="30"/>
      <x:c r="G60" s="30"/>
      <x:c r="H60" s="30"/>
      <x:c r="I60" s="30"/>
      <x:c r="J60" s="30"/>
    </x:row>
    <x:row r="61" ht="21" customHeight="1">
      <x:c r="A61" s="30"/>
      <x:c r="B61" s="30" t="str">
        <x:v>2025</x:v>
      </x:c>
      <x:c r="C61" s="47" t="n">
        <x:f>SUMIFS('County annual'!$H$6:$H$179,'County annual'!$B$6:$B$179,C$55,'County annual'!$A$6:$A$179,$B61)</x:f>
        <x:v>7202</x:v>
      </x:c>
      <x:c r="D61" s="47" t="n">
        <x:f>SUMIFS('County annual'!$H$6:$H$179,'County annual'!$B$6:$B$179,D$55,'County annual'!$A$6:$A$179,$B61)</x:f>
        <x:v>7179</x:v>
      </x:c>
      <x:c r="E61" s="47" t="n">
        <x:f>SUMIFS('County annual'!$H$6:$H$179,'County annual'!$B$6:$B$179,E$55,'County annual'!$A$6:$A$179,$B61)</x:f>
        <x:v>2857</x:v>
      </x:c>
      <x:c r="F61" s="30"/>
      <x:c r="G61" s="79" t="str">
        <x:v>Census Building Permits Survey, 2020–2025. Source snapshots collected October 1, 2026.</x:v>
      </x:c>
      <x:c r="H61" s="79"/>
      <x:c r="I61" s="79"/>
      <x:c r="J61" s="30"/>
    </x:row>
    <x:row r="62" ht="21" customHeight="1">
      <x:c r="A62" s="30"/>
      <x:c r="B62" s="30"/>
      <x:c r="C62" s="30"/>
      <x:c r="D62" s="30"/>
      <x:c r="E62" s="30"/>
      <x:c r="F62" s="30"/>
      <x:c r="G62" s="79"/>
      <x:c r="H62" s="79"/>
      <x:c r="I62" s="79"/>
      <x:c r="J62" s="30"/>
    </x:row>
    <x:row r="63" ht="21" customHeight="1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</x:row>
    <x:row r="64" ht="21" customHeight="1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</x:row>
    <x:row r="65" ht="21" customHeight="1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</x:row>
  </x:sheetData>
  <x:mergeCells>
    <x:mergeCell ref="G6:I6"/>
    <x:mergeCell ref="G7:I9"/>
    <x:mergeCell ref="B19:I20"/>
    <x:mergeCell ref="B22:I23"/>
    <x:mergeCell ref="B46:I47"/>
    <x:mergeCell ref="B48:I49"/>
    <x:mergeCell ref="B50:I51"/>
    <x:mergeCell ref="B52:I53"/>
    <x:mergeCell ref="G55:I55"/>
    <x:mergeCell ref="G56:I59"/>
    <x:mergeCell ref="G61:I62"/>
  </x:mergeCells>
  <x:pageMargins left="0.7" right="0.7" top="0.75" bottom="0.75" header="0.3" footer="0.3"/>
  <x:drawing xmlns:r="http://schemas.openxmlformats.org/officeDocument/2006/relationships" r:id="R6ead6ed0af4d4e28"/>
</x:worksheet>
</file>

<file path=xl/worksheets/sheet2.xml><?xml version="1.0" encoding="utf-8"?>
<x:worksheet xmlns:x="http://schemas.openxmlformats.org/spreadsheetml/2006/main">
  <x:sheetPr>
    <x:tabColor rgb="FF087E8B"/>
  </x:sheetPr>
  <x:sheetViews>
    <x:sheetView showGridLines="0" workbookViewId="0">
      <x:pane xSplit="3" ySplit="5" topLeftCell="D6" activePane="bottomRight" state="frozen"/>
    </x:sheetView>
  </x:sheetViews>
  <x:sheetFormatPr defaultRowHeight="14.5"/>
  <x:cols>
    <x:col min="1" max="1" width="8" customWidth="1"/>
    <x:col min="2" max="2" width="19.453125" customWidth="1"/>
    <x:col min="3" max="3" width="11.6328125" customWidth="1"/>
    <x:col min="4" max="5" width="11.90625" customWidth="1"/>
    <x:col min="6" max="6" width="12.90625" customWidth="1"/>
    <x:col min="7" max="7" width="11.90625" customWidth="1"/>
    <x:col min="8" max="8" width="13" customWidth="1"/>
    <x:col min="9" max="9" width="13.26953125" customWidth="1"/>
    <x:col min="10" max="10" width="18.08984375" customWidth="1"/>
    <x:col min="11" max="12" width="13.453125" customWidth="1"/>
    <x:col min="13" max="13" width="12" customWidth="1"/>
    <x:col min="14" max="14" width="24.453125" customWidth="1"/>
    <x:col min="15" max="15" width="17.26953125" customWidth="1"/>
    <x:col min="16" max="16" width="11.26953125" customWidth="1"/>
    <x:col min="17" max="17" width="13" hidden="0" customWidth="1"/>
  </x:cols>
  <x:sheetData>
    <x:row r="1" ht="30" customHeight="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3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42" customHeight="1">
      <x:c r="A5" s="4" t="s">
        <x:v>2</x:v>
      </x:c>
      <x:c r="B5" s="4" t="s">
        <x:v>3</x:v>
      </x:c>
      <x:c r="C5" s="4" t="s">
        <x:v>4</x:v>
      </x:c>
      <x:c r="D5" s="4" t="s">
        <x:v>5</x:v>
      </x:c>
      <x:c r="E5" s="4" t="s">
        <x:v>6</x:v>
      </x:c>
      <x:c r="F5" s="4" t="s">
        <x:v>7</x:v>
      </x:c>
      <x:c r="G5" s="4" t="s">
        <x:v>8</x:v>
      </x:c>
      <x:c r="H5" s="4" t="s">
        <x:v>9</x:v>
      </x:c>
      <x:c r="I5" s="4" t="s">
        <x:v>10</x:v>
      </x:c>
      <x:c r="J5" s="4" t="s">
        <x:v>11</x:v>
      </x:c>
      <x:c r="K5" s="4" t="s">
        <x:v>12</x:v>
      </x:c>
      <x:c r="L5" s="4" t="s">
        <x:v>13</x:v>
      </x:c>
      <x:c r="M5" s="4" t="s">
        <x:v>14</x:v>
      </x:c>
      <x:c r="N5" s="4" t="s">
        <x:v>15</x:v>
      </x:c>
      <x:c r="O5" s="4" t="s">
        <x:v>16</x:v>
      </x:c>
      <x:c r="P5" s="4" t="s">
        <x:v>17</x:v>
      </x:c>
      <x:c r="Q5" t="str">
        <x:v>Record count</x:v>
      </x:c>
    </x:row>
    <x:row r="6" ht="22" customHeight="1">
      <x:c r="A6" s="14">
        <x:v>2020</x:v>
      </x:c>
      <x:c r="B6" s="5" t="s">
        <x:v>18</x:v>
      </x:c>
      <x:c r="C6" s="6" t="s">
        <x:v>19</x:v>
      </x:c>
      <x:c r="D6" s="8">
        <x:v>38</x:v>
      </x:c>
      <x:c r="E6" s="8">
        <x:v>0</x:v>
      </x:c>
      <x:c r="F6" s="8">
        <x:v>4</x:v>
      </x:c>
      <x:c r="G6" s="8">
        <x:v>0</x:v>
      </x:c>
      <x:c r="H6" s="8" t="n">
        <x:f t="shared" ref="H6:H37" si="0">SUM(D6:G6)</x:f>
        <x:v>42</x:v>
      </x:c>
      <x:c r="I6" s="8" t="n">
        <x:f t="shared" ref="I6:I37" si="1">SUM(E6:G6)</x:f>
        <x:v>4</x:v>
      </x:c>
      <x:c r="J6" s="10" t="n">
        <x:f>SUMIFS('By structure'!$G$6:$G$701,'By structure'!$A$6:$A$701,A6,'By structure'!$C$6:$C$701,C6)</x:f>
        <x:v>11814547</x:v>
      </x:c>
      <x:c r="K6" s="8" t="n">
        <x:f>SUMIFS('By structure'!$H$6:$H$701,'By structure'!$A$6:$A$701,A6,'By structure'!$C$6:$C$701,C6)</x:f>
        <x:v>42</x:v>
      </x:c>
      <x:c r="L6" s="12" t="n">
        <x:f t="shared" ref="L6:L37" si="2">IF(H6=0,"",(H6-K6)/H6)</x:f>
        <x:v>0</x:v>
      </x:c>
      <x:c r="M6" s="5" t="s">
        <x:v>20</x:v>
      </x:c>
      <x:c r="N6" s="5" t="s">
        <x:v>21</x:v>
      </x:c>
      <x:c r="O6" s="5" t="s">
        <x:v>22</x:v>
      </x:c>
      <x:c r="P6" s="14">
        <x:v>2675</x:v>
      </x:c>
      <x:c r="Q6" s="28" t="n">
        <x:f>COUNTIFS($A$6:$A$179,A6,$C$6:$C$179,C6)</x:f>
        <x:v>1</x:v>
      </x:c>
    </x:row>
    <x:row r="7" ht="22" customHeight="1">
      <x:c r="A7" s="15">
        <x:v>2020</x:v>
      </x:c>
      <x:c r="B7" s="1" t="s">
        <x:v>23</x:v>
      </x:c>
      <x:c r="C7" s="7" t="s">
        <x:v>24</x:v>
      </x:c>
      <x:c r="D7" s="9">
        <x:v>381</x:v>
      </x:c>
      <x:c r="E7" s="9">
        <x:v>4</x:v>
      </x:c>
      <x:c r="F7" s="9">
        <x:v>60</x:v>
      </x:c>
      <x:c r="G7" s="9">
        <x:v>88</x:v>
      </x:c>
      <x:c r="H7" s="9" t="n">
        <x:f t="shared" si="0">SUM(D7:G7)</x:f>
        <x:v>533</x:v>
      </x:c>
      <x:c r="I7" s="9" t="n">
        <x:f t="shared" si="1">SUM(E7:G7)</x:f>
        <x:v>152</x:v>
      </x:c>
      <x:c r="J7" s="11" t="n">
        <x:f>SUMIFS('By structure'!$G$6:$G$701,'By structure'!$A$6:$A$701,A7,'By structure'!$C$6:$C$701,C7)</x:f>
        <x:v>92714260</x:v>
      </x:c>
      <x:c r="K7" s="9" t="n">
        <x:f>SUMIFS('By structure'!$H$6:$H$701,'By structure'!$A$6:$A$701,A7,'By structure'!$C$6:$C$701,C7)</x:f>
        <x:v>384</x:v>
      </x:c>
      <x:c r="L7" s="13" t="n">
        <x:f t="shared" si="2">IF(H7=0,"",(H7-K7)/H7)</x:f>
        <x:v>0.2795497185741088</x:v>
      </x:c>
      <x:c r="M7" s="1" t="s">
        <x:v>20</x:v>
      </x:c>
      <x:c r="N7" s="1" t="s">
        <x:v>21</x:v>
      </x:c>
      <x:c r="O7" s="1" t="s">
        <x:v>22</x:v>
      </x:c>
      <x:c r="P7" s="15">
        <x:v>2676</x:v>
      </x:c>
      <x:c r="Q7" s="28" t="n">
        <x:f>COUNTIFS($A$6:$A$179,A7,$C$6:$C$179,C7)</x:f>
        <x:v>1</x:v>
      </x:c>
    </x:row>
    <x:row r="8" ht="22" customHeight="1">
      <x:c r="A8" s="14">
        <x:v>2020</x:v>
      </x:c>
      <x:c r="B8" s="5" t="s">
        <x:v>25</x:v>
      </x:c>
      <x:c r="C8" s="6" t="s">
        <x:v>26</x:v>
      </x:c>
      <x:c r="D8" s="8">
        <x:v>987</x:v>
      </x:c>
      <x:c r="E8" s="8">
        <x:v>6</x:v>
      </x:c>
      <x:c r="F8" s="8">
        <x:v>31</x:v>
      </x:c>
      <x:c r="G8" s="8">
        <x:v>586</x:v>
      </x:c>
      <x:c r="H8" s="8" t="n">
        <x:f t="shared" si="0">SUM(D8:G8)</x:f>
        <x:v>1610</x:v>
      </x:c>
      <x:c r="I8" s="8" t="n">
        <x:f t="shared" si="1">SUM(E8:G8)</x:f>
        <x:v>623</x:v>
      </x:c>
      <x:c r="J8" s="10" t="n">
        <x:f>SUMIFS('By structure'!$G$6:$G$701,'By structure'!$A$6:$A$701,A8,'By structure'!$C$6:$C$701,C8)</x:f>
        <x:v>321528306</x:v>
      </x:c>
      <x:c r="K8" s="8" t="n">
        <x:f>SUMIFS('By structure'!$H$6:$H$701,'By structure'!$A$6:$A$701,A8,'By structure'!$C$6:$C$701,C8)</x:f>
        <x:v>1610</x:v>
      </x:c>
      <x:c r="L8" s="12" t="n">
        <x:f t="shared" si="2">IF(H8=0,"",(H8-K8)/H8)</x:f>
        <x:v>0</x:v>
      </x:c>
      <x:c r="M8" s="5" t="s">
        <x:v>20</x:v>
      </x:c>
      <x:c r="N8" s="5" t="s">
        <x:v>21</x:v>
      </x:c>
      <x:c r="O8" s="5" t="s">
        <x:v>22</x:v>
      </x:c>
      <x:c r="P8" s="14">
        <x:v>2677</x:v>
      </x:c>
      <x:c r="Q8" s="28" t="n">
        <x:f>COUNTIFS($A$6:$A$179,A8,$C$6:$C$179,C8)</x:f>
        <x:v>1</x:v>
      </x:c>
    </x:row>
    <x:row r="9" ht="22" customHeight="1">
      <x:c r="A9" s="15">
        <x:v>2020</x:v>
      </x:c>
      <x:c r="B9" s="1" t="s">
        <x:v>27</x:v>
      </x:c>
      <x:c r="C9" s="7" t="s">
        <x:v>28</x:v>
      </x:c>
      <x:c r="D9" s="9">
        <x:v>21</x:v>
      </x:c>
      <x:c r="E9" s="9">
        <x:v>2</x:v>
      </x:c>
      <x:c r="F9" s="9">
        <x:v>0</x:v>
      </x:c>
      <x:c r="G9" s="9">
        <x:v>0</x:v>
      </x:c>
      <x:c r="H9" s="9" t="n">
        <x:f t="shared" si="0">SUM(D9:G9)</x:f>
        <x:v>23</x:v>
      </x:c>
      <x:c r="I9" s="9" t="n">
        <x:f t="shared" si="1">SUM(E9:G9)</x:f>
        <x:v>2</x:v>
      </x:c>
      <x:c r="J9" s="11" t="n">
        <x:f>SUMIFS('By structure'!$G$6:$G$701,'By structure'!$A$6:$A$701,A9,'By structure'!$C$6:$C$701,C9)</x:f>
        <x:v>6817438</x:v>
      </x:c>
      <x:c r="K9" s="9" t="n">
        <x:f>SUMIFS('By structure'!$H$6:$H$701,'By structure'!$A$6:$A$701,A9,'By structure'!$C$6:$C$701,C9)</x:f>
        <x:v>23</x:v>
      </x:c>
      <x:c r="L9" s="13" t="n">
        <x:f t="shared" si="2">IF(H9=0,"",(H9-K9)/H9)</x:f>
        <x:v>0</x:v>
      </x:c>
      <x:c r="M9" s="1" t="s">
        <x:v>20</x:v>
      </x:c>
      <x:c r="N9" s="1" t="s">
        <x:v>21</x:v>
      </x:c>
      <x:c r="O9" s="1" t="s">
        <x:v>22</x:v>
      </x:c>
      <x:c r="P9" s="15">
        <x:v>2678</x:v>
      </x:c>
      <x:c r="Q9" s="28" t="n">
        <x:f>COUNTIFS($A$6:$A$179,A9,$C$6:$C$179,C9)</x:f>
        <x:v>1</x:v>
      </x:c>
    </x:row>
    <x:row r="10" ht="22" customHeight="1">
      <x:c r="A10" s="14">
        <x:v>2020</x:v>
      </x:c>
      <x:c r="B10" s="5" t="s">
        <x:v>29</x:v>
      </x:c>
      <x:c r="C10" s="6" t="s">
        <x:v>30</x:v>
      </x:c>
      <x:c r="D10" s="8">
        <x:v>9</x:v>
      </x:c>
      <x:c r="E10" s="8">
        <x:v>0</x:v>
      </x:c>
      <x:c r="F10" s="8">
        <x:v>0</x:v>
      </x:c>
      <x:c r="G10" s="8">
        <x:v>0</x:v>
      </x:c>
      <x:c r="H10" s="8" t="n">
        <x:f t="shared" si="0">SUM(D10:G10)</x:f>
        <x:v>9</x:v>
      </x:c>
      <x:c r="I10" s="8" t="n">
        <x:f t="shared" si="1">SUM(E10:G10)</x:f>
        <x:v>0</x:v>
      </x:c>
      <x:c r="J10" s="10" t="n">
        <x:f>SUMIFS('By structure'!$G$6:$G$701,'By structure'!$A$6:$A$701,A10,'By structure'!$C$6:$C$701,C10)</x:f>
        <x:v>2258152</x:v>
      </x:c>
      <x:c r="K10" s="8" t="n">
        <x:f>SUMIFS('By structure'!$H$6:$H$701,'By structure'!$A$6:$A$701,A10,'By structure'!$C$6:$C$701,C10)</x:f>
        <x:v>4</x:v>
      </x:c>
      <x:c r="L10" s="12" t="n">
        <x:f t="shared" si="2">IF(H10=0,"",(H10-K10)/H10)</x:f>
        <x:v>0.5555555555555556</x:v>
      </x:c>
      <x:c r="M10" s="5" t="s">
        <x:v>20</x:v>
      </x:c>
      <x:c r="N10" s="5" t="s">
        <x:v>21</x:v>
      </x:c>
      <x:c r="O10" s="5" t="s">
        <x:v>22</x:v>
      </x:c>
      <x:c r="P10" s="14">
        <x:v>2679</x:v>
      </x:c>
      <x:c r="Q10" s="28" t="n">
        <x:f>COUNTIFS($A$6:$A$179,A10,$C$6:$C$179,C10)</x:f>
        <x:v>1</x:v>
      </x:c>
    </x:row>
    <x:row r="11" ht="22" customHeight="1">
      <x:c r="A11" s="15">
        <x:v>2020</x:v>
      </x:c>
      <x:c r="B11" s="1" t="s">
        <x:v>31</x:v>
      </x:c>
      <x:c r="C11" s="7" t="s">
        <x:v>32</x:v>
      </x:c>
      <x:c r="D11" s="9">
        <x:v>1946</x:v>
      </x:c>
      <x:c r="E11" s="9">
        <x:v>12</x:v>
      </x:c>
      <x:c r="F11" s="9">
        <x:v>25</x:v>
      </x:c>
      <x:c r="G11" s="9">
        <x:v>434</x:v>
      </x:c>
      <x:c r="H11" s="9" t="n">
        <x:f t="shared" si="0">SUM(D11:G11)</x:f>
        <x:v>2417</x:v>
      </x:c>
      <x:c r="I11" s="9" t="n">
        <x:f t="shared" si="1">SUM(E11:G11)</x:f>
        <x:v>471</x:v>
      </x:c>
      <x:c r="J11" s="11" t="n">
        <x:f>SUMIFS('By structure'!$G$6:$G$701,'By structure'!$A$6:$A$701,A11,'By structure'!$C$6:$C$701,C11)</x:f>
        <x:v>603236927</x:v>
      </x:c>
      <x:c r="K11" s="9" t="n">
        <x:f>SUMIFS('By structure'!$H$6:$H$701,'By structure'!$A$6:$A$701,A11,'By structure'!$C$6:$C$701,C11)</x:f>
        <x:v>2417</x:v>
      </x:c>
      <x:c r="L11" s="13" t="n">
        <x:f t="shared" si="2">IF(H11=0,"",(H11-K11)/H11)</x:f>
        <x:v>0</x:v>
      </x:c>
      <x:c r="M11" s="1" t="s">
        <x:v>20</x:v>
      </x:c>
      <x:c r="N11" s="1" t="s">
        <x:v>21</x:v>
      </x:c>
      <x:c r="O11" s="1" t="s">
        <x:v>22</x:v>
      </x:c>
      <x:c r="P11" s="15">
        <x:v>2680</x:v>
      </x:c>
      <x:c r="Q11" s="28" t="n">
        <x:f>COUNTIFS($A$6:$A$179,A11,$C$6:$C$179,C11)</x:f>
        <x:v>1</x:v>
      </x:c>
    </x:row>
    <x:row r="12" ht="22" customHeight="1">
      <x:c r="A12" s="14">
        <x:v>2020</x:v>
      </x:c>
      <x:c r="B12" s="5" t="s">
        <x:v>33</x:v>
      </x:c>
      <x:c r="C12" s="6" t="s">
        <x:v>34</x:v>
      </x:c>
      <x:c r="D12" s="8">
        <x:v>101</x:v>
      </x:c>
      <x:c r="E12" s="8">
        <x:v>0</x:v>
      </x:c>
      <x:c r="F12" s="8">
        <x:v>4</x:v>
      </x:c>
      <x:c r="G12" s="8">
        <x:v>0</x:v>
      </x:c>
      <x:c r="H12" s="8" t="n">
        <x:f t="shared" si="0">SUM(D12:G12)</x:f>
        <x:v>105</x:v>
      </x:c>
      <x:c r="I12" s="8" t="n">
        <x:f t="shared" si="1">SUM(E12:G12)</x:f>
        <x:v>4</x:v>
      </x:c>
      <x:c r="J12" s="10" t="n">
        <x:f>SUMIFS('By structure'!$G$6:$G$701,'By structure'!$A$6:$A$701,A12,'By structure'!$C$6:$C$701,C12)</x:f>
        <x:v>24105274</x:v>
      </x:c>
      <x:c r="K12" s="8" t="n">
        <x:f>SUMIFS('By structure'!$H$6:$H$701,'By structure'!$A$6:$A$701,A12,'By structure'!$C$6:$C$701,C12)</x:f>
        <x:v>54</x:v>
      </x:c>
      <x:c r="L12" s="12" t="n">
        <x:f t="shared" si="2">IF(H12=0,"",(H12-K12)/H12)</x:f>
        <x:v>0.4857142857142857</x:v>
      </x:c>
      <x:c r="M12" s="5" t="s">
        <x:v>20</x:v>
      </x:c>
      <x:c r="N12" s="5" t="s">
        <x:v>21</x:v>
      </x:c>
      <x:c r="O12" s="5" t="s">
        <x:v>22</x:v>
      </x:c>
      <x:c r="P12" s="14">
        <x:v>2681</x:v>
      </x:c>
      <x:c r="Q12" s="28" t="n">
        <x:f>COUNTIFS($A$6:$A$179,A12,$C$6:$C$179,C12)</x:f>
        <x:v>1</x:v>
      </x:c>
    </x:row>
    <x:row r="13" ht="22" customHeight="1">
      <x:c r="A13" s="15">
        <x:v>2020</x:v>
      </x:c>
      <x:c r="B13" s="1" t="s">
        <x:v>35</x:v>
      </x:c>
      <x:c r="C13" s="7" t="s">
        <x:v>36</x:v>
      </x:c>
      <x:c r="D13" s="9">
        <x:v>7</x:v>
      </x:c>
      <x:c r="E13" s="9">
        <x:v>0</x:v>
      </x:c>
      <x:c r="F13" s="9">
        <x:v>0</x:v>
      </x:c>
      <x:c r="G13" s="9">
        <x:v>0</x:v>
      </x:c>
      <x:c r="H13" s="9" t="n">
        <x:f t="shared" si="0">SUM(D13:G13)</x:f>
        <x:v>7</x:v>
      </x:c>
      <x:c r="I13" s="9" t="n">
        <x:f t="shared" si="1">SUM(E13:G13)</x:f>
        <x:v>0</x:v>
      </x:c>
      <x:c r="J13" s="11" t="n">
        <x:f>SUMIFS('By structure'!$G$6:$G$701,'By structure'!$A$6:$A$701,A13,'By structure'!$C$6:$C$701,C13)</x:f>
        <x:v>1628900</x:v>
      </x:c>
      <x:c r="K13" s="9" t="n">
        <x:f>SUMIFS('By structure'!$H$6:$H$701,'By structure'!$A$6:$A$701,A13,'By structure'!$C$6:$C$701,C13)</x:f>
        <x:v>0</x:v>
      </x:c>
      <x:c r="L13" s="13" t="n">
        <x:f t="shared" si="2">IF(H13=0,"",(H13-K13)/H13)</x:f>
        <x:v>1</x:v>
      </x:c>
      <x:c r="M13" s="1" t="s">
        <x:v>20</x:v>
      </x:c>
      <x:c r="N13" s="1" t="s">
        <x:v>21</x:v>
      </x:c>
      <x:c r="O13" s="1" t="s">
        <x:v>22</x:v>
      </x:c>
      <x:c r="P13" s="15">
        <x:v>2682</x:v>
      </x:c>
      <x:c r="Q13" s="28" t="n">
        <x:f>COUNTIFS($A$6:$A$179,A13,$C$6:$C$179,C13)</x:f>
        <x:v>1</x:v>
      </x:c>
    </x:row>
    <x:row r="14" ht="22" customHeight="1">
      <x:c r="A14" s="14">
        <x:v>2020</x:v>
      </x:c>
      <x:c r="B14" s="5" t="s">
        <x:v>37</x:v>
      </x:c>
      <x:c r="C14" s="6" t="s">
        <x:v>38</x:v>
      </x:c>
      <x:c r="D14" s="8">
        <x:v>58</x:v>
      </x:c>
      <x:c r="E14" s="8">
        <x:v>0</x:v>
      </x:c>
      <x:c r="F14" s="8">
        <x:v>0</x:v>
      </x:c>
      <x:c r="G14" s="8">
        <x:v>0</x:v>
      </x:c>
      <x:c r="H14" s="8" t="n">
        <x:f t="shared" si="0">SUM(D14:G14)</x:f>
        <x:v>58</x:v>
      </x:c>
      <x:c r="I14" s="8" t="n">
        <x:f t="shared" si="1">SUM(E14:G14)</x:f>
        <x:v>0</x:v>
      </x:c>
      <x:c r="J14" s="10" t="n">
        <x:f>SUMIFS('By structure'!$G$6:$G$701,'By structure'!$A$6:$A$701,A14,'By structure'!$C$6:$C$701,C14)</x:f>
        <x:v>12107805</x:v>
      </x:c>
      <x:c r="K14" s="8" t="n">
        <x:f>SUMIFS('By structure'!$H$6:$H$701,'By structure'!$A$6:$A$701,A14,'By structure'!$C$6:$C$701,C14)</x:f>
        <x:v>58</x:v>
      </x:c>
      <x:c r="L14" s="12" t="n">
        <x:f t="shared" si="2">IF(H14=0,"",(H14-K14)/H14)</x:f>
        <x:v>0</x:v>
      </x:c>
      <x:c r="M14" s="5" t="s">
        <x:v>20</x:v>
      </x:c>
      <x:c r="N14" s="5" t="s">
        <x:v>21</x:v>
      </x:c>
      <x:c r="O14" s="5" t="s">
        <x:v>22</x:v>
      </x:c>
      <x:c r="P14" s="14">
        <x:v>2683</x:v>
      </x:c>
      <x:c r="Q14" s="28" t="n">
        <x:f>COUNTIFS($A$6:$A$179,A14,$C$6:$C$179,C14)</x:f>
        <x:v>1</x:v>
      </x:c>
    </x:row>
    <x:row r="15" ht="22" customHeight="1">
      <x:c r="A15" s="15">
        <x:v>2020</x:v>
      </x:c>
      <x:c r="B15" s="1" t="s">
        <x:v>39</x:v>
      </x:c>
      <x:c r="C15" s="7" t="s">
        <x:v>40</x:v>
      </x:c>
      <x:c r="D15" s="9">
        <x:v>71</x:v>
      </x:c>
      <x:c r="E15" s="9">
        <x:v>12</x:v>
      </x:c>
      <x:c r="F15" s="9">
        <x:v>24</x:v>
      </x:c>
      <x:c r="G15" s="9">
        <x:v>0</x:v>
      </x:c>
      <x:c r="H15" s="9" t="n">
        <x:f t="shared" si="0">SUM(D15:G15)</x:f>
        <x:v>107</x:v>
      </x:c>
      <x:c r="I15" s="9" t="n">
        <x:f t="shared" si="1">SUM(E15:G15)</x:f>
        <x:v>36</x:v>
      </x:c>
      <x:c r="J15" s="11" t="n">
        <x:f>SUMIFS('By structure'!$G$6:$G$701,'By structure'!$A$6:$A$701,A15,'By structure'!$C$6:$C$701,C15)</x:f>
        <x:v>22796380</x:v>
      </x:c>
      <x:c r="K15" s="9" t="n">
        <x:f>SUMIFS('By structure'!$H$6:$H$701,'By structure'!$A$6:$A$701,A15,'By structure'!$C$6:$C$701,C15)</x:f>
        <x:v>107</x:v>
      </x:c>
      <x:c r="L15" s="13" t="n">
        <x:f t="shared" si="2">IF(H15=0,"",(H15-K15)/H15)</x:f>
        <x:v>0</x:v>
      </x:c>
      <x:c r="M15" s="1" t="s">
        <x:v>20</x:v>
      </x:c>
      <x:c r="N15" s="1" t="s">
        <x:v>21</x:v>
      </x:c>
      <x:c r="O15" s="1" t="s">
        <x:v>22</x:v>
      </x:c>
      <x:c r="P15" s="15">
        <x:v>2684</x:v>
      </x:c>
      <x:c r="Q15" s="28" t="n">
        <x:f>COUNTIFS($A$6:$A$179,A15,$C$6:$C$179,C15)</x:f>
        <x:v>1</x:v>
      </x:c>
    </x:row>
    <x:row r="16" ht="22" customHeight="1">
      <x:c r="A16" s="14">
        <x:v>2020</x:v>
      </x:c>
      <x:c r="B16" s="5" t="s">
        <x:v>41</x:v>
      </x:c>
      <x:c r="C16" s="6" t="s">
        <x:v>42</x:v>
      </x:c>
      <x:c r="D16" s="8">
        <x:v>473</x:v>
      </x:c>
      <x:c r="E16" s="8">
        <x:v>2</x:v>
      </x:c>
      <x:c r="F16" s="8">
        <x:v>0</x:v>
      </x:c>
      <x:c r="G16" s="8">
        <x:v>39</x:v>
      </x:c>
      <x:c r="H16" s="8" t="n">
        <x:f t="shared" si="0">SUM(D16:G16)</x:f>
        <x:v>514</x:v>
      </x:c>
      <x:c r="I16" s="8" t="n">
        <x:f t="shared" si="1">SUM(E16:G16)</x:f>
        <x:v>41</x:v>
      </x:c>
      <x:c r="J16" s="10" t="n">
        <x:f>SUMIFS('By structure'!$G$6:$G$701,'By structure'!$A$6:$A$701,A16,'By structure'!$C$6:$C$701,C16)</x:f>
        <x:v>109378486</x:v>
      </x:c>
      <x:c r="K16" s="8" t="n">
        <x:f>SUMIFS('By structure'!$H$6:$H$701,'By structure'!$A$6:$A$701,A16,'By structure'!$C$6:$C$701,C16)</x:f>
        <x:v>203</x:v>
      </x:c>
      <x:c r="L16" s="12" t="n">
        <x:f t="shared" si="2">IF(H16=0,"",(H16-K16)/H16)</x:f>
        <x:v>0.6050583657587548</x:v>
      </x:c>
      <x:c r="M16" s="5" t="s">
        <x:v>20</x:v>
      </x:c>
      <x:c r="N16" s="5" t="s">
        <x:v>21</x:v>
      </x:c>
      <x:c r="O16" s="5" t="s">
        <x:v>22</x:v>
      </x:c>
      <x:c r="P16" s="14">
        <x:v>2685</x:v>
      </x:c>
      <x:c r="Q16" s="28" t="n">
        <x:f>COUNTIFS($A$6:$A$179,A16,$C$6:$C$179,C16)</x:f>
        <x:v>1</x:v>
      </x:c>
    </x:row>
    <x:row r="17" ht="22" customHeight="1">
      <x:c r="A17" s="15">
        <x:v>2020</x:v>
      </x:c>
      <x:c r="B17" s="1" t="s">
        <x:v>43</x:v>
      </x:c>
      <x:c r="C17" s="7" t="s">
        <x:v>44</x:v>
      </x:c>
      <x:c r="D17" s="9">
        <x:v>69</x:v>
      </x:c>
      <x:c r="E17" s="9">
        <x:v>10</x:v>
      </x:c>
      <x:c r="F17" s="9">
        <x:v>4</x:v>
      </x:c>
      <x:c r="G17" s="9">
        <x:v>25</x:v>
      </x:c>
      <x:c r="H17" s="9" t="n">
        <x:f t="shared" si="0">SUM(D17:G17)</x:f>
        <x:v>108</x:v>
      </x:c>
      <x:c r="I17" s="9" t="n">
        <x:f t="shared" si="1">SUM(E17:G17)</x:f>
        <x:v>39</x:v>
      </x:c>
      <x:c r="J17" s="11" t="n">
        <x:f>SUMIFS('By structure'!$G$6:$G$701,'By structure'!$A$6:$A$701,A17,'By structure'!$C$6:$C$701,C17)</x:f>
        <x:v>28711867</x:v>
      </x:c>
      <x:c r="K17" s="9" t="n">
        <x:f>SUMIFS('By structure'!$H$6:$H$701,'By structure'!$A$6:$A$701,A17,'By structure'!$C$6:$C$701,C17)</x:f>
        <x:v>92</x:v>
      </x:c>
      <x:c r="L17" s="13" t="n">
        <x:f t="shared" si="2">IF(H17=0,"",(H17-K17)/H17)</x:f>
        <x:v>0.14814814814814814</x:v>
      </x:c>
      <x:c r="M17" s="1" t="s">
        <x:v>20</x:v>
      </x:c>
      <x:c r="N17" s="1" t="s">
        <x:v>21</x:v>
      </x:c>
      <x:c r="O17" s="1" t="s">
        <x:v>22</x:v>
      </x:c>
      <x:c r="P17" s="15">
        <x:v>2686</x:v>
      </x:c>
      <x:c r="Q17" s="28" t="n">
        <x:f>COUNTIFS($A$6:$A$179,A17,$C$6:$C$179,C17)</x:f>
        <x:v>1</x:v>
      </x:c>
    </x:row>
    <x:row r="18" ht="22" customHeight="1">
      <x:c r="A18" s="14">
        <x:v>2020</x:v>
      </x:c>
      <x:c r="B18" s="5" t="s">
        <x:v>45</x:v>
      </x:c>
      <x:c r="C18" s="6" t="s">
        <x:v>46</x:v>
      </x:c>
      <x:c r="D18" s="8">
        <x:v>231</x:v>
      </x:c>
      <x:c r="E18" s="8">
        <x:v>2</x:v>
      </x:c>
      <x:c r="F18" s="8">
        <x:v>3</x:v>
      </x:c>
      <x:c r="G18" s="8">
        <x:v>0</x:v>
      </x:c>
      <x:c r="H18" s="8" t="n">
        <x:f t="shared" si="0">SUM(D18:G18)</x:f>
        <x:v>236</x:v>
      </x:c>
      <x:c r="I18" s="8" t="n">
        <x:f t="shared" si="1">SUM(E18:G18)</x:f>
        <x:v>5</x:v>
      </x:c>
      <x:c r="J18" s="10" t="n">
        <x:f>SUMIFS('By structure'!$G$6:$G$701,'By structure'!$A$6:$A$701,A18,'By structure'!$C$6:$C$701,C18)</x:f>
        <x:v>60386201</x:v>
      </x:c>
      <x:c r="K18" s="8" t="n">
        <x:f>SUMIFS('By structure'!$H$6:$H$701,'By structure'!$A$6:$A$701,A18,'By structure'!$C$6:$C$701,C18)</x:f>
        <x:v>235</x:v>
      </x:c>
      <x:c r="L18" s="12" t="n">
        <x:f t="shared" si="2">IF(H18=0,"",(H18-K18)/H18)</x:f>
        <x:v>0.00423728813559322</x:v>
      </x:c>
      <x:c r="M18" s="5" t="s">
        <x:v>20</x:v>
      </x:c>
      <x:c r="N18" s="5" t="s">
        <x:v>21</x:v>
      </x:c>
      <x:c r="O18" s="5" t="s">
        <x:v>22</x:v>
      </x:c>
      <x:c r="P18" s="14">
        <x:v>2687</x:v>
      </x:c>
      <x:c r="Q18" s="28" t="n">
        <x:f>COUNTIFS($A$6:$A$179,A18,$C$6:$C$179,C18)</x:f>
        <x:v>1</x:v>
      </x:c>
    </x:row>
    <x:row r="19" ht="22" customHeight="1">
      <x:c r="A19" s="15">
        <x:v>2020</x:v>
      </x:c>
      <x:c r="B19" s="1" t="s">
        <x:v>47</x:v>
      </x:c>
      <x:c r="C19" s="7" t="s">
        <x:v>48</x:v>
      </x:c>
      <x:c r="D19" s="9">
        <x:v>55</x:v>
      </x:c>
      <x:c r="E19" s="9">
        <x:v>4</x:v>
      </x:c>
      <x:c r="F19" s="9">
        <x:v>4</x:v>
      </x:c>
      <x:c r="G19" s="9">
        <x:v>0</x:v>
      </x:c>
      <x:c r="H19" s="9" t="n">
        <x:f t="shared" si="0">SUM(D19:G19)</x:f>
        <x:v>63</x:v>
      </x:c>
      <x:c r="I19" s="9" t="n">
        <x:f t="shared" si="1">SUM(E19:G19)</x:f>
        <x:v>8</x:v>
      </x:c>
      <x:c r="J19" s="11" t="n">
        <x:f>SUMIFS('By structure'!$G$6:$G$701,'By structure'!$A$6:$A$701,A19,'By structure'!$C$6:$C$701,C19)</x:f>
        <x:v>10711866</x:v>
      </x:c>
      <x:c r="K19" s="9" t="n">
        <x:f>SUMIFS('By structure'!$H$6:$H$701,'By structure'!$A$6:$A$701,A19,'By structure'!$C$6:$C$701,C19)</x:f>
        <x:v>62</x:v>
      </x:c>
      <x:c r="L19" s="13" t="n">
        <x:f t="shared" si="2">IF(H19=0,"",(H19-K19)/H19)</x:f>
        <x:v>0.015873015873015872</x:v>
      </x:c>
      <x:c r="M19" s="1" t="s">
        <x:v>20</x:v>
      </x:c>
      <x:c r="N19" s="1" t="s">
        <x:v>21</x:v>
      </x:c>
      <x:c r="O19" s="1" t="s">
        <x:v>22</x:v>
      </x:c>
      <x:c r="P19" s="15">
        <x:v>2688</x:v>
      </x:c>
      <x:c r="Q19" s="28" t="n">
        <x:f>COUNTIFS($A$6:$A$179,A19,$C$6:$C$179,C19)</x:f>
        <x:v>1</x:v>
      </x:c>
    </x:row>
    <x:row r="20" ht="22" customHeight="1">
      <x:c r="A20" s="14">
        <x:v>2020</x:v>
      </x:c>
      <x:c r="B20" s="5" t="s">
        <x:v>49</x:v>
      </x:c>
      <x:c r="C20" s="6" t="s">
        <x:v>50</x:v>
      </x:c>
      <x:c r="D20" s="8">
        <x:v>80</x:v>
      </x:c>
      <x:c r="E20" s="8">
        <x:v>0</x:v>
      </x:c>
      <x:c r="F20" s="8">
        <x:v>25</x:v>
      </x:c>
      <x:c r="G20" s="8">
        <x:v>0</x:v>
      </x:c>
      <x:c r="H20" s="8" t="n">
        <x:f t="shared" si="0">SUM(D20:G20)</x:f>
        <x:v>105</x:v>
      </x:c>
      <x:c r="I20" s="8" t="n">
        <x:f t="shared" si="1">SUM(E20:G20)</x:f>
        <x:v>25</x:v>
      </x:c>
      <x:c r="J20" s="10" t="n">
        <x:f>SUMIFS('By structure'!$G$6:$G$701,'By structure'!$A$6:$A$701,A20,'By structure'!$C$6:$C$701,C20)</x:f>
        <x:v>44884698</x:v>
      </x:c>
      <x:c r="K20" s="8" t="n">
        <x:f>SUMIFS('By structure'!$H$6:$H$701,'By structure'!$A$6:$A$701,A20,'By structure'!$C$6:$C$701,C20)</x:f>
        <x:v>105</x:v>
      </x:c>
      <x:c r="L20" s="12" t="n">
        <x:f t="shared" si="2">IF(H20=0,"",(H20-K20)/H20)</x:f>
        <x:v>0</x:v>
      </x:c>
      <x:c r="M20" s="5" t="s">
        <x:v>20</x:v>
      </x:c>
      <x:c r="N20" s="5" t="s">
        <x:v>21</x:v>
      </x:c>
      <x:c r="O20" s="5" t="s">
        <x:v>22</x:v>
      </x:c>
      <x:c r="P20" s="14">
        <x:v>2689</x:v>
      </x:c>
      <x:c r="Q20" s="28" t="n">
        <x:f>COUNTIFS($A$6:$A$179,A20,$C$6:$C$179,C20)</x:f>
        <x:v>1</x:v>
      </x:c>
    </x:row>
    <x:row r="21" ht="22" customHeight="1">
      <x:c r="A21" s="15">
        <x:v>2020</x:v>
      </x:c>
      <x:c r="B21" s="1" t="s">
        <x:v>51</x:v>
      </x:c>
      <x:c r="C21" s="7" t="s">
        <x:v>52</x:v>
      </x:c>
      <x:c r="D21" s="9">
        <x:v>26</x:v>
      </x:c>
      <x:c r="E21" s="9">
        <x:v>0</x:v>
      </x:c>
      <x:c r="F21" s="9">
        <x:v>0</x:v>
      </x:c>
      <x:c r="G21" s="9">
        <x:v>0</x:v>
      </x:c>
      <x:c r="H21" s="9" t="n">
        <x:f t="shared" si="0">SUM(D21:G21)</x:f>
        <x:v>26</x:v>
      </x:c>
      <x:c r="I21" s="9" t="n">
        <x:f t="shared" si="1">SUM(E21:G21)</x:f>
        <x:v>0</x:v>
      </x:c>
      <x:c r="J21" s="11" t="n">
        <x:f>SUMIFS('By structure'!$G$6:$G$701,'By structure'!$A$6:$A$701,A21,'By structure'!$C$6:$C$701,C21)</x:f>
        <x:v>4155930</x:v>
      </x:c>
      <x:c r="K21" s="9" t="n">
        <x:f>SUMIFS('By structure'!$H$6:$H$701,'By structure'!$A$6:$A$701,A21,'By structure'!$C$6:$C$701,C21)</x:f>
        <x:v>0</x:v>
      </x:c>
      <x:c r="L21" s="13" t="n">
        <x:f t="shared" si="2">IF(H21=0,"",(H21-K21)/H21)</x:f>
        <x:v>1</x:v>
      </x:c>
      <x:c r="M21" s="1" t="s">
        <x:v>20</x:v>
      </x:c>
      <x:c r="N21" s="1" t="s">
        <x:v>21</x:v>
      </x:c>
      <x:c r="O21" s="1" t="s">
        <x:v>22</x:v>
      </x:c>
      <x:c r="P21" s="15">
        <x:v>2690</x:v>
      </x:c>
      <x:c r="Q21" s="28" t="n">
        <x:f>COUNTIFS($A$6:$A$179,A21,$C$6:$C$179,C21)</x:f>
        <x:v>1</x:v>
      </x:c>
    </x:row>
    <x:row r="22" ht="22" customHeight="1">
      <x:c r="A22" s="14">
        <x:v>2020</x:v>
      </x:c>
      <x:c r="B22" s="5" t="s">
        <x:v>53</x:v>
      </x:c>
      <x:c r="C22" s="6" t="s">
        <x:v>54</x:v>
      </x:c>
      <x:c r="D22" s="8">
        <x:v>53</x:v>
      </x:c>
      <x:c r="E22" s="8">
        <x:v>0</x:v>
      </x:c>
      <x:c r="F22" s="8">
        <x:v>0</x:v>
      </x:c>
      <x:c r="G22" s="8">
        <x:v>0</x:v>
      </x:c>
      <x:c r="H22" s="8" t="n">
        <x:f t="shared" si="0">SUM(D22:G22)</x:f>
        <x:v>53</x:v>
      </x:c>
      <x:c r="I22" s="8" t="n">
        <x:f t="shared" si="1">SUM(E22:G22)</x:f>
        <x:v>0</x:v>
      </x:c>
      <x:c r="J22" s="10" t="n">
        <x:f>SUMIFS('By structure'!$G$6:$G$701,'By structure'!$A$6:$A$701,A22,'By structure'!$C$6:$C$701,C22)</x:f>
        <x:v>17192563</x:v>
      </x:c>
      <x:c r="K22" s="8" t="n">
        <x:f>SUMIFS('By structure'!$H$6:$H$701,'By structure'!$A$6:$A$701,A22,'By structure'!$C$6:$C$701,C22)</x:f>
        <x:v>0</x:v>
      </x:c>
      <x:c r="L22" s="12" t="n">
        <x:f t="shared" si="2">IF(H22=0,"",(H22-K22)/H22)</x:f>
        <x:v>1</x:v>
      </x:c>
      <x:c r="M22" s="5" t="s">
        <x:v>20</x:v>
      </x:c>
      <x:c r="N22" s="5" t="s">
        <x:v>21</x:v>
      </x:c>
      <x:c r="O22" s="5" t="s">
        <x:v>22</x:v>
      </x:c>
      <x:c r="P22" s="14">
        <x:v>2691</x:v>
      </x:c>
      <x:c r="Q22" s="28" t="n">
        <x:f>COUNTIFS($A$6:$A$179,A22,$C$6:$C$179,C22)</x:f>
        <x:v>1</x:v>
      </x:c>
    </x:row>
    <x:row r="23" ht="22" customHeight="1">
      <x:c r="A23" s="15">
        <x:v>2020</x:v>
      </x:c>
      <x:c r="B23" s="1" t="s">
        <x:v>55</x:v>
      </x:c>
      <x:c r="C23" s="7" t="s">
        <x:v>56</x:v>
      </x:c>
      <x:c r="D23" s="9">
        <x:v>4322</x:v>
      </x:c>
      <x:c r="E23" s="9">
        <x:v>274</x:v>
      </x:c>
      <x:c r="F23" s="9">
        <x:v>249</x:v>
      </x:c>
      <x:c r="G23" s="9">
        <x:v>5256</x:v>
      </x:c>
      <x:c r="H23" s="9" t="n">
        <x:f t="shared" si="0">SUM(D23:G23)</x:f>
        <x:v>10101</x:v>
      </x:c>
      <x:c r="I23" s="9" t="n">
        <x:f t="shared" si="1">SUM(E23:G23)</x:f>
        <x:v>5779</x:v>
      </x:c>
      <x:c r="J23" s="11" t="n">
        <x:f>SUMIFS('By structure'!$G$6:$G$701,'By structure'!$A$6:$A$701,A23,'By structure'!$C$6:$C$701,C23)</x:f>
        <x:v>2014033380</x:v>
      </x:c>
      <x:c r="K23" s="9" t="n">
        <x:f>SUMIFS('By structure'!$H$6:$H$701,'By structure'!$A$6:$A$701,A23,'By structure'!$C$6:$C$701,C23)</x:f>
        <x:v>8892</x:v>
      </x:c>
      <x:c r="L23" s="13" t="n">
        <x:f t="shared" si="2">IF(H23=0,"",(H23-K23)/H23)</x:f>
        <x:v>0.11969111969111969</x:v>
      </x:c>
      <x:c r="M23" s="1" t="s">
        <x:v>20</x:v>
      </x:c>
      <x:c r="N23" s="1" t="s">
        <x:v>21</x:v>
      </x:c>
      <x:c r="O23" s="1" t="s">
        <x:v>22</x:v>
      </x:c>
      <x:c r="P23" s="15">
        <x:v>2692</x:v>
      </x:c>
      <x:c r="Q23" s="28" t="n">
        <x:f>COUNTIFS($A$6:$A$179,A23,$C$6:$C$179,C23)</x:f>
        <x:v>1</x:v>
      </x:c>
    </x:row>
    <x:row r="24" ht="22" customHeight="1">
      <x:c r="A24" s="14">
        <x:v>2020</x:v>
      </x:c>
      <x:c r="B24" s="5" t="s">
        <x:v>57</x:v>
      </x:c>
      <x:c r="C24" s="6" t="s">
        <x:v>58</x:v>
      </x:c>
      <x:c r="D24" s="8">
        <x:v>46</x:v>
      </x:c>
      <x:c r="E24" s="8">
        <x:v>0</x:v>
      </x:c>
      <x:c r="F24" s="8">
        <x:v>0</x:v>
      </x:c>
      <x:c r="G24" s="8">
        <x:v>0</x:v>
      </x:c>
      <x:c r="H24" s="8" t="n">
        <x:f t="shared" si="0">SUM(D24:G24)</x:f>
        <x:v>46</x:v>
      </x:c>
      <x:c r="I24" s="8" t="n">
        <x:f t="shared" si="1">SUM(E24:G24)</x:f>
        <x:v>0</x:v>
      </x:c>
      <x:c r="J24" s="10" t="n">
        <x:f>SUMIFS('By structure'!$G$6:$G$701,'By structure'!$A$6:$A$701,A24,'By structure'!$C$6:$C$701,C24)</x:f>
        <x:v>7171344</x:v>
      </x:c>
      <x:c r="K24" s="8" t="n">
        <x:f>SUMIFS('By structure'!$H$6:$H$701,'By structure'!$A$6:$A$701,A24,'By structure'!$C$6:$C$701,C24)</x:f>
        <x:v>8</x:v>
      </x:c>
      <x:c r="L24" s="12" t="n">
        <x:f t="shared" si="2">IF(H24=0,"",(H24-K24)/H24)</x:f>
        <x:v>0.8260869565217391</x:v>
      </x:c>
      <x:c r="M24" s="5" t="s">
        <x:v>20</x:v>
      </x:c>
      <x:c r="N24" s="5" t="s">
        <x:v>21</x:v>
      </x:c>
      <x:c r="O24" s="5" t="s">
        <x:v>22</x:v>
      </x:c>
      <x:c r="P24" s="14">
        <x:v>2693</x:v>
      </x:c>
      <x:c r="Q24" s="28" t="n">
        <x:f>COUNTIFS($A$6:$A$179,A24,$C$6:$C$179,C24)</x:f>
        <x:v>1</x:v>
      </x:c>
    </x:row>
    <x:row r="25" ht="22" customHeight="1">
      <x:c r="A25" s="15">
        <x:v>2020</x:v>
      </x:c>
      <x:c r="B25" s="1" t="s">
        <x:v>59</x:v>
      </x:c>
      <x:c r="C25" s="7" t="s">
        <x:v>60</x:v>
      </x:c>
      <x:c r="D25" s="9">
        <x:v>73</x:v>
      </x:c>
      <x:c r="E25" s="9">
        <x:v>0</x:v>
      </x:c>
      <x:c r="F25" s="9">
        <x:v>0</x:v>
      </x:c>
      <x:c r="G25" s="9">
        <x:v>0</x:v>
      </x:c>
      <x:c r="H25" s="9" t="n">
        <x:f t="shared" si="0">SUM(D25:G25)</x:f>
        <x:v>73</x:v>
      </x:c>
      <x:c r="I25" s="9" t="n">
        <x:f t="shared" si="1">SUM(E25:G25)</x:f>
        <x:v>0</x:v>
      </x:c>
      <x:c r="J25" s="11" t="n">
        <x:f>SUMIFS('By structure'!$G$6:$G$701,'By structure'!$A$6:$A$701,A25,'By structure'!$C$6:$C$701,C25)</x:f>
        <x:v>14797439</x:v>
      </x:c>
      <x:c r="K25" s="9" t="n">
        <x:f>SUMIFS('By structure'!$H$6:$H$701,'By structure'!$A$6:$A$701,A25,'By structure'!$C$6:$C$701,C25)</x:f>
        <x:v>73</x:v>
      </x:c>
      <x:c r="L25" s="13" t="n">
        <x:f t="shared" si="2">IF(H25=0,"",(H25-K25)/H25)</x:f>
        <x:v>0</x:v>
      </x:c>
      <x:c r="M25" s="1" t="s">
        <x:v>20</x:v>
      </x:c>
      <x:c r="N25" s="1" t="s">
        <x:v>21</x:v>
      </x:c>
      <x:c r="O25" s="1" t="s">
        <x:v>22</x:v>
      </x:c>
      <x:c r="P25" s="15">
        <x:v>2694</x:v>
      </x:c>
      <x:c r="Q25" s="28" t="n">
        <x:f>COUNTIFS($A$6:$A$179,A25,$C$6:$C$179,C25)</x:f>
        <x:v>1</x:v>
      </x:c>
    </x:row>
    <x:row r="26" ht="22" customHeight="1">
      <x:c r="A26" s="14">
        <x:v>2020</x:v>
      </x:c>
      <x:c r="B26" s="5" t="s">
        <x:v>61</x:v>
      </x:c>
      <x:c r="C26" s="6" t="s">
        <x:v>62</x:v>
      </x:c>
      <x:c r="D26" s="8">
        <x:v>101</x:v>
      </x:c>
      <x:c r="E26" s="8">
        <x:v>4</x:v>
      </x:c>
      <x:c r="F26" s="8">
        <x:v>0</x:v>
      </x:c>
      <x:c r="G26" s="8">
        <x:v>0</x:v>
      </x:c>
      <x:c r="H26" s="8" t="n">
        <x:f t="shared" si="0">SUM(D26:G26)</x:f>
        <x:v>105</x:v>
      </x:c>
      <x:c r="I26" s="8" t="n">
        <x:f t="shared" si="1">SUM(E26:G26)</x:f>
        <x:v>4</x:v>
      </x:c>
      <x:c r="J26" s="10" t="n">
        <x:f>SUMIFS('By structure'!$G$6:$G$701,'By structure'!$A$6:$A$701,A26,'By structure'!$C$6:$C$701,C26)</x:f>
        <x:v>25115061</x:v>
      </x:c>
      <x:c r="K26" s="8" t="n">
        <x:f>SUMIFS('By structure'!$H$6:$H$701,'By structure'!$A$6:$A$701,A26,'By structure'!$C$6:$C$701,C26)</x:f>
        <x:v>105</x:v>
      </x:c>
      <x:c r="L26" s="12" t="n">
        <x:f t="shared" si="2">IF(H26=0,"",(H26-K26)/H26)</x:f>
        <x:v>0</x:v>
      </x:c>
      <x:c r="M26" s="5" t="s">
        <x:v>20</x:v>
      </x:c>
      <x:c r="N26" s="5" t="s">
        <x:v>21</x:v>
      </x:c>
      <x:c r="O26" s="5" t="s">
        <x:v>22</x:v>
      </x:c>
      <x:c r="P26" s="14">
        <x:v>2695</x:v>
      </x:c>
      <x:c r="Q26" s="28" t="n">
        <x:f>COUNTIFS($A$6:$A$179,A26,$C$6:$C$179,C26)</x:f>
        <x:v>1</x:v>
      </x:c>
    </x:row>
    <x:row r="27" ht="22" customHeight="1">
      <x:c r="A27" s="15">
        <x:v>2020</x:v>
      </x:c>
      <x:c r="B27" s="1" t="s">
        <x:v>63</x:v>
      </x:c>
      <x:c r="C27" s="7" t="s">
        <x:v>64</x:v>
      </x:c>
      <x:c r="D27" s="9">
        <x:v>199</x:v>
      </x:c>
      <x:c r="E27" s="9">
        <x:v>4</x:v>
      </x:c>
      <x:c r="F27" s="9">
        <x:v>40</x:v>
      </x:c>
      <x:c r="G27" s="9">
        <x:v>72</x:v>
      </x:c>
      <x:c r="H27" s="9" t="n">
        <x:f t="shared" si="0">SUM(D27:G27)</x:f>
        <x:v>315</x:v>
      </x:c>
      <x:c r="I27" s="9" t="n">
        <x:f t="shared" si="1">SUM(E27:G27)</x:f>
        <x:v>116</x:v>
      </x:c>
      <x:c r="J27" s="11" t="n">
        <x:f>SUMIFS('By structure'!$G$6:$G$701,'By structure'!$A$6:$A$701,A27,'By structure'!$C$6:$C$701,C27)</x:f>
        <x:v>161870436</x:v>
      </x:c>
      <x:c r="K27" s="9" t="n">
        <x:f>SUMIFS('By structure'!$H$6:$H$701,'By structure'!$A$6:$A$701,A27,'By structure'!$C$6:$C$701,C27)</x:f>
        <x:v>116</x:v>
      </x:c>
      <x:c r="L27" s="13" t="n">
        <x:f t="shared" si="2">IF(H27=0,"",(H27-K27)/H27)</x:f>
        <x:v>0.6317460317460317</x:v>
      </x:c>
      <x:c r="M27" s="1" t="s">
        <x:v>20</x:v>
      </x:c>
      <x:c r="N27" s="1" t="s">
        <x:v>21</x:v>
      </x:c>
      <x:c r="O27" s="1" t="s">
        <x:v>22</x:v>
      </x:c>
      <x:c r="P27" s="15">
        <x:v>2696</x:v>
      </x:c>
      <x:c r="Q27" s="28" t="n">
        <x:f>COUNTIFS($A$6:$A$179,A27,$C$6:$C$179,C27)</x:f>
        <x:v>1</x:v>
      </x:c>
    </x:row>
    <x:row r="28" ht="22" customHeight="1">
      <x:c r="A28" s="14">
        <x:v>2020</x:v>
      </x:c>
      <x:c r="B28" s="5" t="s">
        <x:v>65</x:v>
      </x:c>
      <x:c r="C28" s="6" t="s">
        <x:v>66</x:v>
      </x:c>
      <x:c r="D28" s="8">
        <x:v>881</x:v>
      </x:c>
      <x:c r="E28" s="8">
        <x:v>6</x:v>
      </x:c>
      <x:c r="F28" s="8">
        <x:v>11</x:v>
      </x:c>
      <x:c r="G28" s="8">
        <x:v>34</x:v>
      </x:c>
      <x:c r="H28" s="8" t="n">
        <x:f t="shared" si="0">SUM(D28:G28)</x:f>
        <x:v>932</x:v>
      </x:c>
      <x:c r="I28" s="8" t="n">
        <x:f t="shared" si="1">SUM(E28:G28)</x:f>
        <x:v>51</x:v>
      </x:c>
      <x:c r="J28" s="10" t="n">
        <x:f>SUMIFS('By structure'!$G$6:$G$701,'By structure'!$A$6:$A$701,A28,'By structure'!$C$6:$C$701,C28)</x:f>
        <x:v>213859857</x:v>
      </x:c>
      <x:c r="K28" s="8" t="n">
        <x:f>SUMIFS('By structure'!$H$6:$H$701,'By structure'!$A$6:$A$701,A28,'By structure'!$C$6:$C$701,C28)</x:f>
        <x:v>932</x:v>
      </x:c>
      <x:c r="L28" s="12" t="n">
        <x:f t="shared" si="2">IF(H28=0,"",(H28-K28)/H28)</x:f>
        <x:v>0</x:v>
      </x:c>
      <x:c r="M28" s="5" t="s">
        <x:v>20</x:v>
      </x:c>
      <x:c r="N28" s="5" t="s">
        <x:v>21</x:v>
      </x:c>
      <x:c r="O28" s="5" t="s">
        <x:v>22</x:v>
      </x:c>
      <x:c r="P28" s="14">
        <x:v>2697</x:v>
      </x:c>
      <x:c r="Q28" s="28" t="n">
        <x:f>COUNTIFS($A$6:$A$179,A28,$C$6:$C$179,C28)</x:f>
        <x:v>1</x:v>
      </x:c>
    </x:row>
    <x:row r="29" ht="22" customHeight="1">
      <x:c r="A29" s="15">
        <x:v>2020</x:v>
      </x:c>
      <x:c r="B29" s="1" t="s">
        <x:v>67</x:v>
      </x:c>
      <x:c r="C29" s="7" t="s">
        <x:v>68</x:v>
      </x:c>
      <x:c r="D29" s="9">
        <x:v>59</x:v>
      </x:c>
      <x:c r="E29" s="9">
        <x:v>0</x:v>
      </x:c>
      <x:c r="F29" s="9">
        <x:v>0</x:v>
      </x:c>
      <x:c r="G29" s="9">
        <x:v>0</x:v>
      </x:c>
      <x:c r="H29" s="9" t="n">
        <x:f t="shared" si="0">SUM(D29:G29)</x:f>
        <x:v>59</x:v>
      </x:c>
      <x:c r="I29" s="9" t="n">
        <x:f t="shared" si="1">SUM(E29:G29)</x:f>
        <x:v>0</x:v>
      </x:c>
      <x:c r="J29" s="11" t="n">
        <x:f>SUMIFS('By structure'!$G$6:$G$701,'By structure'!$A$6:$A$701,A29,'By structure'!$C$6:$C$701,C29)</x:f>
        <x:v>16891102</x:v>
      </x:c>
      <x:c r="K29" s="9" t="n">
        <x:f>SUMIFS('By structure'!$H$6:$H$701,'By structure'!$A$6:$A$701,A29,'By structure'!$C$6:$C$701,C29)</x:f>
        <x:v>59</x:v>
      </x:c>
      <x:c r="L29" s="13" t="n">
        <x:f t="shared" si="2">IF(H29=0,"",(H29-K29)/H29)</x:f>
        <x:v>0</x:v>
      </x:c>
      <x:c r="M29" s="1" t="s">
        <x:v>20</x:v>
      </x:c>
      <x:c r="N29" s="1" t="s">
        <x:v>21</x:v>
      </x:c>
      <x:c r="O29" s="1" t="s">
        <x:v>22</x:v>
      </x:c>
      <x:c r="P29" s="15">
        <x:v>2698</x:v>
      </x:c>
      <x:c r="Q29" s="28" t="n">
        <x:f>COUNTIFS($A$6:$A$179,A29,$C$6:$C$179,C29)</x:f>
        <x:v>1</x:v>
      </x:c>
    </x:row>
    <x:row r="30" ht="22" customHeight="1">
      <x:c r="A30" s="14">
        <x:v>2020</x:v>
      </x:c>
      <x:c r="B30" s="5" t="s">
        <x:v>69</x:v>
      </x:c>
      <x:c r="C30" s="6" t="s">
        <x:v>70</x:v>
      </x:c>
      <x:c r="D30" s="8">
        <x:v>6731</x:v>
      </x:c>
      <x:c r="E30" s="8">
        <x:v>38</x:v>
      </x:c>
      <x:c r="F30" s="8">
        <x:v>391</x:v>
      </x:c>
      <x:c r="G30" s="8">
        <x:v>699</x:v>
      </x:c>
      <x:c r="H30" s="8" t="n">
        <x:f t="shared" si="0">SUM(D30:G30)</x:f>
        <x:v>7859</x:v>
      </x:c>
      <x:c r="I30" s="8" t="n">
        <x:f t="shared" si="1">SUM(E30:G30)</x:f>
        <x:v>1128</x:v>
      </x:c>
      <x:c r="J30" s="10" t="n">
        <x:f>SUMIFS('By structure'!$G$6:$G$701,'By structure'!$A$6:$A$701,A30,'By structure'!$C$6:$C$701,C30)</x:f>
        <x:v>2068190516</x:v>
      </x:c>
      <x:c r="K30" s="8" t="n">
        <x:f>SUMIFS('By structure'!$H$6:$H$701,'By structure'!$A$6:$A$701,A30,'By structure'!$C$6:$C$701,C30)</x:f>
        <x:v>7740</x:v>
      </x:c>
      <x:c r="L30" s="12" t="n">
        <x:f t="shared" si="2">IF(H30=0,"",(H30-K30)/H30)</x:f>
        <x:v>0.015141875556686602</x:v>
      </x:c>
      <x:c r="M30" s="5" t="s">
        <x:v>20</x:v>
      </x:c>
      <x:c r="N30" s="5" t="s">
        <x:v>21</x:v>
      </x:c>
      <x:c r="O30" s="5" t="s">
        <x:v>22</x:v>
      </x:c>
      <x:c r="P30" s="14">
        <x:v>2699</x:v>
      </x:c>
      <x:c r="Q30" s="28" t="n">
        <x:f>COUNTIFS($A$6:$A$179,A30,$C$6:$C$179,C30)</x:f>
        <x:v>1</x:v>
      </x:c>
    </x:row>
    <x:row r="31" ht="22" customHeight="1">
      <x:c r="A31" s="15">
        <x:v>2020</x:v>
      </x:c>
      <x:c r="B31" s="1" t="s">
        <x:v>71</x:v>
      </x:c>
      <x:c r="C31" s="7" t="s">
        <x:v>72</x:v>
      </x:c>
      <x:c r="D31" s="9">
        <x:v>496</x:v>
      </x:c>
      <x:c r="E31" s="9">
        <x:v>0</x:v>
      </x:c>
      <x:c r="F31" s="9">
        <x:v>0</x:v>
      </x:c>
      <x:c r="G31" s="9">
        <x:v>21</x:v>
      </x:c>
      <x:c r="H31" s="9" t="n">
        <x:f t="shared" si="0">SUM(D31:G31)</x:f>
        <x:v>517</x:v>
      </x:c>
      <x:c r="I31" s="9" t="n">
        <x:f t="shared" si="1">SUM(E31:G31)</x:f>
        <x:v>21</x:v>
      </x:c>
      <x:c r="J31" s="11" t="n">
        <x:f>SUMIFS('By structure'!$G$6:$G$701,'By structure'!$A$6:$A$701,A31,'By structure'!$C$6:$C$701,C31)</x:f>
        <x:v>270565166</x:v>
      </x:c>
      <x:c r="K31" s="9" t="n">
        <x:f>SUMIFS('By structure'!$H$6:$H$701,'By structure'!$A$6:$A$701,A31,'By structure'!$C$6:$C$701,C31)</x:f>
        <x:v>512</x:v>
      </x:c>
      <x:c r="L31" s="13" t="n">
        <x:f t="shared" si="2">IF(H31=0,"",(H31-K31)/H31)</x:f>
        <x:v>0.009671179883945842</x:v>
      </x:c>
      <x:c r="M31" s="1" t="s">
        <x:v>20</x:v>
      </x:c>
      <x:c r="N31" s="1" t="s">
        <x:v>21</x:v>
      </x:c>
      <x:c r="O31" s="1" t="s">
        <x:v>22</x:v>
      </x:c>
      <x:c r="P31" s="15">
        <x:v>2700</x:v>
      </x:c>
      <x:c r="Q31" s="28" t="n">
        <x:f>COUNTIFS($A$6:$A$179,A31,$C$6:$C$179,C31)</x:f>
        <x:v>1</x:v>
      </x:c>
    </x:row>
    <x:row r="32" ht="22" customHeight="1">
      <x:c r="A32" s="14">
        <x:v>2020</x:v>
      </x:c>
      <x:c r="B32" s="5" t="s">
        <x:v>73</x:v>
      </x:c>
      <x:c r="C32" s="6" t="s">
        <x:v>74</x:v>
      </x:c>
      <x:c r="D32" s="8">
        <x:v>2939</x:v>
      </x:c>
      <x:c r="E32" s="8">
        <x:v>14</x:v>
      </x:c>
      <x:c r="F32" s="8">
        <x:v>51</x:v>
      </x:c>
      <x:c r="G32" s="8">
        <x:v>310</x:v>
      </x:c>
      <x:c r="H32" s="8" t="n">
        <x:f t="shared" si="0">SUM(D32:G32)</x:f>
        <x:v>3314</x:v>
      </x:c>
      <x:c r="I32" s="8" t="n">
        <x:f t="shared" si="1">SUM(E32:G32)</x:f>
        <x:v>375</x:v>
      </x:c>
      <x:c r="J32" s="10" t="n">
        <x:f>SUMIFS('By structure'!$G$6:$G$701,'By structure'!$A$6:$A$701,A32,'By structure'!$C$6:$C$701,C32)</x:f>
        <x:v>641709080</x:v>
      </x:c>
      <x:c r="K32" s="8" t="n">
        <x:f>SUMIFS('By structure'!$H$6:$H$701,'By structure'!$A$6:$A$701,A32,'By structure'!$C$6:$C$701,C32)</x:f>
        <x:v>2834</x:v>
      </x:c>
      <x:c r="L32" s="12" t="n">
        <x:f t="shared" si="2">IF(H32=0,"",(H32-K32)/H32)</x:f>
        <x:v>0.14484007242003621</x:v>
      </x:c>
      <x:c r="M32" s="5" t="s">
        <x:v>20</x:v>
      </x:c>
      <x:c r="N32" s="5" t="s">
        <x:v>21</x:v>
      </x:c>
      <x:c r="O32" s="5" t="s">
        <x:v>22</x:v>
      </x:c>
      <x:c r="P32" s="14">
        <x:v>2701</x:v>
      </x:c>
      <x:c r="Q32" s="28" t="n">
        <x:f>COUNTIFS($A$6:$A$179,A32,$C$6:$C$179,C32)</x:f>
        <x:v>1</x:v>
      </x:c>
    </x:row>
    <x:row r="33" ht="22" customHeight="1">
      <x:c r="A33" s="15">
        <x:v>2020</x:v>
      </x:c>
      <x:c r="B33" s="1" t="s">
        <x:v>75</x:v>
      </x:c>
      <x:c r="C33" s="7" t="s">
        <x:v>76</x:v>
      </x:c>
      <x:c r="D33" s="9">
        <x:v>31</x:v>
      </x:c>
      <x:c r="E33" s="9">
        <x:v>0</x:v>
      </x:c>
      <x:c r="F33" s="9">
        <x:v>0</x:v>
      </x:c>
      <x:c r="G33" s="9">
        <x:v>0</x:v>
      </x:c>
      <x:c r="H33" s="9" t="n">
        <x:f t="shared" si="0">SUM(D33:G33)</x:f>
        <x:v>31</x:v>
      </x:c>
      <x:c r="I33" s="9" t="n">
        <x:f t="shared" si="1">SUM(E33:G33)</x:f>
        <x:v>0</x:v>
      </x:c>
      <x:c r="J33" s="11" t="n">
        <x:f>SUMIFS('By structure'!$G$6:$G$701,'By structure'!$A$6:$A$701,A33,'By structure'!$C$6:$C$701,C33)</x:f>
        <x:v>7760000</x:v>
      </x:c>
      <x:c r="K33" s="9" t="n">
        <x:f>SUMIFS('By structure'!$H$6:$H$701,'By structure'!$A$6:$A$701,A33,'By structure'!$C$6:$C$701,C33)</x:f>
        <x:v>31</x:v>
      </x:c>
      <x:c r="L33" s="13" t="n">
        <x:f t="shared" si="2">IF(H33=0,"",(H33-K33)/H33)</x:f>
        <x:v>0</x:v>
      </x:c>
      <x:c r="M33" s="1" t="s">
        <x:v>20</x:v>
      </x:c>
      <x:c r="N33" s="1" t="s">
        <x:v>21</x:v>
      </x:c>
      <x:c r="O33" s="1" t="s">
        <x:v>22</x:v>
      </x:c>
      <x:c r="P33" s="15">
        <x:v>2702</x:v>
      </x:c>
      <x:c r="Q33" s="28" t="n">
        <x:f>COUNTIFS($A$6:$A$179,A33,$C$6:$C$179,C33)</x:f>
        <x:v>1</x:v>
      </x:c>
    </x:row>
    <x:row r="34" ht="22" customHeight="1">
      <x:c r="A34" s="14">
        <x:v>2020</x:v>
      </x:c>
      <x:c r="B34" s="5" t="s">
        <x:v>77</x:v>
      </x:c>
      <x:c r="C34" s="6" t="s">
        <x:v>78</x:v>
      </x:c>
      <x:c r="D34" s="8">
        <x:v>1817</x:v>
      </x:c>
      <x:c r="E34" s="8">
        <x:v>10</x:v>
      </x:c>
      <x:c r="F34" s="8">
        <x:v>122</x:v>
      </x:c>
      <x:c r="G34" s="8">
        <x:v>458</x:v>
      </x:c>
      <x:c r="H34" s="8" t="n">
        <x:f t="shared" si="0">SUM(D34:G34)</x:f>
        <x:v>2407</x:v>
      </x:c>
      <x:c r="I34" s="8" t="n">
        <x:f t="shared" si="1">SUM(E34:G34)</x:f>
        <x:v>590</x:v>
      </x:c>
      <x:c r="J34" s="10" t="n">
        <x:f>SUMIFS('By structure'!$G$6:$G$701,'By structure'!$A$6:$A$701,A34,'By structure'!$C$6:$C$701,C34)</x:f>
        <x:v>471047819</x:v>
      </x:c>
      <x:c r="K34" s="8" t="n">
        <x:f>SUMIFS('By structure'!$H$6:$H$701,'By structure'!$A$6:$A$701,A34,'By structure'!$C$6:$C$701,C34)</x:f>
        <x:v>2337</x:v>
      </x:c>
      <x:c r="L34" s="12" t="n">
        <x:f t="shared" si="2">IF(H34=0,"",(H34-K34)/H34)</x:f>
        <x:v>0.029081844619858747</x:v>
      </x:c>
      <x:c r="M34" s="5" t="s">
        <x:v>20</x:v>
      </x:c>
      <x:c r="N34" s="5" t="s">
        <x:v>21</x:v>
      </x:c>
      <x:c r="O34" s="5" t="s">
        <x:v>22</x:v>
      </x:c>
      <x:c r="P34" s="14">
        <x:v>2703</x:v>
      </x:c>
      <x:c r="Q34" s="28" t="n">
        <x:f>COUNTIFS($A$6:$A$179,A34,$C$6:$C$179,C34)</x:f>
        <x:v>1</x:v>
      </x:c>
    </x:row>
    <x:row r="35" ht="22" customHeight="1">
      <x:c r="A35" s="15">
        <x:v>2021</x:v>
      </x:c>
      <x:c r="B35" s="1" t="s">
        <x:v>18</x:v>
      </x:c>
      <x:c r="C35" s="7" t="s">
        <x:v>19</x:v>
      </x:c>
      <x:c r="D35" s="9">
        <x:v>56</x:v>
      </x:c>
      <x:c r="E35" s="9">
        <x:v>2</x:v>
      </x:c>
      <x:c r="F35" s="9">
        <x:v>4</x:v>
      </x:c>
      <x:c r="G35" s="9">
        <x:v>0</x:v>
      </x:c>
      <x:c r="H35" s="9" t="n">
        <x:f t="shared" si="0">SUM(D35:G35)</x:f>
        <x:v>62</x:v>
      </x:c>
      <x:c r="I35" s="9" t="n">
        <x:f t="shared" si="1">SUM(E35:G35)</x:f>
        <x:v>6</x:v>
      </x:c>
      <x:c r="J35" s="11" t="n">
        <x:f>SUMIFS('By structure'!$G$6:$G$701,'By structure'!$A$6:$A$701,A35,'By structure'!$C$6:$C$701,C35)</x:f>
        <x:v>18901796</x:v>
      </x:c>
      <x:c r="K35" s="9" t="n">
        <x:f>SUMIFS('By structure'!$H$6:$H$701,'By structure'!$A$6:$A$701,A35,'By structure'!$C$6:$C$701,C35)</x:f>
        <x:v>62</x:v>
      </x:c>
      <x:c r="L35" s="13" t="n">
        <x:f t="shared" si="2">IF(H35=0,"",(H35-K35)/H35)</x:f>
        <x:v>0</x:v>
      </x:c>
      <x:c r="M35" s="1" t="s">
        <x:v>79</x:v>
      </x:c>
      <x:c r="N35" s="1" t="s">
        <x:v>21</x:v>
      </x:c>
      <x:c r="O35" s="1" t="s">
        <x:v>80</x:v>
      </x:c>
      <x:c r="P35" s="15">
        <x:v>2675</x:v>
      </x:c>
      <x:c r="Q35" s="28" t="n">
        <x:f>COUNTIFS($A$6:$A$179,A35,$C$6:$C$179,C35)</x:f>
        <x:v>1</x:v>
      </x:c>
    </x:row>
    <x:row r="36" ht="22" customHeight="1">
      <x:c r="A36" s="14">
        <x:v>2021</x:v>
      </x:c>
      <x:c r="B36" s="5" t="s">
        <x:v>23</x:v>
      </x:c>
      <x:c r="C36" s="6" t="s">
        <x:v>24</x:v>
      </x:c>
      <x:c r="D36" s="8">
        <x:v>468</x:v>
      </x:c>
      <x:c r="E36" s="8">
        <x:v>2</x:v>
      </x:c>
      <x:c r="F36" s="8">
        <x:v>43</x:v>
      </x:c>
      <x:c r="G36" s="8">
        <x:v>368</x:v>
      </x:c>
      <x:c r="H36" s="8" t="n">
        <x:f t="shared" si="0">SUM(D36:G36)</x:f>
        <x:v>881</x:v>
      </x:c>
      <x:c r="I36" s="8" t="n">
        <x:f t="shared" si="1">SUM(E36:G36)</x:f>
        <x:v>413</x:v>
      </x:c>
      <x:c r="J36" s="10" t="n">
        <x:f>SUMIFS('By structure'!$G$6:$G$701,'By structure'!$A$6:$A$701,A36,'By structure'!$C$6:$C$701,C36)</x:f>
        <x:v>150910126</x:v>
      </x:c>
      <x:c r="K36" s="8" t="n">
        <x:f>SUMIFS('By structure'!$H$6:$H$701,'By structure'!$A$6:$A$701,A36,'By structure'!$C$6:$C$701,C36)</x:f>
        <x:v>783</x:v>
      </x:c>
      <x:c r="L36" s="12" t="n">
        <x:f t="shared" si="2">IF(H36=0,"",(H36-K36)/H36)</x:f>
        <x:v>0.1112372304199773</x:v>
      </x:c>
      <x:c r="M36" s="5" t="s">
        <x:v>79</x:v>
      </x:c>
      <x:c r="N36" s="5" t="s">
        <x:v>21</x:v>
      </x:c>
      <x:c r="O36" s="5" t="s">
        <x:v>80</x:v>
      </x:c>
      <x:c r="P36" s="14">
        <x:v>2676</x:v>
      </x:c>
      <x:c r="Q36" s="28" t="n">
        <x:f>COUNTIFS($A$6:$A$179,A36,$C$6:$C$179,C36)</x:f>
        <x:v>1</x:v>
      </x:c>
    </x:row>
    <x:row r="37" ht="22" customHeight="1">
      <x:c r="A37" s="15">
        <x:v>2021</x:v>
      </x:c>
      <x:c r="B37" s="1" t="s">
        <x:v>25</x:v>
      </x:c>
      <x:c r="C37" s="7" t="s">
        <x:v>26</x:v>
      </x:c>
      <x:c r="D37" s="9">
        <x:v>902</x:v>
      </x:c>
      <x:c r="E37" s="9">
        <x:v>0</x:v>
      </x:c>
      <x:c r="F37" s="9">
        <x:v>35</x:v>
      </x:c>
      <x:c r="G37" s="9">
        <x:v>200</x:v>
      </x:c>
      <x:c r="H37" s="9" t="n">
        <x:f t="shared" si="0">SUM(D37:G37)</x:f>
        <x:v>1137</x:v>
      </x:c>
      <x:c r="I37" s="9" t="n">
        <x:f t="shared" si="1">SUM(E37:G37)</x:f>
        <x:v>235</x:v>
      </x:c>
      <x:c r="J37" s="11" t="n">
        <x:f>SUMIFS('By structure'!$G$6:$G$701,'By structure'!$A$6:$A$701,A37,'By structure'!$C$6:$C$701,C37)</x:f>
        <x:v>322560467</x:v>
      </x:c>
      <x:c r="K37" s="9" t="n">
        <x:f>SUMIFS('By structure'!$H$6:$H$701,'By structure'!$A$6:$A$701,A37,'By structure'!$C$6:$C$701,C37)</x:f>
        <x:v>1137</x:v>
      </x:c>
      <x:c r="L37" s="13" t="n">
        <x:f t="shared" si="2">IF(H37=0,"",(H37-K37)/H37)</x:f>
        <x:v>0</x:v>
      </x:c>
      <x:c r="M37" s="1" t="s">
        <x:v>79</x:v>
      </x:c>
      <x:c r="N37" s="1" t="s">
        <x:v>21</x:v>
      </x:c>
      <x:c r="O37" s="1" t="s">
        <x:v>80</x:v>
      </x:c>
      <x:c r="P37" s="15">
        <x:v>2677</x:v>
      </x:c>
      <x:c r="Q37" s="28" t="n">
        <x:f>COUNTIFS($A$6:$A$179,A37,$C$6:$C$179,C37)</x:f>
        <x:v>1</x:v>
      </x:c>
    </x:row>
    <x:row r="38" ht="22" customHeight="1">
      <x:c r="A38" s="14">
        <x:v>2021</x:v>
      </x:c>
      <x:c r="B38" s="5" t="s">
        <x:v>27</x:v>
      </x:c>
      <x:c r="C38" s="6" t="s">
        <x:v>28</x:v>
      </x:c>
      <x:c r="D38" s="8">
        <x:v>42</x:v>
      </x:c>
      <x:c r="E38" s="8">
        <x:v>0</x:v>
      </x:c>
      <x:c r="F38" s="8">
        <x:v>0</x:v>
      </x:c>
      <x:c r="G38" s="8">
        <x:v>0</x:v>
      </x:c>
      <x:c r="H38" s="8" t="n">
        <x:f t="shared" ref="H38:H69" si="3">SUM(D38:G38)</x:f>
        <x:v>42</x:v>
      </x:c>
      <x:c r="I38" s="8" t="n">
        <x:f t="shared" ref="I38:I69" si="4">SUM(E38:G38)</x:f>
        <x:v>0</x:v>
      </x:c>
      <x:c r="J38" s="10" t="n">
        <x:f>SUMIFS('By structure'!$G$6:$G$701,'By structure'!$A$6:$A$701,A38,'By structure'!$C$6:$C$701,C38)</x:f>
        <x:v>12847746</x:v>
      </x:c>
      <x:c r="K38" s="8" t="n">
        <x:f>SUMIFS('By structure'!$H$6:$H$701,'By structure'!$A$6:$A$701,A38,'By structure'!$C$6:$C$701,C38)</x:f>
        <x:v>42</x:v>
      </x:c>
      <x:c r="L38" s="12" t="n">
        <x:f t="shared" ref="L38:L69" si="5">IF(H38=0,"",(H38-K38)/H38)</x:f>
        <x:v>0</x:v>
      </x:c>
      <x:c r="M38" s="5" t="s">
        <x:v>79</x:v>
      </x:c>
      <x:c r="N38" s="5" t="s">
        <x:v>21</x:v>
      </x:c>
      <x:c r="O38" s="5" t="s">
        <x:v>80</x:v>
      </x:c>
      <x:c r="P38" s="14">
        <x:v>2678</x:v>
      </x:c>
      <x:c r="Q38" s="28" t="n">
        <x:f>COUNTIFS($A$6:$A$179,A38,$C$6:$C$179,C38)</x:f>
        <x:v>1</x:v>
      </x:c>
    </x:row>
    <x:row r="39" ht="22" customHeight="1">
      <x:c r="A39" s="15">
        <x:v>2021</x:v>
      </x:c>
      <x:c r="B39" s="1" t="s">
        <x:v>29</x:v>
      </x:c>
      <x:c r="C39" s="7" t="s">
        <x:v>30</x:v>
      </x:c>
      <x:c r="D39" s="9">
        <x:v>17</x:v>
      </x:c>
      <x:c r="E39" s="9">
        <x:v>0</x:v>
      </x:c>
      <x:c r="F39" s="9">
        <x:v>0</x:v>
      </x:c>
      <x:c r="G39" s="9">
        <x:v>0</x:v>
      </x:c>
      <x:c r="H39" s="9" t="n">
        <x:f t="shared" si="3">SUM(D39:G39)</x:f>
        <x:v>17</x:v>
      </x:c>
      <x:c r="I39" s="9" t="n">
        <x:f t="shared" si="4">SUM(E39:G39)</x:f>
        <x:v>0</x:v>
      </x:c>
      <x:c r="J39" s="11" t="n">
        <x:f>SUMIFS('By structure'!$G$6:$G$701,'By structure'!$A$6:$A$701,A39,'By structure'!$C$6:$C$701,C39)</x:f>
        <x:v>5072265</x:v>
      </x:c>
      <x:c r="K39" s="9" t="n">
        <x:f>SUMIFS('By structure'!$H$6:$H$701,'By structure'!$A$6:$A$701,A39,'By structure'!$C$6:$C$701,C39)</x:f>
        <x:v>11</x:v>
      </x:c>
      <x:c r="L39" s="13" t="n">
        <x:f t="shared" si="5">IF(H39=0,"",(H39-K39)/H39)</x:f>
        <x:v>0.35294117647058826</x:v>
      </x:c>
      <x:c r="M39" s="1" t="s">
        <x:v>79</x:v>
      </x:c>
      <x:c r="N39" s="1" t="s">
        <x:v>21</x:v>
      </x:c>
      <x:c r="O39" s="1" t="s">
        <x:v>80</x:v>
      </x:c>
      <x:c r="P39" s="15">
        <x:v>2679</x:v>
      </x:c>
      <x:c r="Q39" s="28" t="n">
        <x:f>COUNTIFS($A$6:$A$179,A39,$C$6:$C$179,C39)</x:f>
        <x:v>1</x:v>
      </x:c>
    </x:row>
    <x:row r="40" ht="22" customHeight="1">
      <x:c r="A40" s="14">
        <x:v>2021</x:v>
      </x:c>
      <x:c r="B40" s="5" t="s">
        <x:v>31</x:v>
      </x:c>
      <x:c r="C40" s="6" t="s">
        <x:v>32</x:v>
      </x:c>
      <x:c r="D40" s="8">
        <x:v>2004</x:v>
      </x:c>
      <x:c r="E40" s="8">
        <x:v>2</x:v>
      </x:c>
      <x:c r="F40" s="8">
        <x:v>4</x:v>
      </x:c>
      <x:c r="G40" s="8">
        <x:v>1802</x:v>
      </x:c>
      <x:c r="H40" s="8" t="n">
        <x:f t="shared" si="3">SUM(D40:G40)</x:f>
        <x:v>3812</x:v>
      </x:c>
      <x:c r="I40" s="8" t="n">
        <x:f t="shared" si="4">SUM(E40:G40)</x:f>
        <x:v>1808</x:v>
      </x:c>
      <x:c r="J40" s="10" t="n">
        <x:f>SUMIFS('By structure'!$G$6:$G$701,'By structure'!$A$6:$A$701,A40,'By structure'!$C$6:$C$701,C40)</x:f>
        <x:v>818499697</x:v>
      </x:c>
      <x:c r="K40" s="8" t="n">
        <x:f>SUMIFS('By structure'!$H$6:$H$701,'By structure'!$A$6:$A$701,A40,'By structure'!$C$6:$C$701,C40)</x:f>
        <x:v>3812</x:v>
      </x:c>
      <x:c r="L40" s="12" t="n">
        <x:f t="shared" si="5">IF(H40=0,"",(H40-K40)/H40)</x:f>
        <x:v>0</x:v>
      </x:c>
      <x:c r="M40" s="5" t="s">
        <x:v>79</x:v>
      </x:c>
      <x:c r="N40" s="5" t="s">
        <x:v>21</x:v>
      </x:c>
      <x:c r="O40" s="5" t="s">
        <x:v>80</x:v>
      </x:c>
      <x:c r="P40" s="14">
        <x:v>2680</x:v>
      </x:c>
      <x:c r="Q40" s="28" t="n">
        <x:f>COUNTIFS($A$6:$A$179,A40,$C$6:$C$179,C40)</x:f>
        <x:v>1</x:v>
      </x:c>
    </x:row>
    <x:row r="41" ht="22" customHeight="1">
      <x:c r="A41" s="15">
        <x:v>2021</x:v>
      </x:c>
      <x:c r="B41" s="1" t="s">
        <x:v>33</x:v>
      </x:c>
      <x:c r="C41" s="7" t="s">
        <x:v>34</x:v>
      </x:c>
      <x:c r="D41" s="9">
        <x:v>130</x:v>
      </x:c>
      <x:c r="E41" s="9">
        <x:v>2</x:v>
      </x:c>
      <x:c r="F41" s="9">
        <x:v>4</x:v>
      </x:c>
      <x:c r="G41" s="9">
        <x:v>0</x:v>
      </x:c>
      <x:c r="H41" s="9" t="n">
        <x:f t="shared" si="3">SUM(D41:G41)</x:f>
        <x:v>136</x:v>
      </x:c>
      <x:c r="I41" s="9" t="n">
        <x:f t="shared" si="4">SUM(E41:G41)</x:f>
        <x:v>6</x:v>
      </x:c>
      <x:c r="J41" s="11" t="n">
        <x:f>SUMIFS('By structure'!$G$6:$G$701,'By structure'!$A$6:$A$701,A41,'By structure'!$C$6:$C$701,C41)</x:f>
        <x:v>34080122</x:v>
      </x:c>
      <x:c r="K41" s="9" t="n">
        <x:f>SUMIFS('By structure'!$H$6:$H$701,'By structure'!$A$6:$A$701,A41,'By structure'!$C$6:$C$701,C41)</x:f>
        <x:v>72</x:v>
      </x:c>
      <x:c r="L41" s="13" t="n">
        <x:f t="shared" si="5">IF(H41=0,"",(H41-K41)/H41)</x:f>
        <x:v>0.47058823529411764</x:v>
      </x:c>
      <x:c r="M41" s="1" t="s">
        <x:v>79</x:v>
      </x:c>
      <x:c r="N41" s="1" t="s">
        <x:v>21</x:v>
      </x:c>
      <x:c r="O41" s="1" t="s">
        <x:v>80</x:v>
      </x:c>
      <x:c r="P41" s="15">
        <x:v>2681</x:v>
      </x:c>
      <x:c r="Q41" s="28" t="n">
        <x:f>COUNTIFS($A$6:$A$179,A41,$C$6:$C$179,C41)</x:f>
        <x:v>1</x:v>
      </x:c>
    </x:row>
    <x:row r="42" ht="22" customHeight="1">
      <x:c r="A42" s="14">
        <x:v>2021</x:v>
      </x:c>
      <x:c r="B42" s="5" t="s">
        <x:v>35</x:v>
      </x:c>
      <x:c r="C42" s="6" t="s">
        <x:v>36</x:v>
      </x:c>
      <x:c r="D42" s="8">
        <x:v>14</x:v>
      </x:c>
      <x:c r="E42" s="8">
        <x:v>0</x:v>
      </x:c>
      <x:c r="F42" s="8">
        <x:v>0</x:v>
      </x:c>
      <x:c r="G42" s="8">
        <x:v>0</x:v>
      </x:c>
      <x:c r="H42" s="8" t="n">
        <x:f t="shared" si="3">SUM(D42:G42)</x:f>
        <x:v>14</x:v>
      </x:c>
      <x:c r="I42" s="8" t="n">
        <x:f t="shared" si="4">SUM(E42:G42)</x:f>
        <x:v>0</x:v>
      </x:c>
      <x:c r="J42" s="10" t="n">
        <x:f>SUMIFS('By structure'!$G$6:$G$701,'By structure'!$A$6:$A$701,A42,'By structure'!$C$6:$C$701,C42)</x:f>
        <x:v>2746330</x:v>
      </x:c>
      <x:c r="K42" s="8" t="n">
        <x:f>SUMIFS('By structure'!$H$6:$H$701,'By structure'!$A$6:$A$701,A42,'By structure'!$C$6:$C$701,C42)</x:f>
        <x:v>14</x:v>
      </x:c>
      <x:c r="L42" s="12" t="n">
        <x:f t="shared" si="5">IF(H42=0,"",(H42-K42)/H42)</x:f>
        <x:v>0</x:v>
      </x:c>
      <x:c r="M42" s="5" t="s">
        <x:v>79</x:v>
      </x:c>
      <x:c r="N42" s="5" t="s">
        <x:v>21</x:v>
      </x:c>
      <x:c r="O42" s="5" t="s">
        <x:v>80</x:v>
      </x:c>
      <x:c r="P42" s="14">
        <x:v>2682</x:v>
      </x:c>
      <x:c r="Q42" s="28" t="n">
        <x:f>COUNTIFS($A$6:$A$179,A42,$C$6:$C$179,C42)</x:f>
        <x:v>1</x:v>
      </x:c>
    </x:row>
    <x:row r="43" ht="22" customHeight="1">
      <x:c r="A43" s="15">
        <x:v>2021</x:v>
      </x:c>
      <x:c r="B43" s="1" t="s">
        <x:v>37</x:v>
      </x:c>
      <x:c r="C43" s="7" t="s">
        <x:v>38</x:v>
      </x:c>
      <x:c r="D43" s="9">
        <x:v>76</x:v>
      </x:c>
      <x:c r="E43" s="9">
        <x:v>0</x:v>
      </x:c>
      <x:c r="F43" s="9">
        <x:v>0</x:v>
      </x:c>
      <x:c r="G43" s="9">
        <x:v>0</x:v>
      </x:c>
      <x:c r="H43" s="9" t="n">
        <x:f t="shared" si="3">SUM(D43:G43)</x:f>
        <x:v>76</x:v>
      </x:c>
      <x:c r="I43" s="9" t="n">
        <x:f t="shared" si="4">SUM(E43:G43)</x:f>
        <x:v>0</x:v>
      </x:c>
      <x:c r="J43" s="11" t="n">
        <x:f>SUMIFS('By structure'!$G$6:$G$701,'By structure'!$A$6:$A$701,A43,'By structure'!$C$6:$C$701,C43)</x:f>
        <x:v>17370698</x:v>
      </x:c>
      <x:c r="K43" s="9" t="n">
        <x:f>SUMIFS('By structure'!$H$6:$H$701,'By structure'!$A$6:$A$701,A43,'By structure'!$C$6:$C$701,C43)</x:f>
        <x:v>76</x:v>
      </x:c>
      <x:c r="L43" s="13" t="n">
        <x:f t="shared" si="5">IF(H43=0,"",(H43-K43)/H43)</x:f>
        <x:v>0</x:v>
      </x:c>
      <x:c r="M43" s="1" t="s">
        <x:v>79</x:v>
      </x:c>
      <x:c r="N43" s="1" t="s">
        <x:v>21</x:v>
      </x:c>
      <x:c r="O43" s="1" t="s">
        <x:v>80</x:v>
      </x:c>
      <x:c r="P43" s="15">
        <x:v>2683</x:v>
      </x:c>
      <x:c r="Q43" s="28" t="n">
        <x:f>COUNTIFS($A$6:$A$179,A43,$C$6:$C$179,C43)</x:f>
        <x:v>1</x:v>
      </x:c>
    </x:row>
    <x:row r="44" ht="22" customHeight="1">
      <x:c r="A44" s="14">
        <x:v>2021</x:v>
      </x:c>
      <x:c r="B44" s="5" t="s">
        <x:v>39</x:v>
      </x:c>
      <x:c r="C44" s="6" t="s">
        <x:v>40</x:v>
      </x:c>
      <x:c r="D44" s="8">
        <x:v>81</x:v>
      </x:c>
      <x:c r="E44" s="8">
        <x:v>6</x:v>
      </x:c>
      <x:c r="F44" s="8">
        <x:v>0</x:v>
      </x:c>
      <x:c r="G44" s="8">
        <x:v>6</x:v>
      </x:c>
      <x:c r="H44" s="8" t="n">
        <x:f t="shared" si="3">SUM(D44:G44)</x:f>
        <x:v>93</x:v>
      </x:c>
      <x:c r="I44" s="8" t="n">
        <x:f t="shared" si="4">SUM(E44:G44)</x:f>
        <x:v>12</x:v>
      </x:c>
      <x:c r="J44" s="10" t="n">
        <x:f>SUMIFS('By structure'!$G$6:$G$701,'By structure'!$A$6:$A$701,A44,'By structure'!$C$6:$C$701,C44)</x:f>
        <x:v>24764210</x:v>
      </x:c>
      <x:c r="K44" s="8" t="n">
        <x:f>SUMIFS('By structure'!$H$6:$H$701,'By structure'!$A$6:$A$701,A44,'By structure'!$C$6:$C$701,C44)</x:f>
        <x:v>93</x:v>
      </x:c>
      <x:c r="L44" s="12" t="n">
        <x:f t="shared" si="5">IF(H44=0,"",(H44-K44)/H44)</x:f>
        <x:v>0</x:v>
      </x:c>
      <x:c r="M44" s="5" t="s">
        <x:v>79</x:v>
      </x:c>
      <x:c r="N44" s="5" t="s">
        <x:v>21</x:v>
      </x:c>
      <x:c r="O44" s="5" t="s">
        <x:v>80</x:v>
      </x:c>
      <x:c r="P44" s="14">
        <x:v>2684</x:v>
      </x:c>
      <x:c r="Q44" s="28" t="n">
        <x:f>COUNTIFS($A$6:$A$179,A44,$C$6:$C$179,C44)</x:f>
        <x:v>1</x:v>
      </x:c>
    </x:row>
    <x:row r="45" ht="22" customHeight="1">
      <x:c r="A45" s="15">
        <x:v>2021</x:v>
      </x:c>
      <x:c r="B45" s="1" t="s">
        <x:v>41</x:v>
      </x:c>
      <x:c r="C45" s="7" t="s">
        <x:v>42</x:v>
      </x:c>
      <x:c r="D45" s="9">
        <x:v>552</x:v>
      </x:c>
      <x:c r="E45" s="9">
        <x:v>110</x:v>
      </x:c>
      <x:c r="F45" s="9">
        <x:v>114</x:v>
      </x:c>
      <x:c r="G45" s="9">
        <x:v>115</x:v>
      </x:c>
      <x:c r="H45" s="9" t="n">
        <x:f t="shared" si="3">SUM(D45:G45)</x:f>
        <x:v>891</x:v>
      </x:c>
      <x:c r="I45" s="9" t="n">
        <x:f t="shared" si="4">SUM(E45:G45)</x:f>
        <x:v>339</x:v>
      </x:c>
      <x:c r="J45" s="11" t="n">
        <x:f>SUMIFS('By structure'!$G$6:$G$701,'By structure'!$A$6:$A$701,A45,'By structure'!$C$6:$C$701,C45)</x:f>
        <x:v>201753902</x:v>
      </x:c>
      <x:c r="K45" s="9" t="n">
        <x:f>SUMIFS('By structure'!$H$6:$H$701,'By structure'!$A$6:$A$701,A45,'By structure'!$C$6:$C$701,C45)</x:f>
        <x:v>891</x:v>
      </x:c>
      <x:c r="L45" s="13" t="n">
        <x:f t="shared" si="5">IF(H45=0,"",(H45-K45)/H45)</x:f>
        <x:v>0</x:v>
      </x:c>
      <x:c r="M45" s="1" t="s">
        <x:v>79</x:v>
      </x:c>
      <x:c r="N45" s="1" t="s">
        <x:v>21</x:v>
      </x:c>
      <x:c r="O45" s="1" t="s">
        <x:v>80</x:v>
      </x:c>
      <x:c r="P45" s="15">
        <x:v>2685</x:v>
      </x:c>
      <x:c r="Q45" s="28" t="n">
        <x:f>COUNTIFS($A$6:$A$179,A45,$C$6:$C$179,C45)</x:f>
        <x:v>1</x:v>
      </x:c>
    </x:row>
    <x:row r="46" ht="22" customHeight="1">
      <x:c r="A46" s="14">
        <x:v>2021</x:v>
      </x:c>
      <x:c r="B46" s="5" t="s">
        <x:v>43</x:v>
      </x:c>
      <x:c r="C46" s="6" t="s">
        <x:v>44</x:v>
      </x:c>
      <x:c r="D46" s="8">
        <x:v>112</x:v>
      </x:c>
      <x:c r="E46" s="8">
        <x:v>4</x:v>
      </x:c>
      <x:c r="F46" s="8">
        <x:v>14</x:v>
      </x:c>
      <x:c r="G46" s="8">
        <x:v>5</x:v>
      </x:c>
      <x:c r="H46" s="8" t="n">
        <x:f t="shared" si="3">SUM(D46:G46)</x:f>
        <x:v>135</x:v>
      </x:c>
      <x:c r="I46" s="8" t="n">
        <x:f t="shared" si="4">SUM(E46:G46)</x:f>
        <x:v>23</x:v>
      </x:c>
      <x:c r="J46" s="10" t="n">
        <x:f>SUMIFS('By structure'!$G$6:$G$701,'By structure'!$A$6:$A$701,A46,'By structure'!$C$6:$C$701,C46)</x:f>
        <x:v>37855333</x:v>
      </x:c>
      <x:c r="K46" s="8" t="n">
        <x:f>SUMIFS('By structure'!$H$6:$H$701,'By structure'!$A$6:$A$701,A46,'By structure'!$C$6:$C$701,C46)</x:f>
        <x:v>118</x:v>
      </x:c>
      <x:c r="L46" s="12" t="n">
        <x:f t="shared" si="5">IF(H46=0,"",(H46-K46)/H46)</x:f>
        <x:v>0.1259259259259259</x:v>
      </x:c>
      <x:c r="M46" s="5" t="s">
        <x:v>79</x:v>
      </x:c>
      <x:c r="N46" s="5" t="s">
        <x:v>21</x:v>
      </x:c>
      <x:c r="O46" s="5" t="s">
        <x:v>80</x:v>
      </x:c>
      <x:c r="P46" s="14">
        <x:v>2686</x:v>
      </x:c>
      <x:c r="Q46" s="28" t="n">
        <x:f>COUNTIFS($A$6:$A$179,A46,$C$6:$C$179,C46)</x:f>
        <x:v>1</x:v>
      </x:c>
    </x:row>
    <x:row r="47" ht="22" customHeight="1">
      <x:c r="A47" s="15">
        <x:v>2021</x:v>
      </x:c>
      <x:c r="B47" s="1" t="s">
        <x:v>45</x:v>
      </x:c>
      <x:c r="C47" s="7" t="s">
        <x:v>46</x:v>
      </x:c>
      <x:c r="D47" s="9">
        <x:v>327</x:v>
      </x:c>
      <x:c r="E47" s="9">
        <x:v>0</x:v>
      </x:c>
      <x:c r="F47" s="9">
        <x:v>11</x:v>
      </x:c>
      <x:c r="G47" s="9">
        <x:v>0</x:v>
      </x:c>
      <x:c r="H47" s="9" t="n">
        <x:f t="shared" si="3">SUM(D47:G47)</x:f>
        <x:v>338</x:v>
      </x:c>
      <x:c r="I47" s="9" t="n">
        <x:f t="shared" si="4">SUM(E47:G47)</x:f>
        <x:v>11</x:v>
      </x:c>
      <x:c r="J47" s="11" t="n">
        <x:f>SUMIFS('By structure'!$G$6:$G$701,'By structure'!$A$6:$A$701,A47,'By structure'!$C$6:$C$701,C47)</x:f>
        <x:v>65153688</x:v>
      </x:c>
      <x:c r="K47" s="9" t="n">
        <x:f>SUMIFS('By structure'!$H$6:$H$701,'By structure'!$A$6:$A$701,A47,'By structure'!$C$6:$C$701,C47)</x:f>
        <x:v>120</x:v>
      </x:c>
      <x:c r="L47" s="13" t="n">
        <x:f t="shared" si="5">IF(H47=0,"",(H47-K47)/H47)</x:f>
        <x:v>0.6449704142011834</x:v>
      </x:c>
      <x:c r="M47" s="1" t="s">
        <x:v>79</x:v>
      </x:c>
      <x:c r="N47" s="1" t="s">
        <x:v>21</x:v>
      </x:c>
      <x:c r="O47" s="1" t="s">
        <x:v>80</x:v>
      </x:c>
      <x:c r="P47" s="15">
        <x:v>2687</x:v>
      </x:c>
      <x:c r="Q47" s="28" t="n">
        <x:f>COUNTIFS($A$6:$A$179,A47,$C$6:$C$179,C47)</x:f>
        <x:v>1</x:v>
      </x:c>
    </x:row>
    <x:row r="48" ht="22" customHeight="1">
      <x:c r="A48" s="14">
        <x:v>2021</x:v>
      </x:c>
      <x:c r="B48" s="5" t="s">
        <x:v>47</x:v>
      </x:c>
      <x:c r="C48" s="6" t="s">
        <x:v>48</x:v>
      </x:c>
      <x:c r="D48" s="8">
        <x:v>49</x:v>
      </x:c>
      <x:c r="E48" s="8">
        <x:v>0</x:v>
      </x:c>
      <x:c r="F48" s="8">
        <x:v>4</x:v>
      </x:c>
      <x:c r="G48" s="8">
        <x:v>0</x:v>
      </x:c>
      <x:c r="H48" s="8" t="n">
        <x:f t="shared" si="3">SUM(D48:G48)</x:f>
        <x:v>53</x:v>
      </x:c>
      <x:c r="I48" s="8" t="n">
        <x:f t="shared" si="4">SUM(E48:G48)</x:f>
        <x:v>4</x:v>
      </x:c>
      <x:c r="J48" s="10" t="n">
        <x:f>SUMIFS('By structure'!$G$6:$G$701,'By structure'!$A$6:$A$701,A48,'By structure'!$C$6:$C$701,C48)</x:f>
        <x:v>10863845</x:v>
      </x:c>
      <x:c r="K48" s="8" t="n">
        <x:f>SUMIFS('By structure'!$H$6:$H$701,'By structure'!$A$6:$A$701,A48,'By structure'!$C$6:$C$701,C48)</x:f>
        <x:v>49</x:v>
      </x:c>
      <x:c r="L48" s="12" t="n">
        <x:f t="shared" si="5">IF(H48=0,"",(H48-K48)/H48)</x:f>
        <x:v>0.07547169811320754</x:v>
      </x:c>
      <x:c r="M48" s="5" t="s">
        <x:v>79</x:v>
      </x:c>
      <x:c r="N48" s="5" t="s">
        <x:v>21</x:v>
      </x:c>
      <x:c r="O48" s="5" t="s">
        <x:v>80</x:v>
      </x:c>
      <x:c r="P48" s="14">
        <x:v>2688</x:v>
      </x:c>
      <x:c r="Q48" s="28" t="n">
        <x:f>COUNTIFS($A$6:$A$179,A48,$C$6:$C$179,C48)</x:f>
        <x:v>1</x:v>
      </x:c>
    </x:row>
    <x:row r="49" ht="22" customHeight="1">
      <x:c r="A49" s="15">
        <x:v>2021</x:v>
      </x:c>
      <x:c r="B49" s="1" t="s">
        <x:v>49</x:v>
      </x:c>
      <x:c r="C49" s="7" t="s">
        <x:v>50</x:v>
      </x:c>
      <x:c r="D49" s="9">
        <x:v>98</x:v>
      </x:c>
      <x:c r="E49" s="9">
        <x:v>4</x:v>
      </x:c>
      <x:c r="F49" s="9">
        <x:v>36</x:v>
      </x:c>
      <x:c r="G49" s="9">
        <x:v>15</x:v>
      </x:c>
      <x:c r="H49" s="9" t="n">
        <x:f t="shared" si="3">SUM(D49:G49)</x:f>
        <x:v>153</x:v>
      </x:c>
      <x:c r="I49" s="9" t="n">
        <x:f t="shared" si="4">SUM(E49:G49)</x:f>
        <x:v>55</x:v>
      </x:c>
      <x:c r="J49" s="11" t="n">
        <x:f>SUMIFS('By structure'!$G$6:$G$701,'By structure'!$A$6:$A$701,A49,'By structure'!$C$6:$C$701,C49)</x:f>
        <x:v>58118055</x:v>
      </x:c>
      <x:c r="K49" s="9" t="n">
        <x:f>SUMIFS('By structure'!$H$6:$H$701,'By structure'!$A$6:$A$701,A49,'By structure'!$C$6:$C$701,C49)</x:f>
        <x:v>153</x:v>
      </x:c>
      <x:c r="L49" s="13" t="n">
        <x:f t="shared" si="5">IF(H49=0,"",(H49-K49)/H49)</x:f>
        <x:v>0</x:v>
      </x:c>
      <x:c r="M49" s="1" t="s">
        <x:v>79</x:v>
      </x:c>
      <x:c r="N49" s="1" t="s">
        <x:v>21</x:v>
      </x:c>
      <x:c r="O49" s="1" t="s">
        <x:v>80</x:v>
      </x:c>
      <x:c r="P49" s="15">
        <x:v>2689</x:v>
      </x:c>
      <x:c r="Q49" s="28" t="n">
        <x:f>COUNTIFS($A$6:$A$179,A49,$C$6:$C$179,C49)</x:f>
        <x:v>1</x:v>
      </x:c>
    </x:row>
    <x:row r="50" ht="22" customHeight="1">
      <x:c r="A50" s="14">
        <x:v>2021</x:v>
      </x:c>
      <x:c r="B50" s="5" t="s">
        <x:v>51</x:v>
      </x:c>
      <x:c r="C50" s="6" t="s">
        <x:v>52</x:v>
      </x:c>
      <x:c r="D50" s="8">
        <x:v>33</x:v>
      </x:c>
      <x:c r="E50" s="8">
        <x:v>0</x:v>
      </x:c>
      <x:c r="F50" s="8">
        <x:v>0</x:v>
      </x:c>
      <x:c r="G50" s="8">
        <x:v>0</x:v>
      </x:c>
      <x:c r="H50" s="8" t="n">
        <x:f t="shared" si="3">SUM(D50:G50)</x:f>
        <x:v>33</x:v>
      </x:c>
      <x:c r="I50" s="8" t="n">
        <x:f t="shared" si="4">SUM(E50:G50)</x:f>
        <x:v>0</x:v>
      </x:c>
      <x:c r="J50" s="10" t="n">
        <x:f>SUMIFS('By structure'!$G$6:$G$701,'By structure'!$A$6:$A$701,A50,'By structure'!$C$6:$C$701,C50)</x:f>
        <x:v>5258556</x:v>
      </x:c>
      <x:c r="K50" s="8" t="n">
        <x:f>SUMIFS('By structure'!$H$6:$H$701,'By structure'!$A$6:$A$701,A50,'By structure'!$C$6:$C$701,C50)</x:f>
        <x:v>0</x:v>
      </x:c>
      <x:c r="L50" s="12" t="n">
        <x:f t="shared" si="5">IF(H50=0,"",(H50-K50)/H50)</x:f>
        <x:v>1</x:v>
      </x:c>
      <x:c r="M50" s="5" t="s">
        <x:v>79</x:v>
      </x:c>
      <x:c r="N50" s="5" t="s">
        <x:v>21</x:v>
      </x:c>
      <x:c r="O50" s="5" t="s">
        <x:v>80</x:v>
      </x:c>
      <x:c r="P50" s="14">
        <x:v>2690</x:v>
      </x:c>
      <x:c r="Q50" s="28" t="n">
        <x:f>COUNTIFS($A$6:$A$179,A50,$C$6:$C$179,C50)</x:f>
        <x:v>1</x:v>
      </x:c>
    </x:row>
    <x:row r="51" ht="22" customHeight="1">
      <x:c r="A51" s="15">
        <x:v>2021</x:v>
      </x:c>
      <x:c r="B51" s="1" t="s">
        <x:v>53</x:v>
      </x:c>
      <x:c r="C51" s="7" t="s">
        <x:v>54</x:v>
      </x:c>
      <x:c r="D51" s="9">
        <x:v>68</x:v>
      </x:c>
      <x:c r="E51" s="9">
        <x:v>0</x:v>
      </x:c>
      <x:c r="F51" s="9">
        <x:v>0</x:v>
      </x:c>
      <x:c r="G51" s="9">
        <x:v>0</x:v>
      </x:c>
      <x:c r="H51" s="9" t="n">
        <x:f t="shared" si="3">SUM(D51:G51)</x:f>
        <x:v>68</x:v>
      </x:c>
      <x:c r="I51" s="9" t="n">
        <x:f t="shared" si="4">SUM(E51:G51)</x:f>
        <x:v>0</x:v>
      </x:c>
      <x:c r="J51" s="11" t="n">
        <x:f>SUMIFS('By structure'!$G$6:$G$701,'By structure'!$A$6:$A$701,A51,'By structure'!$C$6:$C$701,C51)</x:f>
        <x:v>22067697</x:v>
      </x:c>
      <x:c r="K51" s="9" t="n">
        <x:f>SUMIFS('By structure'!$H$6:$H$701,'By structure'!$A$6:$A$701,A51,'By structure'!$C$6:$C$701,C51)</x:f>
        <x:v>0</x:v>
      </x:c>
      <x:c r="L51" s="13" t="n">
        <x:f t="shared" si="5">IF(H51=0,"",(H51-K51)/H51)</x:f>
        <x:v>1</x:v>
      </x:c>
      <x:c r="M51" s="1" t="s">
        <x:v>79</x:v>
      </x:c>
      <x:c r="N51" s="1" t="s">
        <x:v>21</x:v>
      </x:c>
      <x:c r="O51" s="1" t="s">
        <x:v>80</x:v>
      </x:c>
      <x:c r="P51" s="15">
        <x:v>2691</x:v>
      </x:c>
      <x:c r="Q51" s="28" t="n">
        <x:f>COUNTIFS($A$6:$A$179,A51,$C$6:$C$179,C51)</x:f>
        <x:v>1</x:v>
      </x:c>
    </x:row>
    <x:row r="52" ht="22" customHeight="1">
      <x:c r="A52" s="14">
        <x:v>2021</x:v>
      </x:c>
      <x:c r="B52" s="5" t="s">
        <x:v>55</x:v>
      </x:c>
      <x:c r="C52" s="6" t="s">
        <x:v>56</x:v>
      </x:c>
      <x:c r="D52" s="8">
        <x:v>4350</x:v>
      </x:c>
      <x:c r="E52" s="8">
        <x:v>188</x:v>
      </x:c>
      <x:c r="F52" s="8">
        <x:v>260</x:v>
      </x:c>
      <x:c r="G52" s="8">
        <x:v>5851</x:v>
      </x:c>
      <x:c r="H52" s="8" t="n">
        <x:f t="shared" si="3">SUM(D52:G52)</x:f>
        <x:v>10649</x:v>
      </x:c>
      <x:c r="I52" s="8" t="n">
        <x:f t="shared" si="4">SUM(E52:G52)</x:f>
        <x:v>6299</x:v>
      </x:c>
      <x:c r="J52" s="10" t="n">
        <x:f>SUMIFS('By structure'!$G$6:$G$701,'By structure'!$A$6:$A$701,A52,'By structure'!$C$6:$C$701,C52)</x:f>
        <x:v>2125291285</x:v>
      </x:c>
      <x:c r="K52" s="8" t="n">
        <x:f>SUMIFS('By structure'!$H$6:$H$701,'By structure'!$A$6:$A$701,A52,'By structure'!$C$6:$C$701,C52)</x:f>
        <x:v>6675</x:v>
      </x:c>
      <x:c r="L52" s="12" t="n">
        <x:f t="shared" si="5">IF(H52=0,"",(H52-K52)/H52)</x:f>
        <x:v>0.3731805803361818</x:v>
      </x:c>
      <x:c r="M52" s="5" t="s">
        <x:v>79</x:v>
      </x:c>
      <x:c r="N52" s="5" t="s">
        <x:v>21</x:v>
      </x:c>
      <x:c r="O52" s="5" t="s">
        <x:v>80</x:v>
      </x:c>
      <x:c r="P52" s="14">
        <x:v>2692</x:v>
      </x:c>
      <x:c r="Q52" s="28" t="n">
        <x:f>COUNTIFS($A$6:$A$179,A52,$C$6:$C$179,C52)</x:f>
        <x:v>1</x:v>
      </x:c>
    </x:row>
    <x:row r="53" ht="22" customHeight="1">
      <x:c r="A53" s="15">
        <x:v>2021</x:v>
      </x:c>
      <x:c r="B53" s="1" t="s">
        <x:v>57</x:v>
      </x:c>
      <x:c r="C53" s="7" t="s">
        <x:v>58</x:v>
      </x:c>
      <x:c r="D53" s="9">
        <x:v>161</x:v>
      </x:c>
      <x:c r="E53" s="9">
        <x:v>0</x:v>
      </x:c>
      <x:c r="F53" s="9">
        <x:v>0</x:v>
      </x:c>
      <x:c r="G53" s="9">
        <x:v>0</x:v>
      </x:c>
      <x:c r="H53" s="9" t="n">
        <x:f t="shared" si="3">SUM(D53:G53)</x:f>
        <x:v>161</x:v>
      </x:c>
      <x:c r="I53" s="9" t="n">
        <x:f t="shared" si="4">SUM(E53:G53)</x:f>
        <x:v>0</x:v>
      </x:c>
      <x:c r="J53" s="11" t="n">
        <x:f>SUMIFS('By structure'!$G$6:$G$701,'By structure'!$A$6:$A$701,A53,'By structure'!$C$6:$C$701,C53)</x:f>
        <x:v>48658403</x:v>
      </x:c>
      <x:c r="K53" s="9" t="n">
        <x:f>SUMIFS('By structure'!$H$6:$H$701,'By structure'!$A$6:$A$701,A53,'By structure'!$C$6:$C$701,C53)</x:f>
        <x:v>161</x:v>
      </x:c>
      <x:c r="L53" s="13" t="n">
        <x:f t="shared" si="5">IF(H53=0,"",(H53-K53)/H53)</x:f>
        <x:v>0</x:v>
      </x:c>
      <x:c r="M53" s="1" t="s">
        <x:v>79</x:v>
      </x:c>
      <x:c r="N53" s="1" t="s">
        <x:v>21</x:v>
      </x:c>
      <x:c r="O53" s="1" t="s">
        <x:v>80</x:v>
      </x:c>
      <x:c r="P53" s="15">
        <x:v>2693</x:v>
      </x:c>
      <x:c r="Q53" s="28" t="n">
        <x:f>COUNTIFS($A$6:$A$179,A53,$C$6:$C$179,C53)</x:f>
        <x:v>1</x:v>
      </x:c>
    </x:row>
    <x:row r="54" ht="22" customHeight="1">
      <x:c r="A54" s="14">
        <x:v>2021</x:v>
      </x:c>
      <x:c r="B54" s="5" t="s">
        <x:v>59</x:v>
      </x:c>
      <x:c r="C54" s="6" t="s">
        <x:v>60</x:v>
      </x:c>
      <x:c r="D54" s="8">
        <x:v>227</x:v>
      </x:c>
      <x:c r="E54" s="8">
        <x:v>0</x:v>
      </x:c>
      <x:c r="F54" s="8">
        <x:v>0</x:v>
      </x:c>
      <x:c r="G54" s="8">
        <x:v>0</x:v>
      </x:c>
      <x:c r="H54" s="8" t="n">
        <x:f t="shared" si="3">SUM(D54:G54)</x:f>
        <x:v>227</x:v>
      </x:c>
      <x:c r="I54" s="8" t="n">
        <x:f t="shared" si="4">SUM(E54:G54)</x:f>
        <x:v>0</x:v>
      </x:c>
      <x:c r="J54" s="10" t="n">
        <x:f>SUMIFS('By structure'!$G$6:$G$701,'By structure'!$A$6:$A$701,A54,'By structure'!$C$6:$C$701,C54)</x:f>
        <x:v>40905899</x:v>
      </x:c>
      <x:c r="K54" s="8" t="n">
        <x:f>SUMIFS('By structure'!$H$6:$H$701,'By structure'!$A$6:$A$701,A54,'By structure'!$C$6:$C$701,C54)</x:f>
        <x:v>227</x:v>
      </x:c>
      <x:c r="L54" s="12" t="n">
        <x:f t="shared" si="5">IF(H54=0,"",(H54-K54)/H54)</x:f>
        <x:v>0</x:v>
      </x:c>
      <x:c r="M54" s="5" t="s">
        <x:v>79</x:v>
      </x:c>
      <x:c r="N54" s="5" t="s">
        <x:v>21</x:v>
      </x:c>
      <x:c r="O54" s="5" t="s">
        <x:v>80</x:v>
      </x:c>
      <x:c r="P54" s="14">
        <x:v>2694</x:v>
      </x:c>
      <x:c r="Q54" s="28" t="n">
        <x:f>COUNTIFS($A$6:$A$179,A54,$C$6:$C$179,C54)</x:f>
        <x:v>1</x:v>
      </x:c>
    </x:row>
    <x:row r="55" ht="22" customHeight="1">
      <x:c r="A55" s="15">
        <x:v>2021</x:v>
      </x:c>
      <x:c r="B55" s="1" t="s">
        <x:v>61</x:v>
      </x:c>
      <x:c r="C55" s="7" t="s">
        <x:v>62</x:v>
      </x:c>
      <x:c r="D55" s="9">
        <x:v>66</x:v>
      </x:c>
      <x:c r="E55" s="9">
        <x:v>2</x:v>
      </x:c>
      <x:c r="F55" s="9">
        <x:v>0</x:v>
      </x:c>
      <x:c r="G55" s="9">
        <x:v>120</x:v>
      </x:c>
      <x:c r="H55" s="9" t="n">
        <x:f t="shared" si="3">SUM(D55:G55)</x:f>
        <x:v>188</x:v>
      </x:c>
      <x:c r="I55" s="9" t="n">
        <x:f t="shared" si="4">SUM(E55:G55)</x:f>
        <x:v>122</x:v>
      </x:c>
      <x:c r="J55" s="11" t="n">
        <x:f>SUMIFS('By structure'!$G$6:$G$701,'By structure'!$A$6:$A$701,A55,'By structure'!$C$6:$C$701,C55)</x:f>
        <x:v>40580709</x:v>
      </x:c>
      <x:c r="K55" s="9" t="n">
        <x:f>SUMIFS('By structure'!$H$6:$H$701,'By structure'!$A$6:$A$701,A55,'By structure'!$C$6:$C$701,C55)</x:f>
        <x:v>188</x:v>
      </x:c>
      <x:c r="L55" s="13" t="n">
        <x:f t="shared" si="5">IF(H55=0,"",(H55-K55)/H55)</x:f>
        <x:v>0</x:v>
      </x:c>
      <x:c r="M55" s="1" t="s">
        <x:v>79</x:v>
      </x:c>
      <x:c r="N55" s="1" t="s">
        <x:v>21</x:v>
      </x:c>
      <x:c r="O55" s="1" t="s">
        <x:v>80</x:v>
      </x:c>
      <x:c r="P55" s="15">
        <x:v>2695</x:v>
      </x:c>
      <x:c r="Q55" s="28" t="n">
        <x:f>COUNTIFS($A$6:$A$179,A55,$C$6:$C$179,C55)</x:f>
        <x:v>1</x:v>
      </x:c>
    </x:row>
    <x:row r="56" ht="22" customHeight="1">
      <x:c r="A56" s="14">
        <x:v>2021</x:v>
      </x:c>
      <x:c r="B56" s="5" t="s">
        <x:v>63</x:v>
      </x:c>
      <x:c r="C56" s="6" t="s">
        <x:v>64</x:v>
      </x:c>
      <x:c r="D56" s="8">
        <x:v>286</x:v>
      </x:c>
      <x:c r="E56" s="8">
        <x:v>0</x:v>
      </x:c>
      <x:c r="F56" s="8">
        <x:v>30</x:v>
      </x:c>
      <x:c r="G56" s="8">
        <x:v>123</x:v>
      </x:c>
      <x:c r="H56" s="8" t="n">
        <x:f t="shared" si="3">SUM(D56:G56)</x:f>
        <x:v>439</x:v>
      </x:c>
      <x:c r="I56" s="8" t="n">
        <x:f t="shared" si="4">SUM(E56:G56)</x:f>
        <x:v>153</x:v>
      </x:c>
      <x:c r="J56" s="10" t="n">
        <x:f>SUMIFS('By structure'!$G$6:$G$701,'By structure'!$A$6:$A$701,A56,'By structure'!$C$6:$C$701,C56)</x:f>
        <x:v>222251344</x:v>
      </x:c>
      <x:c r="K56" s="8" t="n">
        <x:f>SUMIFS('By structure'!$H$6:$H$701,'By structure'!$A$6:$A$701,A56,'By structure'!$C$6:$C$701,C56)</x:f>
        <x:v>150</x:v>
      </x:c>
      <x:c r="L56" s="12" t="n">
        <x:f t="shared" si="5">IF(H56=0,"",(H56-K56)/H56)</x:f>
        <x:v>0.6583143507972665</x:v>
      </x:c>
      <x:c r="M56" s="5" t="s">
        <x:v>79</x:v>
      </x:c>
      <x:c r="N56" s="5" t="s">
        <x:v>21</x:v>
      </x:c>
      <x:c r="O56" s="5" t="s">
        <x:v>80</x:v>
      </x:c>
      <x:c r="P56" s="14">
        <x:v>2696</x:v>
      </x:c>
      <x:c r="Q56" s="28" t="n">
        <x:f>COUNTIFS($A$6:$A$179,A56,$C$6:$C$179,C56)</x:f>
        <x:v>1</x:v>
      </x:c>
    </x:row>
    <x:row r="57" ht="22" customHeight="1">
      <x:c r="A57" s="15">
        <x:v>2021</x:v>
      </x:c>
      <x:c r="B57" s="1" t="s">
        <x:v>65</x:v>
      </x:c>
      <x:c r="C57" s="7" t="s">
        <x:v>66</x:v>
      </x:c>
      <x:c r="D57" s="9">
        <x:v>988</x:v>
      </x:c>
      <x:c r="E57" s="9">
        <x:v>2</x:v>
      </x:c>
      <x:c r="F57" s="9">
        <x:v>3</x:v>
      </x:c>
      <x:c r="G57" s="9">
        <x:v>0</x:v>
      </x:c>
      <x:c r="H57" s="9" t="n">
        <x:f t="shared" si="3">SUM(D57:G57)</x:f>
        <x:v>993</x:v>
      </x:c>
      <x:c r="I57" s="9" t="n">
        <x:f t="shared" si="4">SUM(E57:G57)</x:f>
        <x:v>5</x:v>
      </x:c>
      <x:c r="J57" s="11" t="n">
        <x:f>SUMIFS('By structure'!$G$6:$G$701,'By structure'!$A$6:$A$701,A57,'By structure'!$C$6:$C$701,C57)</x:f>
        <x:v>259797635</x:v>
      </x:c>
      <x:c r="K57" s="9" t="n">
        <x:f>SUMIFS('By structure'!$H$6:$H$701,'By structure'!$A$6:$A$701,A57,'By structure'!$C$6:$C$701,C57)</x:f>
        <x:v>993</x:v>
      </x:c>
      <x:c r="L57" s="13" t="n">
        <x:f t="shared" si="5">IF(H57=0,"",(H57-K57)/H57)</x:f>
        <x:v>0</x:v>
      </x:c>
      <x:c r="M57" s="1" t="s">
        <x:v>79</x:v>
      </x:c>
      <x:c r="N57" s="1" t="s">
        <x:v>21</x:v>
      </x:c>
      <x:c r="O57" s="1" t="s">
        <x:v>80</x:v>
      </x:c>
      <x:c r="P57" s="15">
        <x:v>2697</x:v>
      </x:c>
      <x:c r="Q57" s="28" t="n">
        <x:f>COUNTIFS($A$6:$A$179,A57,$C$6:$C$179,C57)</x:f>
        <x:v>1</x:v>
      </x:c>
    </x:row>
    <x:row r="58" ht="22" customHeight="1">
      <x:c r="A58" s="14">
        <x:v>2021</x:v>
      </x:c>
      <x:c r="B58" s="5" t="s">
        <x:v>67</x:v>
      </x:c>
      <x:c r="C58" s="6" t="s">
        <x:v>68</x:v>
      </x:c>
      <x:c r="D58" s="8">
        <x:v>86</x:v>
      </x:c>
      <x:c r="E58" s="8">
        <x:v>0</x:v>
      </x:c>
      <x:c r="F58" s="8">
        <x:v>0</x:v>
      </x:c>
      <x:c r="G58" s="8">
        <x:v>0</x:v>
      </x:c>
      <x:c r="H58" s="8" t="n">
        <x:f t="shared" si="3">SUM(D58:G58)</x:f>
        <x:v>86</x:v>
      </x:c>
      <x:c r="I58" s="8" t="n">
        <x:f t="shared" si="4">SUM(E58:G58)</x:f>
        <x:v>0</x:v>
      </x:c>
      <x:c r="J58" s="10" t="n">
        <x:f>SUMIFS('By structure'!$G$6:$G$701,'By structure'!$A$6:$A$701,A58,'By structure'!$C$6:$C$701,C58)</x:f>
        <x:v>25614985</x:v>
      </x:c>
      <x:c r="K58" s="8" t="n">
        <x:f>SUMIFS('By structure'!$H$6:$H$701,'By structure'!$A$6:$A$701,A58,'By structure'!$C$6:$C$701,C58)</x:f>
        <x:v>86</x:v>
      </x:c>
      <x:c r="L58" s="12" t="n">
        <x:f t="shared" si="5">IF(H58=0,"",(H58-K58)/H58)</x:f>
        <x:v>0</x:v>
      </x:c>
      <x:c r="M58" s="5" t="s">
        <x:v>79</x:v>
      </x:c>
      <x:c r="N58" s="5" t="s">
        <x:v>21</x:v>
      </x:c>
      <x:c r="O58" s="5" t="s">
        <x:v>80</x:v>
      </x:c>
      <x:c r="P58" s="14">
        <x:v>2698</x:v>
      </x:c>
      <x:c r="Q58" s="28" t="n">
        <x:f>COUNTIFS($A$6:$A$179,A58,$C$6:$C$179,C58)</x:f>
        <x:v>1</x:v>
      </x:c>
    </x:row>
    <x:row r="59" ht="22" customHeight="1">
      <x:c r="A59" s="15">
        <x:v>2021</x:v>
      </x:c>
      <x:c r="B59" s="1" t="s">
        <x:v>69</x:v>
      </x:c>
      <x:c r="C59" s="7" t="s">
        <x:v>70</x:v>
      </x:c>
      <x:c r="D59" s="9">
        <x:v>7450</x:v>
      </x:c>
      <x:c r="E59" s="9">
        <x:v>98</x:v>
      </x:c>
      <x:c r="F59" s="9">
        <x:v>232</x:v>
      </x:c>
      <x:c r="G59" s="9">
        <x:v>3260</x:v>
      </x:c>
      <x:c r="H59" s="9" t="n">
        <x:f t="shared" si="3">SUM(D59:G59)</x:f>
        <x:v>11040</x:v>
      </x:c>
      <x:c r="I59" s="9" t="n">
        <x:f t="shared" si="4">SUM(E59:G59)</x:f>
        <x:v>3590</x:v>
      </x:c>
      <x:c r="J59" s="11" t="n">
        <x:f>SUMIFS('By structure'!$G$6:$G$701,'By structure'!$A$6:$A$701,A59,'By structure'!$C$6:$C$701,C59)</x:f>
        <x:v>2733360389</x:v>
      </x:c>
      <x:c r="K59" s="9" t="n">
        <x:f>SUMIFS('By structure'!$H$6:$H$701,'By structure'!$A$6:$A$701,A59,'By structure'!$C$6:$C$701,C59)</x:f>
        <x:v>11026</x:v>
      </x:c>
      <x:c r="L59" s="13" t="n">
        <x:f t="shared" si="5">IF(H59=0,"",(H59-K59)/H59)</x:f>
        <x:v>0.0012681159420289854</x:v>
      </x:c>
      <x:c r="M59" s="1" t="s">
        <x:v>79</x:v>
      </x:c>
      <x:c r="N59" s="1" t="s">
        <x:v>21</x:v>
      </x:c>
      <x:c r="O59" s="1" t="s">
        <x:v>80</x:v>
      </x:c>
      <x:c r="P59" s="15">
        <x:v>2699</x:v>
      </x:c>
      <x:c r="Q59" s="28" t="n">
        <x:f>COUNTIFS($A$6:$A$179,A59,$C$6:$C$179,C59)</x:f>
        <x:v>1</x:v>
      </x:c>
    </x:row>
    <x:row r="60" ht="22" customHeight="1">
      <x:c r="A60" s="14">
        <x:v>2021</x:v>
      </x:c>
      <x:c r="B60" s="5" t="s">
        <x:v>71</x:v>
      </x:c>
      <x:c r="C60" s="6" t="s">
        <x:v>72</x:v>
      </x:c>
      <x:c r="D60" s="8">
        <x:v>894</x:v>
      </x:c>
      <x:c r="E60" s="8">
        <x:v>8</x:v>
      </x:c>
      <x:c r="F60" s="8">
        <x:v>0</x:v>
      </x:c>
      <x:c r="G60" s="8">
        <x:v>277</x:v>
      </x:c>
      <x:c r="H60" s="8" t="n">
        <x:f t="shared" si="3">SUM(D60:G60)</x:f>
        <x:v>1179</x:v>
      </x:c>
      <x:c r="I60" s="8" t="n">
        <x:f t="shared" si="4">SUM(E60:G60)</x:f>
        <x:v>285</x:v>
      </x:c>
      <x:c r="J60" s="10" t="n">
        <x:f>SUMIFS('By structure'!$G$6:$G$701,'By structure'!$A$6:$A$701,A60,'By structure'!$C$6:$C$701,C60)</x:f>
        <x:v>625259702</x:v>
      </x:c>
      <x:c r="K60" s="8" t="n">
        <x:f>SUMIFS('By structure'!$H$6:$H$701,'By structure'!$A$6:$A$701,A60,'By structure'!$C$6:$C$701,C60)</x:f>
        <x:v>1173</x:v>
      </x:c>
      <x:c r="L60" s="12" t="n">
        <x:f t="shared" si="5">IF(H60=0,"",(H60-K60)/H60)</x:f>
        <x:v>0.005089058524173028</x:v>
      </x:c>
      <x:c r="M60" s="5" t="s">
        <x:v>79</x:v>
      </x:c>
      <x:c r="N60" s="5" t="s">
        <x:v>21</x:v>
      </x:c>
      <x:c r="O60" s="5" t="s">
        <x:v>80</x:v>
      </x:c>
      <x:c r="P60" s="14">
        <x:v>2700</x:v>
      </x:c>
      <x:c r="Q60" s="28" t="n">
        <x:f>COUNTIFS($A$6:$A$179,A60,$C$6:$C$179,C60)</x:f>
        <x:v>1</x:v>
      </x:c>
    </x:row>
    <x:row r="61" ht="22" customHeight="1">
      <x:c r="A61" s="15">
        <x:v>2021</x:v>
      </x:c>
      <x:c r="B61" s="1" t="s">
        <x:v>73</x:v>
      </x:c>
      <x:c r="C61" s="7" t="s">
        <x:v>74</x:v>
      </x:c>
      <x:c r="D61" s="9">
        <x:v>3218</x:v>
      </x:c>
      <x:c r="E61" s="9">
        <x:v>44</x:v>
      </x:c>
      <x:c r="F61" s="9">
        <x:v>28</x:v>
      </x:c>
      <x:c r="G61" s="9">
        <x:v>194</x:v>
      </x:c>
      <x:c r="H61" s="9" t="n">
        <x:f t="shared" si="3">SUM(D61:G61)</x:f>
        <x:v>3484</x:v>
      </x:c>
      <x:c r="I61" s="9" t="n">
        <x:f t="shared" si="4">SUM(E61:G61)</x:f>
        <x:v>266</x:v>
      </x:c>
      <x:c r="J61" s="11" t="n">
        <x:f>SUMIFS('By structure'!$G$6:$G$701,'By structure'!$A$6:$A$701,A61,'By structure'!$C$6:$C$701,C61)</x:f>
        <x:v>721283247</x:v>
      </x:c>
      <x:c r="K61" s="9" t="n">
        <x:f>SUMIFS('By structure'!$H$6:$H$701,'By structure'!$A$6:$A$701,A61,'By structure'!$C$6:$C$701,C61)</x:f>
        <x:v>3030</x:v>
      </x:c>
      <x:c r="L61" s="13" t="n">
        <x:f t="shared" si="5">IF(H61=0,"",(H61-K61)/H61)</x:f>
        <x:v>0.13030998851894374</x:v>
      </x:c>
      <x:c r="M61" s="1" t="s">
        <x:v>79</x:v>
      </x:c>
      <x:c r="N61" s="1" t="s">
        <x:v>21</x:v>
      </x:c>
      <x:c r="O61" s="1" t="s">
        <x:v>80</x:v>
      </x:c>
      <x:c r="P61" s="15">
        <x:v>2701</x:v>
      </x:c>
      <x:c r="Q61" s="28" t="n">
        <x:f>COUNTIFS($A$6:$A$179,A61,$C$6:$C$179,C61)</x:f>
        <x:v>1</x:v>
      </x:c>
    </x:row>
    <x:row r="62" ht="22" customHeight="1">
      <x:c r="A62" s="14">
        <x:v>2021</x:v>
      </x:c>
      <x:c r="B62" s="5" t="s">
        <x:v>75</x:v>
      </x:c>
      <x:c r="C62" s="6" t="s">
        <x:v>76</x:v>
      </x:c>
      <x:c r="D62" s="8">
        <x:v>33</x:v>
      </x:c>
      <x:c r="E62" s="8">
        <x:v>2</x:v>
      </x:c>
      <x:c r="F62" s="8">
        <x:v>0</x:v>
      </x:c>
      <x:c r="G62" s="8">
        <x:v>0</x:v>
      </x:c>
      <x:c r="H62" s="8" t="n">
        <x:f t="shared" si="3">SUM(D62:G62)</x:f>
        <x:v>35</x:v>
      </x:c>
      <x:c r="I62" s="8" t="n">
        <x:f t="shared" si="4">SUM(E62:G62)</x:f>
        <x:v>2</x:v>
      </x:c>
      <x:c r="J62" s="10" t="n">
        <x:f>SUMIFS('By structure'!$G$6:$G$701,'By structure'!$A$6:$A$701,A62,'By structure'!$C$6:$C$701,C62)</x:f>
        <x:v>7542861</x:v>
      </x:c>
      <x:c r="K62" s="8" t="n">
        <x:f>SUMIFS('By structure'!$H$6:$H$701,'By structure'!$A$6:$A$701,A62,'By structure'!$C$6:$C$701,C62)</x:f>
        <x:v>35</x:v>
      </x:c>
      <x:c r="L62" s="12" t="n">
        <x:f t="shared" si="5">IF(H62=0,"",(H62-K62)/H62)</x:f>
        <x:v>0</x:v>
      </x:c>
      <x:c r="M62" s="5" t="s">
        <x:v>79</x:v>
      </x:c>
      <x:c r="N62" s="5" t="s">
        <x:v>21</x:v>
      </x:c>
      <x:c r="O62" s="5" t="s">
        <x:v>80</x:v>
      </x:c>
      <x:c r="P62" s="14">
        <x:v>2702</x:v>
      </x:c>
      <x:c r="Q62" s="28" t="n">
        <x:f>COUNTIFS($A$6:$A$179,A62,$C$6:$C$179,C62)</x:f>
        <x:v>1</x:v>
      </x:c>
    </x:row>
    <x:row r="63" ht="22" customHeight="1">
      <x:c r="A63" s="15">
        <x:v>2021</x:v>
      </x:c>
      <x:c r="B63" s="1" t="s">
        <x:v>77</x:v>
      </x:c>
      <x:c r="C63" s="7" t="s">
        <x:v>78</x:v>
      </x:c>
      <x:c r="D63" s="9">
        <x:v>1635</x:v>
      </x:c>
      <x:c r="E63" s="9">
        <x:v>4</x:v>
      </x:c>
      <x:c r="F63" s="9">
        <x:v>57</x:v>
      </x:c>
      <x:c r="G63" s="9">
        <x:v>940</x:v>
      </x:c>
      <x:c r="H63" s="9" t="n">
        <x:f t="shared" si="3">SUM(D63:G63)</x:f>
        <x:v>2636</x:v>
      </x:c>
      <x:c r="I63" s="9" t="n">
        <x:f t="shared" si="4">SUM(E63:G63)</x:f>
        <x:v>1001</x:v>
      </x:c>
      <x:c r="J63" s="11" t="n">
        <x:f>SUMIFS('By structure'!$G$6:$G$701,'By structure'!$A$6:$A$701,A63,'By structure'!$C$6:$C$701,C63)</x:f>
        <x:v>528655280</x:v>
      </x:c>
      <x:c r="K63" s="9" t="n">
        <x:f>SUMIFS('By structure'!$H$6:$H$701,'By structure'!$A$6:$A$701,A63,'By structure'!$C$6:$C$701,C63)</x:f>
        <x:v>2385</x:v>
      </x:c>
      <x:c r="L63" s="13" t="n">
        <x:f t="shared" si="5">IF(H63=0,"",(H63-K63)/H63)</x:f>
        <x:v>0.09522003034901366</x:v>
      </x:c>
      <x:c r="M63" s="1" t="s">
        <x:v>79</x:v>
      </x:c>
      <x:c r="N63" s="1" t="s">
        <x:v>21</x:v>
      </x:c>
      <x:c r="O63" s="1" t="s">
        <x:v>80</x:v>
      </x:c>
      <x:c r="P63" s="15">
        <x:v>2703</x:v>
      </x:c>
      <x:c r="Q63" s="28" t="n">
        <x:f>COUNTIFS($A$6:$A$179,A63,$C$6:$C$179,C63)</x:f>
        <x:v>1</x:v>
      </x:c>
    </x:row>
    <x:row r="64" ht="22" customHeight="1">
      <x:c r="A64" s="14">
        <x:v>2022</x:v>
      </x:c>
      <x:c r="B64" s="5" t="s">
        <x:v>18</x:v>
      </x:c>
      <x:c r="C64" s="6" t="s">
        <x:v>19</x:v>
      </x:c>
      <x:c r="D64" s="8">
        <x:v>63</x:v>
      </x:c>
      <x:c r="E64" s="8">
        <x:v>0</x:v>
      </x:c>
      <x:c r="F64" s="8">
        <x:v>0</x:v>
      </x:c>
      <x:c r="G64" s="8">
        <x:v>0</x:v>
      </x:c>
      <x:c r="H64" s="8" t="n">
        <x:f t="shared" si="3">SUM(D64:G64)</x:f>
        <x:v>63</x:v>
      </x:c>
      <x:c r="I64" s="8" t="n">
        <x:f t="shared" si="4">SUM(E64:G64)</x:f>
        <x:v>0</x:v>
      </x:c>
      <x:c r="J64" s="10" t="n">
        <x:f>SUMIFS('By structure'!$G$6:$G$701,'By structure'!$A$6:$A$701,A64,'By structure'!$C$6:$C$701,C64)</x:f>
        <x:v>15183118</x:v>
      </x:c>
      <x:c r="K64" s="8" t="n">
        <x:f>SUMIFS('By structure'!$H$6:$H$701,'By structure'!$A$6:$A$701,A64,'By structure'!$C$6:$C$701,C64)</x:f>
        <x:v>63</x:v>
      </x:c>
      <x:c r="L64" s="12" t="n">
        <x:f t="shared" si="5">IF(H64=0,"",(H64-K64)/H64)</x:f>
        <x:v>0</x:v>
      </x:c>
      <x:c r="M64" s="5" t="s">
        <x:v>79</x:v>
      </x:c>
      <x:c r="N64" s="5" t="s">
        <x:v>21</x:v>
      </x:c>
      <x:c r="O64" s="5" t="s">
        <x:v>81</x:v>
      </x:c>
      <x:c r="P64" s="14">
        <x:v>2674</x:v>
      </x:c>
      <x:c r="Q64" s="28" t="n">
        <x:f>COUNTIFS($A$6:$A$179,A64,$C$6:$C$179,C64)</x:f>
        <x:v>1</x:v>
      </x:c>
    </x:row>
    <x:row r="65" ht="22" customHeight="1">
      <x:c r="A65" s="15">
        <x:v>2022</x:v>
      </x:c>
      <x:c r="B65" s="1" t="s">
        <x:v>23</x:v>
      </x:c>
      <x:c r="C65" s="7" t="s">
        <x:v>24</x:v>
      </x:c>
      <x:c r="D65" s="9">
        <x:v>327</x:v>
      </x:c>
      <x:c r="E65" s="9">
        <x:v>2</x:v>
      </x:c>
      <x:c r="F65" s="9">
        <x:v>24</x:v>
      </x:c>
      <x:c r="G65" s="9">
        <x:v>125</x:v>
      </x:c>
      <x:c r="H65" s="9" t="n">
        <x:f t="shared" si="3">SUM(D65:G65)</x:f>
        <x:v>478</x:v>
      </x:c>
      <x:c r="I65" s="9" t="n">
        <x:f t="shared" si="4">SUM(E65:G65)</x:f>
        <x:v>151</x:v>
      </x:c>
      <x:c r="J65" s="11" t="n">
        <x:f>SUMIFS('By structure'!$G$6:$G$701,'By structure'!$A$6:$A$701,A65,'By structure'!$C$6:$C$701,C65)</x:f>
        <x:v>126091983</x:v>
      </x:c>
      <x:c r="K65" s="9" t="n">
        <x:f>SUMIFS('By structure'!$H$6:$H$701,'By structure'!$A$6:$A$701,A65,'By structure'!$C$6:$C$701,C65)</x:f>
        <x:v>411</x:v>
      </x:c>
      <x:c r="L65" s="13" t="n">
        <x:f t="shared" si="5">IF(H65=0,"",(H65-K65)/H65)</x:f>
        <x:v>0.1401673640167364</x:v>
      </x:c>
      <x:c r="M65" s="1" t="s">
        <x:v>79</x:v>
      </x:c>
      <x:c r="N65" s="1" t="s">
        <x:v>21</x:v>
      </x:c>
      <x:c r="O65" s="1" t="s">
        <x:v>81</x:v>
      </x:c>
      <x:c r="P65" s="15">
        <x:v>2675</x:v>
      </x:c>
      <x:c r="Q65" s="28" t="n">
        <x:f>COUNTIFS($A$6:$A$179,A65,$C$6:$C$179,C65)</x:f>
        <x:v>1</x:v>
      </x:c>
    </x:row>
    <x:row r="66" ht="22" customHeight="1">
      <x:c r="A66" s="14">
        <x:v>2022</x:v>
      </x:c>
      <x:c r="B66" s="5" t="s">
        <x:v>25</x:v>
      </x:c>
      <x:c r="C66" s="6" t="s">
        <x:v>26</x:v>
      </x:c>
      <x:c r="D66" s="8">
        <x:v>724</x:v>
      </x:c>
      <x:c r="E66" s="8">
        <x:v>4</x:v>
      </x:c>
      <x:c r="F66" s="8">
        <x:v>4</x:v>
      </x:c>
      <x:c r="G66" s="8">
        <x:v>313</x:v>
      </x:c>
      <x:c r="H66" s="8" t="n">
        <x:f t="shared" si="3">SUM(D66:G66)</x:f>
        <x:v>1045</x:v>
      </x:c>
      <x:c r="I66" s="8" t="n">
        <x:f t="shared" si="4">SUM(E66:G66)</x:f>
        <x:v>321</x:v>
      </x:c>
      <x:c r="J66" s="10" t="n">
        <x:f>SUMIFS('By structure'!$G$6:$G$701,'By structure'!$A$6:$A$701,A66,'By structure'!$C$6:$C$701,C66)</x:f>
        <x:v>296307926</x:v>
      </x:c>
      <x:c r="K66" s="8" t="n">
        <x:f>SUMIFS('By structure'!$H$6:$H$701,'By structure'!$A$6:$A$701,A66,'By structure'!$C$6:$C$701,C66)</x:f>
        <x:v>1037</x:v>
      </x:c>
      <x:c r="L66" s="12" t="n">
        <x:f t="shared" si="5">IF(H66=0,"",(H66-K66)/H66)</x:f>
        <x:v>0.007655502392344498</x:v>
      </x:c>
      <x:c r="M66" s="5" t="s">
        <x:v>79</x:v>
      </x:c>
      <x:c r="N66" s="5" t="s">
        <x:v>21</x:v>
      </x:c>
      <x:c r="O66" s="5" t="s">
        <x:v>81</x:v>
      </x:c>
      <x:c r="P66" s="14">
        <x:v>2676</x:v>
      </x:c>
      <x:c r="Q66" s="28" t="n">
        <x:f>COUNTIFS($A$6:$A$179,A66,$C$6:$C$179,C66)</x:f>
        <x:v>1</x:v>
      </x:c>
    </x:row>
    <x:row r="67" ht="22" customHeight="1">
      <x:c r="A67" s="15">
        <x:v>2022</x:v>
      </x:c>
      <x:c r="B67" s="1" t="s">
        <x:v>27</x:v>
      </x:c>
      <x:c r="C67" s="7" t="s">
        <x:v>28</x:v>
      </x:c>
      <x:c r="D67" s="9">
        <x:v>64</x:v>
      </x:c>
      <x:c r="E67" s="9">
        <x:v>0</x:v>
      </x:c>
      <x:c r="F67" s="9">
        <x:v>0</x:v>
      </x:c>
      <x:c r="G67" s="9">
        <x:v>0</x:v>
      </x:c>
      <x:c r="H67" s="9" t="n">
        <x:f t="shared" si="3">SUM(D67:G67)</x:f>
        <x:v>64</x:v>
      </x:c>
      <x:c r="I67" s="9" t="n">
        <x:f t="shared" si="4">SUM(E67:G67)</x:f>
        <x:v>0</x:v>
      </x:c>
      <x:c r="J67" s="11" t="n">
        <x:f>SUMIFS('By structure'!$G$6:$G$701,'By structure'!$A$6:$A$701,A67,'By structure'!$C$6:$C$701,C67)</x:f>
        <x:v>21067804</x:v>
      </x:c>
      <x:c r="K67" s="9" t="n">
        <x:f>SUMIFS('By structure'!$H$6:$H$701,'By structure'!$A$6:$A$701,A67,'By structure'!$C$6:$C$701,C67)</x:f>
        <x:v>64</x:v>
      </x:c>
      <x:c r="L67" s="13" t="n">
        <x:f t="shared" si="5">IF(H67=0,"",(H67-K67)/H67)</x:f>
        <x:v>0</x:v>
      </x:c>
      <x:c r="M67" s="1" t="s">
        <x:v>79</x:v>
      </x:c>
      <x:c r="N67" s="1" t="s">
        <x:v>21</x:v>
      </x:c>
      <x:c r="O67" s="1" t="s">
        <x:v>81</x:v>
      </x:c>
      <x:c r="P67" s="15">
        <x:v>2677</x:v>
      </x:c>
      <x:c r="Q67" s="28" t="n">
        <x:f>COUNTIFS($A$6:$A$179,A67,$C$6:$C$179,C67)</x:f>
        <x:v>1</x:v>
      </x:c>
    </x:row>
    <x:row r="68" ht="22" customHeight="1">
      <x:c r="A68" s="14">
        <x:v>2022</x:v>
      </x:c>
      <x:c r="B68" s="5" t="s">
        <x:v>29</x:v>
      </x:c>
      <x:c r="C68" s="6" t="s">
        <x:v>30</x:v>
      </x:c>
      <x:c r="D68" s="8">
        <x:v>20</x:v>
      </x:c>
      <x:c r="E68" s="8">
        <x:v>0</x:v>
      </x:c>
      <x:c r="F68" s="8">
        <x:v>0</x:v>
      </x:c>
      <x:c r="G68" s="8">
        <x:v>0</x:v>
      </x:c>
      <x:c r="H68" s="8" t="n">
        <x:f t="shared" si="3">SUM(D68:G68)</x:f>
        <x:v>20</x:v>
      </x:c>
      <x:c r="I68" s="8" t="n">
        <x:f t="shared" si="4">SUM(E68:G68)</x:f>
        <x:v>0</x:v>
      </x:c>
      <x:c r="J68" s="10" t="n">
        <x:f>SUMIFS('By structure'!$G$6:$G$701,'By structure'!$A$6:$A$701,A68,'By structure'!$C$6:$C$701,C68)</x:f>
        <x:v>5297285</x:v>
      </x:c>
      <x:c r="K68" s="8" t="n">
        <x:f>SUMIFS('By structure'!$H$6:$H$701,'By structure'!$A$6:$A$701,A68,'By structure'!$C$6:$C$701,C68)</x:f>
        <x:v>20</x:v>
      </x:c>
      <x:c r="L68" s="12" t="n">
        <x:f t="shared" si="5">IF(H68=0,"",(H68-K68)/H68)</x:f>
        <x:v>0</x:v>
      </x:c>
      <x:c r="M68" s="5" t="s">
        <x:v>79</x:v>
      </x:c>
      <x:c r="N68" s="5" t="s">
        <x:v>21</x:v>
      </x:c>
      <x:c r="O68" s="5" t="s">
        <x:v>81</x:v>
      </x:c>
      <x:c r="P68" s="14">
        <x:v>2678</x:v>
      </x:c>
      <x:c r="Q68" s="28" t="n">
        <x:f>COUNTIFS($A$6:$A$179,A68,$C$6:$C$179,C68)</x:f>
        <x:v>1</x:v>
      </x:c>
    </x:row>
    <x:row r="69" ht="22" customHeight="1">
      <x:c r="A69" s="15">
        <x:v>2022</x:v>
      </x:c>
      <x:c r="B69" s="1" t="s">
        <x:v>31</x:v>
      </x:c>
      <x:c r="C69" s="7" t="s">
        <x:v>32</x:v>
      </x:c>
      <x:c r="D69" s="9">
        <x:v>1346</x:v>
      </x:c>
      <x:c r="E69" s="9">
        <x:v>0</x:v>
      </x:c>
      <x:c r="F69" s="9">
        <x:v>27</x:v>
      </x:c>
      <x:c r="G69" s="9">
        <x:v>802</x:v>
      </x:c>
      <x:c r="H69" s="9" t="n">
        <x:f t="shared" si="3">SUM(D69:G69)</x:f>
        <x:v>2175</x:v>
      </x:c>
      <x:c r="I69" s="9" t="n">
        <x:f t="shared" si="4">SUM(E69:G69)</x:f>
        <x:v>829</x:v>
      </x:c>
      <x:c r="J69" s="11" t="n">
        <x:f>SUMIFS('By structure'!$G$6:$G$701,'By structure'!$A$6:$A$701,A69,'By structure'!$C$6:$C$701,C69)</x:f>
        <x:v>541166152</x:v>
      </x:c>
      <x:c r="K69" s="9" t="n">
        <x:f>SUMIFS('By structure'!$H$6:$H$701,'By structure'!$A$6:$A$701,A69,'By structure'!$C$6:$C$701,C69)</x:f>
        <x:v>2175</x:v>
      </x:c>
      <x:c r="L69" s="13" t="n">
        <x:f t="shared" si="5">IF(H69=0,"",(H69-K69)/H69)</x:f>
        <x:v>0</x:v>
      </x:c>
      <x:c r="M69" s="1" t="s">
        <x:v>79</x:v>
      </x:c>
      <x:c r="N69" s="1" t="s">
        <x:v>21</x:v>
      </x:c>
      <x:c r="O69" s="1" t="s">
        <x:v>81</x:v>
      </x:c>
      <x:c r="P69" s="15">
        <x:v>2679</x:v>
      </x:c>
      <x:c r="Q69" s="28" t="n">
        <x:f>COUNTIFS($A$6:$A$179,A69,$C$6:$C$179,C69)</x:f>
        <x:v>1</x:v>
      </x:c>
    </x:row>
    <x:row r="70" ht="22" customHeight="1">
      <x:c r="A70" s="14">
        <x:v>2022</x:v>
      </x:c>
      <x:c r="B70" s="5" t="s">
        <x:v>33</x:v>
      </x:c>
      <x:c r="C70" s="6" t="s">
        <x:v>34</x:v>
      </x:c>
      <x:c r="D70" s="8">
        <x:v>176</x:v>
      </x:c>
      <x:c r="E70" s="8">
        <x:v>0</x:v>
      </x:c>
      <x:c r="F70" s="8">
        <x:v>7</x:v>
      </x:c>
      <x:c r="G70" s="8">
        <x:v>0</x:v>
      </x:c>
      <x:c r="H70" s="8" t="n">
        <x:f t="shared" ref="H70:H101" si="6">SUM(D70:G70)</x:f>
        <x:v>183</x:v>
      </x:c>
      <x:c r="I70" s="8" t="n">
        <x:f t="shared" ref="I70:I101" si="7">SUM(E70:G70)</x:f>
        <x:v>7</x:v>
      </x:c>
      <x:c r="J70" s="10" t="n">
        <x:f>SUMIFS('By structure'!$G$6:$G$701,'By structure'!$A$6:$A$701,A70,'By structure'!$C$6:$C$701,C70)</x:f>
        <x:v>45421723</x:v>
      </x:c>
      <x:c r="K70" s="8" t="n">
        <x:f>SUMIFS('By structure'!$H$6:$H$701,'By structure'!$A$6:$A$701,A70,'By structure'!$C$6:$C$701,C70)</x:f>
        <x:v>121</x:v>
      </x:c>
      <x:c r="L70" s="12" t="n">
        <x:f t="shared" ref="L70:L101" si="8">IF(H70=0,"",(H70-K70)/H70)</x:f>
        <x:v>0.33879781420765026</x:v>
      </x:c>
      <x:c r="M70" s="5" t="s">
        <x:v>79</x:v>
      </x:c>
      <x:c r="N70" s="5" t="s">
        <x:v>21</x:v>
      </x:c>
      <x:c r="O70" s="5" t="s">
        <x:v>81</x:v>
      </x:c>
      <x:c r="P70" s="14">
        <x:v>2680</x:v>
      </x:c>
      <x:c r="Q70" s="28" t="n">
        <x:f>COUNTIFS($A$6:$A$179,A70,$C$6:$C$179,C70)</x:f>
        <x:v>1</x:v>
      </x:c>
    </x:row>
    <x:row r="71" ht="22" customHeight="1">
      <x:c r="A71" s="15">
        <x:v>2022</x:v>
      </x:c>
      <x:c r="B71" s="1" t="s">
        <x:v>35</x:v>
      </x:c>
      <x:c r="C71" s="7" t="s">
        <x:v>36</x:v>
      </x:c>
      <x:c r="D71" s="9">
        <x:v>40</x:v>
      </x:c>
      <x:c r="E71" s="9">
        <x:v>0</x:v>
      </x:c>
      <x:c r="F71" s="9">
        <x:v>0</x:v>
      </x:c>
      <x:c r="G71" s="9">
        <x:v>0</x:v>
      </x:c>
      <x:c r="H71" s="9" t="n">
        <x:f t="shared" si="6">SUM(D71:G71)</x:f>
        <x:v>40</x:v>
      </x:c>
      <x:c r="I71" s="9" t="n">
        <x:f t="shared" si="7">SUM(E71:G71)</x:f>
        <x:v>0</x:v>
      </x:c>
      <x:c r="J71" s="11" t="n">
        <x:f>SUMIFS('By structure'!$G$6:$G$701,'By structure'!$A$6:$A$701,A71,'By structure'!$C$6:$C$701,C71)</x:f>
        <x:v>4824176</x:v>
      </x:c>
      <x:c r="K71" s="9" t="n">
        <x:f>SUMIFS('By structure'!$H$6:$H$701,'By structure'!$A$6:$A$701,A71,'By structure'!$C$6:$C$701,C71)</x:f>
        <x:v>40</x:v>
      </x:c>
      <x:c r="L71" s="13" t="n">
        <x:f t="shared" si="8">IF(H71=0,"",(H71-K71)/H71)</x:f>
        <x:v>0</x:v>
      </x:c>
      <x:c r="M71" s="1" t="s">
        <x:v>79</x:v>
      </x:c>
      <x:c r="N71" s="1" t="s">
        <x:v>21</x:v>
      </x:c>
      <x:c r="O71" s="1" t="s">
        <x:v>81</x:v>
      </x:c>
      <x:c r="P71" s="15">
        <x:v>2681</x:v>
      </x:c>
      <x:c r="Q71" s="28" t="n">
        <x:f>COUNTIFS($A$6:$A$179,A71,$C$6:$C$179,C71)</x:f>
        <x:v>1</x:v>
      </x:c>
    </x:row>
    <x:row r="72" ht="22" customHeight="1">
      <x:c r="A72" s="14">
        <x:v>2022</x:v>
      </x:c>
      <x:c r="B72" s="5" t="s">
        <x:v>37</x:v>
      </x:c>
      <x:c r="C72" s="6" t="s">
        <x:v>38</x:v>
      </x:c>
      <x:c r="D72" s="8">
        <x:v>66</x:v>
      </x:c>
      <x:c r="E72" s="8">
        <x:v>0</x:v>
      </x:c>
      <x:c r="F72" s="8">
        <x:v>0</x:v>
      </x:c>
      <x:c r="G72" s="8">
        <x:v>0</x:v>
      </x:c>
      <x:c r="H72" s="8" t="n">
        <x:f t="shared" si="6">SUM(D72:G72)</x:f>
        <x:v>66</x:v>
      </x:c>
      <x:c r="I72" s="8" t="n">
        <x:f t="shared" si="7">SUM(E72:G72)</x:f>
        <x:v>0</x:v>
      </x:c>
      <x:c r="J72" s="10" t="n">
        <x:f>SUMIFS('By structure'!$G$6:$G$701,'By structure'!$A$6:$A$701,A72,'By structure'!$C$6:$C$701,C72)</x:f>
        <x:v>14530930</x:v>
      </x:c>
      <x:c r="K72" s="8" t="n">
        <x:f>SUMIFS('By structure'!$H$6:$H$701,'By structure'!$A$6:$A$701,A72,'By structure'!$C$6:$C$701,C72)</x:f>
        <x:v>66</x:v>
      </x:c>
      <x:c r="L72" s="12" t="n">
        <x:f t="shared" si="8">IF(H72=0,"",(H72-K72)/H72)</x:f>
        <x:v>0</x:v>
      </x:c>
      <x:c r="M72" s="5" t="s">
        <x:v>79</x:v>
      </x:c>
      <x:c r="N72" s="5" t="s">
        <x:v>21</x:v>
      </x:c>
      <x:c r="O72" s="5" t="s">
        <x:v>81</x:v>
      </x:c>
      <x:c r="P72" s="14">
        <x:v>2682</x:v>
      </x:c>
      <x:c r="Q72" s="28" t="n">
        <x:f>COUNTIFS($A$6:$A$179,A72,$C$6:$C$179,C72)</x:f>
        <x:v>1</x:v>
      </x:c>
    </x:row>
    <x:row r="73" ht="22" customHeight="1">
      <x:c r="A73" s="15">
        <x:v>2022</x:v>
      </x:c>
      <x:c r="B73" s="1" t="s">
        <x:v>39</x:v>
      </x:c>
      <x:c r="C73" s="7" t="s">
        <x:v>40</x:v>
      </x:c>
      <x:c r="D73" s="9">
        <x:v>64</x:v>
      </x:c>
      <x:c r="E73" s="9">
        <x:v>18</x:v>
      </x:c>
      <x:c r="F73" s="9">
        <x:v>19</x:v>
      </x:c>
      <x:c r="G73" s="9">
        <x:v>0</x:v>
      </x:c>
      <x:c r="H73" s="9" t="n">
        <x:f t="shared" si="6">SUM(D73:G73)</x:f>
        <x:v>101</x:v>
      </x:c>
      <x:c r="I73" s="9" t="n">
        <x:f t="shared" si="7">SUM(E73:G73)</x:f>
        <x:v>37</x:v>
      </x:c>
      <x:c r="J73" s="11" t="n">
        <x:f>SUMIFS('By structure'!$G$6:$G$701,'By structure'!$A$6:$A$701,A73,'By structure'!$C$6:$C$701,C73)</x:f>
        <x:v>22571070</x:v>
      </x:c>
      <x:c r="K73" s="9" t="n">
        <x:f>SUMIFS('By structure'!$H$6:$H$701,'By structure'!$A$6:$A$701,A73,'By structure'!$C$6:$C$701,C73)</x:f>
        <x:v>101</x:v>
      </x:c>
      <x:c r="L73" s="13" t="n">
        <x:f t="shared" si="8">IF(H73=0,"",(H73-K73)/H73)</x:f>
        <x:v>0</x:v>
      </x:c>
      <x:c r="M73" s="1" t="s">
        <x:v>79</x:v>
      </x:c>
      <x:c r="N73" s="1" t="s">
        <x:v>21</x:v>
      </x:c>
      <x:c r="O73" s="1" t="s">
        <x:v>81</x:v>
      </x:c>
      <x:c r="P73" s="15">
        <x:v>2683</x:v>
      </x:c>
      <x:c r="Q73" s="28" t="n">
        <x:f>COUNTIFS($A$6:$A$179,A73,$C$6:$C$179,C73)</x:f>
        <x:v>1</x:v>
      </x:c>
    </x:row>
    <x:row r="74" ht="22" customHeight="1">
      <x:c r="A74" s="14">
        <x:v>2022</x:v>
      </x:c>
      <x:c r="B74" s="5" t="s">
        <x:v>41</x:v>
      </x:c>
      <x:c r="C74" s="6" t="s">
        <x:v>42</x:v>
      </x:c>
      <x:c r="D74" s="8">
        <x:v>989</x:v>
      </x:c>
      <x:c r="E74" s="8">
        <x:v>0</x:v>
      </x:c>
      <x:c r="F74" s="8">
        <x:v>0</x:v>
      </x:c>
      <x:c r="G74" s="8">
        <x:v>43</x:v>
      </x:c>
      <x:c r="H74" s="8" t="n">
        <x:f t="shared" si="6">SUM(D74:G74)</x:f>
        <x:v>1032</x:v>
      </x:c>
      <x:c r="I74" s="8" t="n">
        <x:f t="shared" si="7">SUM(E74:G74)</x:f>
        <x:v>43</x:v>
      </x:c>
      <x:c r="J74" s="10" t="n">
        <x:f>SUMIFS('By structure'!$G$6:$G$701,'By structure'!$A$6:$A$701,A74,'By structure'!$C$6:$C$701,C74)</x:f>
        <x:v>212315653</x:v>
      </x:c>
      <x:c r="K74" s="8" t="n">
        <x:f>SUMIFS('By structure'!$H$6:$H$701,'By structure'!$A$6:$A$701,A74,'By structure'!$C$6:$C$701,C74)</x:f>
        <x:v>1032</x:v>
      </x:c>
      <x:c r="L74" s="12" t="n">
        <x:f t="shared" si="8">IF(H74=0,"",(H74-K74)/H74)</x:f>
        <x:v>0</x:v>
      </x:c>
      <x:c r="M74" s="5" t="s">
        <x:v>79</x:v>
      </x:c>
      <x:c r="N74" s="5" t="s">
        <x:v>21</x:v>
      </x:c>
      <x:c r="O74" s="5" t="s">
        <x:v>81</x:v>
      </x:c>
      <x:c r="P74" s="14">
        <x:v>2684</x:v>
      </x:c>
      <x:c r="Q74" s="28" t="n">
        <x:f>COUNTIFS($A$6:$A$179,A74,$C$6:$C$179,C74)</x:f>
        <x:v>1</x:v>
      </x:c>
    </x:row>
    <x:row r="75" ht="22" customHeight="1">
      <x:c r="A75" s="15">
        <x:v>2022</x:v>
      </x:c>
      <x:c r="B75" s="1" t="s">
        <x:v>43</x:v>
      </x:c>
      <x:c r="C75" s="7" t="s">
        <x:v>44</x:v>
      </x:c>
      <x:c r="D75" s="9">
        <x:v>73</x:v>
      </x:c>
      <x:c r="E75" s="9">
        <x:v>14</x:v>
      </x:c>
      <x:c r="F75" s="9">
        <x:v>18</x:v>
      </x:c>
      <x:c r="G75" s="9">
        <x:v>17</x:v>
      </x:c>
      <x:c r="H75" s="9" t="n">
        <x:f t="shared" si="6">SUM(D75:G75)</x:f>
        <x:v>122</x:v>
      </x:c>
      <x:c r="I75" s="9" t="n">
        <x:f t="shared" si="7">SUM(E75:G75)</x:f>
        <x:v>49</x:v>
      </x:c>
      <x:c r="J75" s="11" t="n">
        <x:f>SUMIFS('By structure'!$G$6:$G$701,'By structure'!$A$6:$A$701,A75,'By structure'!$C$6:$C$701,C75)</x:f>
        <x:v>30743593</x:v>
      </x:c>
      <x:c r="K75" s="9" t="n">
        <x:f>SUMIFS('By structure'!$H$6:$H$701,'By structure'!$A$6:$A$701,A75,'By structure'!$C$6:$C$701,C75)</x:f>
        <x:v>122</x:v>
      </x:c>
      <x:c r="L75" s="13" t="n">
        <x:f t="shared" si="8">IF(H75=0,"",(H75-K75)/H75)</x:f>
        <x:v>0</x:v>
      </x:c>
      <x:c r="M75" s="1" t="s">
        <x:v>79</x:v>
      </x:c>
      <x:c r="N75" s="1" t="s">
        <x:v>21</x:v>
      </x:c>
      <x:c r="O75" s="1" t="s">
        <x:v>81</x:v>
      </x:c>
      <x:c r="P75" s="15">
        <x:v>2685</x:v>
      </x:c>
      <x:c r="Q75" s="28" t="n">
        <x:f>COUNTIFS($A$6:$A$179,A75,$C$6:$C$179,C75)</x:f>
        <x:v>1</x:v>
      </x:c>
    </x:row>
    <x:row r="76" ht="22" customHeight="1">
      <x:c r="A76" s="14">
        <x:v>2022</x:v>
      </x:c>
      <x:c r="B76" s="5" t="s">
        <x:v>45</x:v>
      </x:c>
      <x:c r="C76" s="6" t="s">
        <x:v>46</x:v>
      </x:c>
      <x:c r="D76" s="8">
        <x:v>203</x:v>
      </x:c>
      <x:c r="E76" s="8">
        <x:v>0</x:v>
      </x:c>
      <x:c r="F76" s="8">
        <x:v>4</x:v>
      </x:c>
      <x:c r="G76" s="8">
        <x:v>0</x:v>
      </x:c>
      <x:c r="H76" s="8" t="n">
        <x:f t="shared" si="6">SUM(D76:G76)</x:f>
        <x:v>207</x:v>
      </x:c>
      <x:c r="I76" s="8" t="n">
        <x:f t="shared" si="7">SUM(E76:G76)</x:f>
        <x:v>4</x:v>
      </x:c>
      <x:c r="J76" s="10" t="n">
        <x:f>SUMIFS('By structure'!$G$6:$G$701,'By structure'!$A$6:$A$701,A76,'By structure'!$C$6:$C$701,C76)</x:f>
        <x:v>58524680</x:v>
      </x:c>
      <x:c r="K76" s="8" t="n">
        <x:f>SUMIFS('By structure'!$H$6:$H$701,'By structure'!$A$6:$A$701,A76,'By structure'!$C$6:$C$701,C76)</x:f>
        <x:v>184</x:v>
      </x:c>
      <x:c r="L76" s="12" t="n">
        <x:f t="shared" si="8">IF(H76=0,"",(H76-K76)/H76)</x:f>
        <x:v>0.1111111111111111</x:v>
      </x:c>
      <x:c r="M76" s="5" t="s">
        <x:v>79</x:v>
      </x:c>
      <x:c r="N76" s="5" t="s">
        <x:v>21</x:v>
      </x:c>
      <x:c r="O76" s="5" t="s">
        <x:v>81</x:v>
      </x:c>
      <x:c r="P76" s="14">
        <x:v>2686</x:v>
      </x:c>
      <x:c r="Q76" s="28" t="n">
        <x:f>COUNTIFS($A$6:$A$179,A76,$C$6:$C$179,C76)</x:f>
        <x:v>1</x:v>
      </x:c>
    </x:row>
    <x:row r="77" ht="22" customHeight="1">
      <x:c r="A77" s="15">
        <x:v>2022</x:v>
      </x:c>
      <x:c r="B77" s="1" t="s">
        <x:v>47</x:v>
      </x:c>
      <x:c r="C77" s="7" t="s">
        <x:v>48</x:v>
      </x:c>
      <x:c r="D77" s="9">
        <x:v>58</x:v>
      </x:c>
      <x:c r="E77" s="9">
        <x:v>2</x:v>
      </x:c>
      <x:c r="F77" s="9">
        <x:v>4</x:v>
      </x:c>
      <x:c r="G77" s="9">
        <x:v>0</x:v>
      </x:c>
      <x:c r="H77" s="9" t="n">
        <x:f t="shared" si="6">SUM(D77:G77)</x:f>
        <x:v>64</x:v>
      </x:c>
      <x:c r="I77" s="9" t="n">
        <x:f t="shared" si="7">SUM(E77:G77)</x:f>
        <x:v>6</x:v>
      </x:c>
      <x:c r="J77" s="11" t="n">
        <x:f>SUMIFS('By structure'!$G$6:$G$701,'By structure'!$A$6:$A$701,A77,'By structure'!$C$6:$C$701,C77)</x:f>
        <x:v>12127923</x:v>
      </x:c>
      <x:c r="K77" s="9" t="n">
        <x:f>SUMIFS('By structure'!$H$6:$H$701,'By structure'!$A$6:$A$701,A77,'By structure'!$C$6:$C$701,C77)</x:f>
        <x:v>60</x:v>
      </x:c>
      <x:c r="L77" s="13" t="n">
        <x:f t="shared" si="8">IF(H77=0,"",(H77-K77)/H77)</x:f>
        <x:v>0.0625</x:v>
      </x:c>
      <x:c r="M77" s="1" t="s">
        <x:v>79</x:v>
      </x:c>
      <x:c r="N77" s="1" t="s">
        <x:v>21</x:v>
      </x:c>
      <x:c r="O77" s="1" t="s">
        <x:v>81</x:v>
      </x:c>
      <x:c r="P77" s="15">
        <x:v>2687</x:v>
      </x:c>
      <x:c r="Q77" s="28" t="n">
        <x:f>COUNTIFS($A$6:$A$179,A77,$C$6:$C$179,C77)</x:f>
        <x:v>1</x:v>
      </x:c>
    </x:row>
    <x:row r="78" ht="22" customHeight="1">
      <x:c r="A78" s="14">
        <x:v>2022</x:v>
      </x:c>
      <x:c r="B78" s="5" t="s">
        <x:v>49</x:v>
      </x:c>
      <x:c r="C78" s="6" t="s">
        <x:v>50</x:v>
      </x:c>
      <x:c r="D78" s="8">
        <x:v>47</x:v>
      </x:c>
      <x:c r="E78" s="8">
        <x:v>0</x:v>
      </x:c>
      <x:c r="F78" s="8">
        <x:v>16</x:v>
      </x:c>
      <x:c r="G78" s="8">
        <x:v>0</x:v>
      </x:c>
      <x:c r="H78" s="8" t="n">
        <x:f t="shared" si="6">SUM(D78:G78)</x:f>
        <x:v>63</x:v>
      </x:c>
      <x:c r="I78" s="8" t="n">
        <x:f t="shared" si="7">SUM(E78:G78)</x:f>
        <x:v>16</x:v>
      </x:c>
      <x:c r="J78" s="10" t="n">
        <x:f>SUMIFS('By structure'!$G$6:$G$701,'By structure'!$A$6:$A$701,A78,'By structure'!$C$6:$C$701,C78)</x:f>
        <x:v>36108364</x:v>
      </x:c>
      <x:c r="K78" s="8" t="n">
        <x:f>SUMIFS('By structure'!$H$6:$H$701,'By structure'!$A$6:$A$701,A78,'By structure'!$C$6:$C$701,C78)</x:f>
        <x:v>63</x:v>
      </x:c>
      <x:c r="L78" s="12" t="n">
        <x:f t="shared" si="8">IF(H78=0,"",(H78-K78)/H78)</x:f>
        <x:v>0</x:v>
      </x:c>
      <x:c r="M78" s="5" t="s">
        <x:v>79</x:v>
      </x:c>
      <x:c r="N78" s="5" t="s">
        <x:v>21</x:v>
      </x:c>
      <x:c r="O78" s="5" t="s">
        <x:v>81</x:v>
      </x:c>
      <x:c r="P78" s="14">
        <x:v>2688</x:v>
      </x:c>
      <x:c r="Q78" s="28" t="n">
        <x:f>COUNTIFS($A$6:$A$179,A78,$C$6:$C$179,C78)</x:f>
        <x:v>1</x:v>
      </x:c>
    </x:row>
    <x:row r="79" ht="22" customHeight="1">
      <x:c r="A79" s="15">
        <x:v>2022</x:v>
      </x:c>
      <x:c r="B79" s="1" t="s">
        <x:v>51</x:v>
      </x:c>
      <x:c r="C79" s="7" t="s">
        <x:v>52</x:v>
      </x:c>
      <x:c r="D79" s="9">
        <x:v>36</x:v>
      </x:c>
      <x:c r="E79" s="9">
        <x:v>0</x:v>
      </x:c>
      <x:c r="F79" s="9">
        <x:v>0</x:v>
      </x:c>
      <x:c r="G79" s="9">
        <x:v>0</x:v>
      </x:c>
      <x:c r="H79" s="9" t="n">
        <x:f t="shared" si="6">SUM(D79:G79)</x:f>
        <x:v>36</x:v>
      </x:c>
      <x:c r="I79" s="9" t="n">
        <x:f t="shared" si="7">SUM(E79:G79)</x:f>
        <x:v>0</x:v>
      </x:c>
      <x:c r="J79" s="11" t="n">
        <x:f>SUMIFS('By structure'!$G$6:$G$701,'By structure'!$A$6:$A$701,A79,'By structure'!$C$6:$C$701,C79)</x:f>
        <x:v>5944980</x:v>
      </x:c>
      <x:c r="K79" s="9" t="n">
        <x:f>SUMIFS('By structure'!$H$6:$H$701,'By structure'!$A$6:$A$701,A79,'By structure'!$C$6:$C$701,C79)</x:f>
        <x:v>9</x:v>
      </x:c>
      <x:c r="L79" s="13" t="n">
        <x:f t="shared" si="8">IF(H79=0,"",(H79-K79)/H79)</x:f>
        <x:v>0.75</x:v>
      </x:c>
      <x:c r="M79" s="1" t="s">
        <x:v>79</x:v>
      </x:c>
      <x:c r="N79" s="1" t="s">
        <x:v>21</x:v>
      </x:c>
      <x:c r="O79" s="1" t="s">
        <x:v>81</x:v>
      </x:c>
      <x:c r="P79" s="15">
        <x:v>2689</x:v>
      </x:c>
      <x:c r="Q79" s="28" t="n">
        <x:f>COUNTIFS($A$6:$A$179,A79,$C$6:$C$179,C79)</x:f>
        <x:v>1</x:v>
      </x:c>
    </x:row>
    <x:row r="80" ht="22" customHeight="1">
      <x:c r="A80" s="14">
        <x:v>2022</x:v>
      </x:c>
      <x:c r="B80" s="5" t="s">
        <x:v>53</x:v>
      </x:c>
      <x:c r="C80" s="6" t="s">
        <x:v>54</x:v>
      </x:c>
      <x:c r="D80" s="8">
        <x:v>71</x:v>
      </x:c>
      <x:c r="E80" s="8">
        <x:v>0</x:v>
      </x:c>
      <x:c r="F80" s="8">
        <x:v>0</x:v>
      </x:c>
      <x:c r="G80" s="8">
        <x:v>0</x:v>
      </x:c>
      <x:c r="H80" s="8" t="n">
        <x:f t="shared" si="6">SUM(D80:G80)</x:f>
        <x:v>71</x:v>
      </x:c>
      <x:c r="I80" s="8" t="n">
        <x:f t="shared" si="7">SUM(E80:G80)</x:f>
        <x:v>0</x:v>
      </x:c>
      <x:c r="J80" s="10" t="n">
        <x:f>SUMIFS('By structure'!$G$6:$G$701,'By structure'!$A$6:$A$701,A80,'By structure'!$C$6:$C$701,C80)</x:f>
        <x:v>23127537</x:v>
      </x:c>
      <x:c r="K80" s="8" t="n">
        <x:f>SUMIFS('By structure'!$H$6:$H$701,'By structure'!$A$6:$A$701,A80,'By structure'!$C$6:$C$701,C80)</x:f>
        <x:v>0</x:v>
      </x:c>
      <x:c r="L80" s="12" t="n">
        <x:f t="shared" si="8">IF(H80=0,"",(H80-K80)/H80)</x:f>
        <x:v>1</x:v>
      </x:c>
      <x:c r="M80" s="5" t="s">
        <x:v>79</x:v>
      </x:c>
      <x:c r="N80" s="5" t="s">
        <x:v>21</x:v>
      </x:c>
      <x:c r="O80" s="5" t="s">
        <x:v>81</x:v>
      </x:c>
      <x:c r="P80" s="14">
        <x:v>2690</x:v>
      </x:c>
      <x:c r="Q80" s="28" t="n">
        <x:f>COUNTIFS($A$6:$A$179,A80,$C$6:$C$179,C80)</x:f>
        <x:v>1</x:v>
      </x:c>
    </x:row>
    <x:row r="81" ht="22" customHeight="1">
      <x:c r="A81" s="15">
        <x:v>2022</x:v>
      </x:c>
      <x:c r="B81" s="1" t="s">
        <x:v>55</x:v>
      </x:c>
      <x:c r="C81" s="7" t="s">
        <x:v>56</x:v>
      </x:c>
      <x:c r="D81" s="9">
        <x:v>3339</x:v>
      </x:c>
      <x:c r="E81" s="9">
        <x:v>84</x:v>
      </x:c>
      <x:c r="F81" s="9">
        <x:v>63</x:v>
      </x:c>
      <x:c r="G81" s="9">
        <x:v>5889</x:v>
      </x:c>
      <x:c r="H81" s="9" t="n">
        <x:f t="shared" si="6">SUM(D81:G81)</x:f>
        <x:v>9375</x:v>
      </x:c>
      <x:c r="I81" s="9" t="n">
        <x:f t="shared" si="7">SUM(E81:G81)</x:f>
        <x:v>6036</x:v>
      </x:c>
      <x:c r="J81" s="11" t="n">
        <x:f>SUMIFS('By structure'!$G$6:$G$701,'By structure'!$A$6:$A$701,A81,'By structure'!$C$6:$C$701,C81)</x:f>
        <x:v>1837477116</x:v>
      </x:c>
      <x:c r="K81" s="9" t="n">
        <x:f>SUMIFS('By structure'!$H$6:$H$701,'By structure'!$A$6:$A$701,A81,'By structure'!$C$6:$C$701,C81)</x:f>
        <x:v>5470</x:v>
      </x:c>
      <x:c r="L81" s="13" t="n">
        <x:f t="shared" si="8">IF(H81=0,"",(H81-K81)/H81)</x:f>
        <x:v>0.4165333333333333</x:v>
      </x:c>
      <x:c r="M81" s="1" t="s">
        <x:v>79</x:v>
      </x:c>
      <x:c r="N81" s="1" t="s">
        <x:v>21</x:v>
      </x:c>
      <x:c r="O81" s="1" t="s">
        <x:v>81</x:v>
      </x:c>
      <x:c r="P81" s="15">
        <x:v>2691</x:v>
      </x:c>
      <x:c r="Q81" s="28" t="n">
        <x:f>COUNTIFS($A$6:$A$179,A81,$C$6:$C$179,C81)</x:f>
        <x:v>1</x:v>
      </x:c>
    </x:row>
    <x:row r="82" ht="22" customHeight="1">
      <x:c r="A82" s="14">
        <x:v>2022</x:v>
      </x:c>
      <x:c r="B82" s="5" t="s">
        <x:v>57</x:v>
      </x:c>
      <x:c r="C82" s="6" t="s">
        <x:v>58</x:v>
      </x:c>
      <x:c r="D82" s="8">
        <x:v>92</x:v>
      </x:c>
      <x:c r="E82" s="8">
        <x:v>0</x:v>
      </x:c>
      <x:c r="F82" s="8">
        <x:v>0</x:v>
      </x:c>
      <x:c r="G82" s="8">
        <x:v>0</x:v>
      </x:c>
      <x:c r="H82" s="8" t="n">
        <x:f t="shared" si="6">SUM(D82:G82)</x:f>
        <x:v>92</x:v>
      </x:c>
      <x:c r="I82" s="8" t="n">
        <x:f t="shared" si="7">SUM(E82:G82)</x:f>
        <x:v>0</x:v>
      </x:c>
      <x:c r="J82" s="10" t="n">
        <x:f>SUMIFS('By structure'!$G$6:$G$701,'By structure'!$A$6:$A$701,A82,'By structure'!$C$6:$C$701,C82)</x:f>
        <x:v>30578627</x:v>
      </x:c>
      <x:c r="K82" s="8" t="n">
        <x:f>SUMIFS('By structure'!$H$6:$H$701,'By structure'!$A$6:$A$701,A82,'By structure'!$C$6:$C$701,C82)</x:f>
        <x:v>90</x:v>
      </x:c>
      <x:c r="L82" s="12" t="n">
        <x:f t="shared" si="8">IF(H82=0,"",(H82-K82)/H82)</x:f>
        <x:v>0.021739130434782608</x:v>
      </x:c>
      <x:c r="M82" s="5" t="s">
        <x:v>79</x:v>
      </x:c>
      <x:c r="N82" s="5" t="s">
        <x:v>21</x:v>
      </x:c>
      <x:c r="O82" s="5" t="s">
        <x:v>81</x:v>
      </x:c>
      <x:c r="P82" s="14">
        <x:v>2692</x:v>
      </x:c>
      <x:c r="Q82" s="28" t="n">
        <x:f>COUNTIFS($A$6:$A$179,A82,$C$6:$C$179,C82)</x:f>
        <x:v>1</x:v>
      </x:c>
    </x:row>
    <x:row r="83" ht="22" customHeight="1">
      <x:c r="A83" s="15">
        <x:v>2022</x:v>
      </x:c>
      <x:c r="B83" s="1" t="s">
        <x:v>59</x:v>
      </x:c>
      <x:c r="C83" s="7" t="s">
        <x:v>60</x:v>
      </x:c>
      <x:c r="D83" s="9">
        <x:v>186</x:v>
      </x:c>
      <x:c r="E83" s="9">
        <x:v>0</x:v>
      </x:c>
      <x:c r="F83" s="9">
        <x:v>16</x:v>
      </x:c>
      <x:c r="G83" s="9">
        <x:v>0</x:v>
      </x:c>
      <x:c r="H83" s="9" t="n">
        <x:f t="shared" si="6">SUM(D83:G83)</x:f>
        <x:v>202</x:v>
      </x:c>
      <x:c r="I83" s="9" t="n">
        <x:f t="shared" si="7">SUM(E83:G83)</x:f>
        <x:v>16</x:v>
      </x:c>
      <x:c r="J83" s="11" t="n">
        <x:f>SUMIFS('By structure'!$G$6:$G$701,'By structure'!$A$6:$A$701,A83,'By structure'!$C$6:$C$701,C83)</x:f>
        <x:v>36306397</x:v>
      </x:c>
      <x:c r="K83" s="9" t="n">
        <x:f>SUMIFS('By structure'!$H$6:$H$701,'By structure'!$A$6:$A$701,A83,'By structure'!$C$6:$C$701,C83)</x:f>
        <x:v>202</x:v>
      </x:c>
      <x:c r="L83" s="13" t="n">
        <x:f t="shared" si="8">IF(H83=0,"",(H83-K83)/H83)</x:f>
        <x:v>0</x:v>
      </x:c>
      <x:c r="M83" s="1" t="s">
        <x:v>79</x:v>
      </x:c>
      <x:c r="N83" s="1" t="s">
        <x:v>21</x:v>
      </x:c>
      <x:c r="O83" s="1" t="s">
        <x:v>81</x:v>
      </x:c>
      <x:c r="P83" s="15">
        <x:v>2693</x:v>
      </x:c>
      <x:c r="Q83" s="28" t="n">
        <x:f>COUNTIFS($A$6:$A$179,A83,$C$6:$C$179,C83)</x:f>
        <x:v>1</x:v>
      </x:c>
    </x:row>
    <x:row r="84" ht="22" customHeight="1">
      <x:c r="A84" s="14">
        <x:v>2022</x:v>
      </x:c>
      <x:c r="B84" s="5" t="s">
        <x:v>61</x:v>
      </x:c>
      <x:c r="C84" s="6" t="s">
        <x:v>62</x:v>
      </x:c>
      <x:c r="D84" s="8">
        <x:v>105</x:v>
      </x:c>
      <x:c r="E84" s="8">
        <x:v>22</x:v>
      </x:c>
      <x:c r="F84" s="8">
        <x:v>0</x:v>
      </x:c>
      <x:c r="G84" s="8">
        <x:v>36</x:v>
      </x:c>
      <x:c r="H84" s="8" t="n">
        <x:f t="shared" si="6">SUM(D84:G84)</x:f>
        <x:v>163</x:v>
      </x:c>
      <x:c r="I84" s="8" t="n">
        <x:f t="shared" si="7">SUM(E84:G84)</x:f>
        <x:v>58</x:v>
      </x:c>
      <x:c r="J84" s="10" t="n">
        <x:f>SUMIFS('By structure'!$G$6:$G$701,'By structure'!$A$6:$A$701,A84,'By structure'!$C$6:$C$701,C84)</x:f>
        <x:v>34098500</x:v>
      </x:c>
      <x:c r="K84" s="8" t="n">
        <x:f>SUMIFS('By structure'!$H$6:$H$701,'By structure'!$A$6:$A$701,A84,'By structure'!$C$6:$C$701,C84)</x:f>
        <x:v>149</x:v>
      </x:c>
      <x:c r="L84" s="12" t="n">
        <x:f t="shared" si="8">IF(H84=0,"",(H84-K84)/H84)</x:f>
        <x:v>0.08588957055214724</x:v>
      </x:c>
      <x:c r="M84" s="5" t="s">
        <x:v>79</x:v>
      </x:c>
      <x:c r="N84" s="5" t="s">
        <x:v>21</x:v>
      </x:c>
      <x:c r="O84" s="5" t="s">
        <x:v>81</x:v>
      </x:c>
      <x:c r="P84" s="14">
        <x:v>2694</x:v>
      </x:c>
      <x:c r="Q84" s="28" t="n">
        <x:f>COUNTIFS($A$6:$A$179,A84,$C$6:$C$179,C84)</x:f>
        <x:v>1</x:v>
      </x:c>
    </x:row>
    <x:row r="85" ht="22" customHeight="1">
      <x:c r="A85" s="15">
        <x:v>2022</x:v>
      </x:c>
      <x:c r="B85" s="1" t="s">
        <x:v>63</x:v>
      </x:c>
      <x:c r="C85" s="7" t="s">
        <x:v>64</x:v>
      </x:c>
      <x:c r="D85" s="9">
        <x:v>470</x:v>
      </x:c>
      <x:c r="E85" s="9">
        <x:v>0</x:v>
      </x:c>
      <x:c r="F85" s="9">
        <x:v>0</x:v>
      </x:c>
      <x:c r="G85" s="9">
        <x:v>90</x:v>
      </x:c>
      <x:c r="H85" s="9" t="n">
        <x:f t="shared" si="6">SUM(D85:G85)</x:f>
        <x:v>560</x:v>
      </x:c>
      <x:c r="I85" s="9" t="n">
        <x:f t="shared" si="7">SUM(E85:G85)</x:f>
        <x:v>90</x:v>
      </x:c>
      <x:c r="J85" s="11" t="n">
        <x:f>SUMIFS('By structure'!$G$6:$G$701,'By structure'!$A$6:$A$701,A85,'By structure'!$C$6:$C$701,C85)</x:f>
        <x:v>343573819</x:v>
      </x:c>
      <x:c r="K85" s="9" t="n">
        <x:f>SUMIFS('By structure'!$H$6:$H$701,'By structure'!$A$6:$A$701,A85,'By structure'!$C$6:$C$701,C85)</x:f>
        <x:v>560</x:v>
      </x:c>
      <x:c r="L85" s="13" t="n">
        <x:f t="shared" si="8">IF(H85=0,"",(H85-K85)/H85)</x:f>
        <x:v>0</x:v>
      </x:c>
      <x:c r="M85" s="1" t="s">
        <x:v>79</x:v>
      </x:c>
      <x:c r="N85" s="1" t="s">
        <x:v>21</x:v>
      </x:c>
      <x:c r="O85" s="1" t="s">
        <x:v>81</x:v>
      </x:c>
      <x:c r="P85" s="15">
        <x:v>2695</x:v>
      </x:c>
      <x:c r="Q85" s="28" t="n">
        <x:f>COUNTIFS($A$6:$A$179,A85,$C$6:$C$179,C85)</x:f>
        <x:v>1</x:v>
      </x:c>
    </x:row>
    <x:row r="86" ht="22" customHeight="1">
      <x:c r="A86" s="14">
        <x:v>2022</x:v>
      </x:c>
      <x:c r="B86" s="5" t="s">
        <x:v>65</x:v>
      </x:c>
      <x:c r="C86" s="6" t="s">
        <x:v>66</x:v>
      </x:c>
      <x:c r="D86" s="8">
        <x:v>653</x:v>
      </x:c>
      <x:c r="E86" s="8">
        <x:v>0</x:v>
      </x:c>
      <x:c r="F86" s="8">
        <x:v>31</x:v>
      </x:c>
      <x:c r="G86" s="8">
        <x:v>43</x:v>
      </x:c>
      <x:c r="H86" s="8" t="n">
        <x:f t="shared" si="6">SUM(D86:G86)</x:f>
        <x:v>727</x:v>
      </x:c>
      <x:c r="I86" s="8" t="n">
        <x:f t="shared" si="7">SUM(E86:G86)</x:f>
        <x:v>74</x:v>
      </x:c>
      <x:c r="J86" s="10" t="n">
        <x:f>SUMIFS('By structure'!$G$6:$G$701,'By structure'!$A$6:$A$701,A86,'By structure'!$C$6:$C$701,C86)</x:f>
        <x:v>202440968</x:v>
      </x:c>
      <x:c r="K86" s="8" t="n">
        <x:f>SUMIFS('By structure'!$H$6:$H$701,'By structure'!$A$6:$A$701,A86,'By structure'!$C$6:$C$701,C86)</x:f>
        <x:v>727</x:v>
      </x:c>
      <x:c r="L86" s="12" t="n">
        <x:f t="shared" si="8">IF(H86=0,"",(H86-K86)/H86)</x:f>
        <x:v>0</x:v>
      </x:c>
      <x:c r="M86" s="5" t="s">
        <x:v>79</x:v>
      </x:c>
      <x:c r="N86" s="5" t="s">
        <x:v>21</x:v>
      </x:c>
      <x:c r="O86" s="5" t="s">
        <x:v>81</x:v>
      </x:c>
      <x:c r="P86" s="14">
        <x:v>2696</x:v>
      </x:c>
      <x:c r="Q86" s="28" t="n">
        <x:f>COUNTIFS($A$6:$A$179,A86,$C$6:$C$179,C86)</x:f>
        <x:v>1</x:v>
      </x:c>
    </x:row>
    <x:row r="87" ht="22" customHeight="1">
      <x:c r="A87" s="15">
        <x:v>2022</x:v>
      </x:c>
      <x:c r="B87" s="1" t="s">
        <x:v>67</x:v>
      </x:c>
      <x:c r="C87" s="7" t="s">
        <x:v>68</x:v>
      </x:c>
      <x:c r="D87" s="9">
        <x:v>86</x:v>
      </x:c>
      <x:c r="E87" s="9">
        <x:v>4</x:v>
      </x:c>
      <x:c r="F87" s="9">
        <x:v>0</x:v>
      </x:c>
      <x:c r="G87" s="9">
        <x:v>0</x:v>
      </x:c>
      <x:c r="H87" s="9" t="n">
        <x:f t="shared" si="6">SUM(D87:G87)</x:f>
        <x:v>90</x:v>
      </x:c>
      <x:c r="I87" s="9" t="n">
        <x:f t="shared" si="7">SUM(E87:G87)</x:f>
        <x:v>4</x:v>
      </x:c>
      <x:c r="J87" s="11" t="n">
        <x:f>SUMIFS('By structure'!$G$6:$G$701,'By structure'!$A$6:$A$701,A87,'By structure'!$C$6:$C$701,C87)</x:f>
        <x:v>34772083</x:v>
      </x:c>
      <x:c r="K87" s="9" t="n">
        <x:f>SUMIFS('By structure'!$H$6:$H$701,'By structure'!$A$6:$A$701,A87,'By structure'!$C$6:$C$701,C87)</x:f>
        <x:v>90</x:v>
      </x:c>
      <x:c r="L87" s="13" t="n">
        <x:f t="shared" si="8">IF(H87=0,"",(H87-K87)/H87)</x:f>
        <x:v>0</x:v>
      </x:c>
      <x:c r="M87" s="1" t="s">
        <x:v>79</x:v>
      </x:c>
      <x:c r="N87" s="1" t="s">
        <x:v>21</x:v>
      </x:c>
      <x:c r="O87" s="1" t="s">
        <x:v>81</x:v>
      </x:c>
      <x:c r="P87" s="15">
        <x:v>2697</x:v>
      </x:c>
      <x:c r="Q87" s="28" t="n">
        <x:f>COUNTIFS($A$6:$A$179,A87,$C$6:$C$179,C87)</x:f>
        <x:v>1</x:v>
      </x:c>
    </x:row>
    <x:row r="88" ht="22" customHeight="1">
      <x:c r="A88" s="14">
        <x:v>2022</x:v>
      </x:c>
      <x:c r="B88" s="5" t="s">
        <x:v>69</x:v>
      </x:c>
      <x:c r="C88" s="6" t="s">
        <x:v>70</x:v>
      </x:c>
      <x:c r="D88" s="8">
        <x:v>5080</x:v>
      </x:c>
      <x:c r="E88" s="8">
        <x:v>138</x:v>
      </x:c>
      <x:c r="F88" s="8">
        <x:v>140</x:v>
      </x:c>
      <x:c r="G88" s="8">
        <x:v>2807</x:v>
      </x:c>
      <x:c r="H88" s="8" t="n">
        <x:f t="shared" si="6">SUM(D88:G88)</x:f>
        <x:v>8165</x:v>
      </x:c>
      <x:c r="I88" s="8" t="n">
        <x:f t="shared" si="7">SUM(E88:G88)</x:f>
        <x:v>3085</x:v>
      </x:c>
      <x:c r="J88" s="10" t="n">
        <x:f>SUMIFS('By structure'!$G$6:$G$701,'By structure'!$A$6:$A$701,A88,'By structure'!$C$6:$C$701,C88)</x:f>
        <x:v>2213394113</x:v>
      </x:c>
      <x:c r="K88" s="8" t="n">
        <x:f>SUMIFS('By structure'!$H$6:$H$701,'By structure'!$A$6:$A$701,A88,'By structure'!$C$6:$C$701,C88)</x:f>
        <x:v>8154</x:v>
      </x:c>
      <x:c r="L88" s="12" t="n">
        <x:f t="shared" si="8">IF(H88=0,"",(H88-K88)/H88)</x:f>
        <x:v>0.0013472137170851195</x:v>
      </x:c>
      <x:c r="M88" s="5" t="s">
        <x:v>79</x:v>
      </x:c>
      <x:c r="N88" s="5" t="s">
        <x:v>21</x:v>
      </x:c>
      <x:c r="O88" s="5" t="s">
        <x:v>81</x:v>
      </x:c>
      <x:c r="P88" s="14">
        <x:v>2698</x:v>
      </x:c>
      <x:c r="Q88" s="28" t="n">
        <x:f>COUNTIFS($A$6:$A$179,A88,$C$6:$C$179,C88)</x:f>
        <x:v>1</x:v>
      </x:c>
    </x:row>
    <x:row r="89" ht="22" customHeight="1">
      <x:c r="A89" s="15">
        <x:v>2022</x:v>
      </x:c>
      <x:c r="B89" s="1" t="s">
        <x:v>71</x:v>
      </x:c>
      <x:c r="C89" s="7" t="s">
        <x:v>72</x:v>
      </x:c>
      <x:c r="D89" s="9">
        <x:v>991</x:v>
      </x:c>
      <x:c r="E89" s="9">
        <x:v>0</x:v>
      </x:c>
      <x:c r="F89" s="9">
        <x:v>6</x:v>
      </x:c>
      <x:c r="G89" s="9">
        <x:v>12</x:v>
      </x:c>
      <x:c r="H89" s="9" t="n">
        <x:f t="shared" si="6">SUM(D89:G89)</x:f>
        <x:v>1009</x:v>
      </x:c>
      <x:c r="I89" s="9" t="n">
        <x:f t="shared" si="7">SUM(E89:G89)</x:f>
        <x:v>18</x:v>
      </x:c>
      <x:c r="J89" s="11" t="n">
        <x:f>SUMIFS('By structure'!$G$6:$G$701,'By structure'!$A$6:$A$701,A89,'By structure'!$C$6:$C$701,C89)</x:f>
        <x:v>630435332</x:v>
      </x:c>
      <x:c r="K89" s="9" t="n">
        <x:f>SUMIFS('By structure'!$H$6:$H$701,'By structure'!$A$6:$A$701,A89,'By structure'!$C$6:$C$701,C89)</x:f>
        <x:v>1003</x:v>
      </x:c>
      <x:c r="L89" s="13" t="n">
        <x:f t="shared" si="8">IF(H89=0,"",(H89-K89)/H89)</x:f>
        <x:v>0.005946481665014866</x:v>
      </x:c>
      <x:c r="M89" s="1" t="s">
        <x:v>79</x:v>
      </x:c>
      <x:c r="N89" s="1" t="s">
        <x:v>21</x:v>
      </x:c>
      <x:c r="O89" s="1" t="s">
        <x:v>81</x:v>
      </x:c>
      <x:c r="P89" s="15">
        <x:v>2699</x:v>
      </x:c>
      <x:c r="Q89" s="28" t="n">
        <x:f>COUNTIFS($A$6:$A$179,A89,$C$6:$C$179,C89)</x:f>
        <x:v>1</x:v>
      </x:c>
    </x:row>
    <x:row r="90" ht="22" customHeight="1">
      <x:c r="A90" s="14">
        <x:v>2022</x:v>
      </x:c>
      <x:c r="B90" s="5" t="s">
        <x:v>73</x:v>
      </x:c>
      <x:c r="C90" s="6" t="s">
        <x:v>74</x:v>
      </x:c>
      <x:c r="D90" s="8">
        <x:v>2486</x:v>
      </x:c>
      <x:c r="E90" s="8">
        <x:v>0</x:v>
      </x:c>
      <x:c r="F90" s="8">
        <x:v>40</x:v>
      </x:c>
      <x:c r="G90" s="8">
        <x:v>670</x:v>
      </x:c>
      <x:c r="H90" s="8" t="n">
        <x:f t="shared" si="6">SUM(D90:G90)</x:f>
        <x:v>3196</x:v>
      </x:c>
      <x:c r="I90" s="8" t="n">
        <x:f t="shared" si="7">SUM(E90:G90)</x:f>
        <x:v>710</x:v>
      </x:c>
      <x:c r="J90" s="10" t="n">
        <x:f>SUMIFS('By structure'!$G$6:$G$701,'By structure'!$A$6:$A$701,A90,'By structure'!$C$6:$C$701,C90)</x:f>
        <x:v>608624554</x:v>
      </x:c>
      <x:c r="K90" s="8" t="n">
        <x:f>SUMIFS('By structure'!$H$6:$H$701,'By structure'!$A$6:$A$701,A90,'By structure'!$C$6:$C$701,C90)</x:f>
        <x:v>3180</x:v>
      </x:c>
      <x:c r="L90" s="12" t="n">
        <x:f t="shared" si="8">IF(H90=0,"",(H90-K90)/H90)</x:f>
        <x:v>0.0050062578222778474</x:v>
      </x:c>
      <x:c r="M90" s="5" t="s">
        <x:v>79</x:v>
      </x:c>
      <x:c r="N90" s="5" t="s">
        <x:v>21</x:v>
      </x:c>
      <x:c r="O90" s="5" t="s">
        <x:v>81</x:v>
      </x:c>
      <x:c r="P90" s="14">
        <x:v>2700</x:v>
      </x:c>
      <x:c r="Q90" s="28" t="n">
        <x:f>COUNTIFS($A$6:$A$179,A90,$C$6:$C$179,C90)</x:f>
        <x:v>1</x:v>
      </x:c>
    </x:row>
    <x:row r="91" ht="22" customHeight="1">
      <x:c r="A91" s="15">
        <x:v>2022</x:v>
      </x:c>
      <x:c r="B91" s="1" t="s">
        <x:v>75</x:v>
      </x:c>
      <x:c r="C91" s="7" t="s">
        <x:v>76</x:v>
      </x:c>
      <x:c r="D91" s="9">
        <x:v>25</x:v>
      </x:c>
      <x:c r="E91" s="9">
        <x:v>0</x:v>
      </x:c>
      <x:c r="F91" s="9">
        <x:v>4</x:v>
      </x:c>
      <x:c r="G91" s="9">
        <x:v>0</x:v>
      </x:c>
      <x:c r="H91" s="9" t="n">
        <x:f t="shared" si="6">SUM(D91:G91)</x:f>
        <x:v>29</x:v>
      </x:c>
      <x:c r="I91" s="9" t="n">
        <x:f t="shared" si="7">SUM(E91:G91)</x:f>
        <x:v>4</x:v>
      </x:c>
      <x:c r="J91" s="11" t="n">
        <x:f>SUMIFS('By structure'!$G$6:$G$701,'By structure'!$A$6:$A$701,A91,'By structure'!$C$6:$C$701,C91)</x:f>
        <x:v>8158251</x:v>
      </x:c>
      <x:c r="K91" s="9" t="n">
        <x:f>SUMIFS('By structure'!$H$6:$H$701,'By structure'!$A$6:$A$701,A91,'By structure'!$C$6:$C$701,C91)</x:f>
        <x:v>29</x:v>
      </x:c>
      <x:c r="L91" s="13" t="n">
        <x:f t="shared" si="8">IF(H91=0,"",(H91-K91)/H91)</x:f>
        <x:v>0</x:v>
      </x:c>
      <x:c r="M91" s="1" t="s">
        <x:v>79</x:v>
      </x:c>
      <x:c r="N91" s="1" t="s">
        <x:v>21</x:v>
      </x:c>
      <x:c r="O91" s="1" t="s">
        <x:v>81</x:v>
      </x:c>
      <x:c r="P91" s="15">
        <x:v>2701</x:v>
      </x:c>
      <x:c r="Q91" s="28" t="n">
        <x:f>COUNTIFS($A$6:$A$179,A91,$C$6:$C$179,C91)</x:f>
        <x:v>1</x:v>
      </x:c>
    </x:row>
    <x:row r="92" ht="22" customHeight="1">
      <x:c r="A92" s="14">
        <x:v>2022</x:v>
      </x:c>
      <x:c r="B92" s="5" t="s">
        <x:v>77</x:v>
      </x:c>
      <x:c r="C92" s="6" t="s">
        <x:v>78</x:v>
      </x:c>
      <x:c r="D92" s="8">
        <x:v>1252</x:v>
      </x:c>
      <x:c r="E92" s="8">
        <x:v>6</x:v>
      </x:c>
      <x:c r="F92" s="8">
        <x:v>89</x:v>
      </x:c>
      <x:c r="G92" s="8">
        <x:v>964</x:v>
      </x:c>
      <x:c r="H92" s="8" t="n">
        <x:f t="shared" si="6">SUM(D92:G92)</x:f>
        <x:v>2311</x:v>
      </x:c>
      <x:c r="I92" s="8" t="n">
        <x:f t="shared" si="7">SUM(E92:G92)</x:f>
        <x:v>1059</x:v>
      </x:c>
      <x:c r="J92" s="10" t="n">
        <x:f>SUMIFS('By structure'!$G$6:$G$701,'By structure'!$A$6:$A$701,A92,'By structure'!$C$6:$C$701,C92)</x:f>
        <x:v>541330852</x:v>
      </x:c>
      <x:c r="K92" s="8" t="n">
        <x:f>SUMIFS('By structure'!$H$6:$H$701,'By structure'!$A$6:$A$701,A92,'By structure'!$C$6:$C$701,C92)</x:f>
        <x:v>1875</x:v>
      </x:c>
      <x:c r="L92" s="12" t="n">
        <x:f t="shared" si="8">IF(H92=0,"",(H92-K92)/H92)</x:f>
        <x:v>0.18866291648636954</x:v>
      </x:c>
      <x:c r="M92" s="5" t="s">
        <x:v>79</x:v>
      </x:c>
      <x:c r="N92" s="5" t="s">
        <x:v>21</x:v>
      </x:c>
      <x:c r="O92" s="5" t="s">
        <x:v>81</x:v>
      </x:c>
      <x:c r="P92" s="14">
        <x:v>2702</x:v>
      </x:c>
      <x:c r="Q92" s="28" t="n">
        <x:f>COUNTIFS($A$6:$A$179,A92,$C$6:$C$179,C92)</x:f>
        <x:v>1</x:v>
      </x:c>
    </x:row>
    <x:row r="93" ht="22" customHeight="1">
      <x:c r="A93" s="15">
        <x:v>2023</x:v>
      </x:c>
      <x:c r="B93" s="1" t="s">
        <x:v>18</x:v>
      </x:c>
      <x:c r="C93" s="7" t="s">
        <x:v>19</x:v>
      </x:c>
      <x:c r="D93" s="9">
        <x:v>37</x:v>
      </x:c>
      <x:c r="E93" s="9">
        <x:v>0</x:v>
      </x:c>
      <x:c r="F93" s="9">
        <x:v>0</x:v>
      </x:c>
      <x:c r="G93" s="9">
        <x:v>0</x:v>
      </x:c>
      <x:c r="H93" s="9" t="n">
        <x:f t="shared" si="6">SUM(D93:G93)</x:f>
        <x:v>37</x:v>
      </x:c>
      <x:c r="I93" s="9" t="n">
        <x:f t="shared" si="7">SUM(E93:G93)</x:f>
        <x:v>0</x:v>
      </x:c>
      <x:c r="J93" s="11" t="n">
        <x:f>SUMIFS('By structure'!$G$6:$G$701,'By structure'!$A$6:$A$701,A93,'By structure'!$C$6:$C$701,C93)</x:f>
        <x:v>13156727</x:v>
      </x:c>
      <x:c r="K93" s="9" t="n">
        <x:f>SUMIFS('By structure'!$H$6:$H$701,'By structure'!$A$6:$A$701,A93,'By structure'!$C$6:$C$701,C93)</x:f>
        <x:v>37</x:v>
      </x:c>
      <x:c r="L93" s="13" t="n">
        <x:f t="shared" si="8">IF(H93=0,"",(H93-K93)/H93)</x:f>
        <x:v>0</x:v>
      </x:c>
      <x:c r="M93" s="1" t="s">
        <x:v>79</x:v>
      </x:c>
      <x:c r="N93" s="1" t="s">
        <x:v>82</x:v>
      </x:c>
      <x:c r="O93" s="1" t="s">
        <x:v>83</x:v>
      </x:c>
      <x:c r="P93" s="15">
        <x:v>2670</x:v>
      </x:c>
      <x:c r="Q93" s="28" t="n">
        <x:f>COUNTIFS($A$6:$A$179,A93,$C$6:$C$179,C93)</x:f>
        <x:v>1</x:v>
      </x:c>
    </x:row>
    <x:row r="94" ht="22" customHeight="1">
      <x:c r="A94" s="14">
        <x:v>2023</x:v>
      </x:c>
      <x:c r="B94" s="5" t="s">
        <x:v>23</x:v>
      </x:c>
      <x:c r="C94" s="6" t="s">
        <x:v>24</x:v>
      </x:c>
      <x:c r="D94" s="8">
        <x:v>238</x:v>
      </x:c>
      <x:c r="E94" s="8">
        <x:v>0</x:v>
      </x:c>
      <x:c r="F94" s="8">
        <x:v>4</x:v>
      </x:c>
      <x:c r="G94" s="8">
        <x:v>28</x:v>
      </x:c>
      <x:c r="H94" s="8" t="n">
        <x:f t="shared" si="6">SUM(D94:G94)</x:f>
        <x:v>270</x:v>
      </x:c>
      <x:c r="I94" s="8" t="n">
        <x:f t="shared" si="7">SUM(E94:G94)</x:f>
        <x:v>32</x:v>
      </x:c>
      <x:c r="J94" s="10" t="n">
        <x:f>SUMIFS('By structure'!$G$6:$G$701,'By structure'!$A$6:$A$701,A94,'By structure'!$C$6:$C$701,C94)</x:f>
        <x:v>75180482</x:v>
      </x:c>
      <x:c r="K94" s="8" t="n">
        <x:f>SUMIFS('By structure'!$H$6:$H$701,'By structure'!$A$6:$A$701,A94,'By structure'!$C$6:$C$701,C94)</x:f>
        <x:v>212</x:v>
      </x:c>
      <x:c r="L94" s="12" t="n">
        <x:f t="shared" si="8">IF(H94=0,"",(H94-K94)/H94)</x:f>
        <x:v>0.21481481481481482</x:v>
      </x:c>
      <x:c r="M94" s="5" t="s">
        <x:v>79</x:v>
      </x:c>
      <x:c r="N94" s="5" t="s">
        <x:v>82</x:v>
      </x:c>
      <x:c r="O94" s="5" t="s">
        <x:v>83</x:v>
      </x:c>
      <x:c r="P94" s="14">
        <x:v>2671</x:v>
      </x:c>
      <x:c r="Q94" s="28" t="n">
        <x:f>COUNTIFS($A$6:$A$179,A94,$C$6:$C$179,C94)</x:f>
        <x:v>1</x:v>
      </x:c>
    </x:row>
    <x:row r="95" ht="22" customHeight="1">
      <x:c r="A95" s="15">
        <x:v>2023</x:v>
      </x:c>
      <x:c r="B95" s="1" t="s">
        <x:v>25</x:v>
      </x:c>
      <x:c r="C95" s="7" t="s">
        <x:v>26</x:v>
      </x:c>
      <x:c r="D95" s="9">
        <x:v>610</x:v>
      </x:c>
      <x:c r="E95" s="9">
        <x:v>4</x:v>
      </x:c>
      <x:c r="F95" s="9">
        <x:v>4</x:v>
      </x:c>
      <x:c r="G95" s="9">
        <x:v>339</x:v>
      </x:c>
      <x:c r="H95" s="9" t="n">
        <x:f t="shared" si="6">SUM(D95:G95)</x:f>
        <x:v>957</x:v>
      </x:c>
      <x:c r="I95" s="9" t="n">
        <x:f t="shared" si="7">SUM(E95:G95)</x:f>
        <x:v>347</x:v>
      </x:c>
      <x:c r="J95" s="11" t="n">
        <x:f>SUMIFS('By structure'!$G$6:$G$701,'By structure'!$A$6:$A$701,A95,'By structure'!$C$6:$C$701,C95)</x:f>
        <x:v>301319618</x:v>
      </x:c>
      <x:c r="K95" s="9" t="n">
        <x:f>SUMIFS('By structure'!$H$6:$H$701,'By structure'!$A$6:$A$701,A95,'By structure'!$C$6:$C$701,C95)</x:f>
        <x:v>950</x:v>
      </x:c>
      <x:c r="L95" s="13" t="n">
        <x:f t="shared" si="8">IF(H95=0,"",(H95-K95)/H95)</x:f>
        <x:v>0.0073145245559038665</x:v>
      </x:c>
      <x:c r="M95" s="1" t="s">
        <x:v>79</x:v>
      </x:c>
      <x:c r="N95" s="1" t="s">
        <x:v>82</x:v>
      </x:c>
      <x:c r="O95" s="1" t="s">
        <x:v>83</x:v>
      </x:c>
      <x:c r="P95" s="15">
        <x:v>2672</x:v>
      </x:c>
      <x:c r="Q95" s="28" t="n">
        <x:f>COUNTIFS($A$6:$A$179,A95,$C$6:$C$179,C95)</x:f>
        <x:v>1</x:v>
      </x:c>
    </x:row>
    <x:row r="96" ht="22" customHeight="1">
      <x:c r="A96" s="14">
        <x:v>2023</x:v>
      </x:c>
      <x:c r="B96" s="5" t="s">
        <x:v>27</x:v>
      </x:c>
      <x:c r="C96" s="6" t="s">
        <x:v>28</x:v>
      </x:c>
      <x:c r="D96" s="8">
        <x:v>41</x:v>
      </x:c>
      <x:c r="E96" s="8">
        <x:v>0</x:v>
      </x:c>
      <x:c r="F96" s="8">
        <x:v>0</x:v>
      </x:c>
      <x:c r="G96" s="8">
        <x:v>0</x:v>
      </x:c>
      <x:c r="H96" s="8" t="n">
        <x:f t="shared" si="6">SUM(D96:G96)</x:f>
        <x:v>41</x:v>
      </x:c>
      <x:c r="I96" s="8" t="n">
        <x:f t="shared" si="7">SUM(E96:G96)</x:f>
        <x:v>0</x:v>
      </x:c>
      <x:c r="J96" s="10" t="n">
        <x:f>SUMIFS('By structure'!$G$6:$G$701,'By structure'!$A$6:$A$701,A96,'By structure'!$C$6:$C$701,C96)</x:f>
        <x:v>17619642</x:v>
      </x:c>
      <x:c r="K96" s="8" t="n">
        <x:f>SUMIFS('By structure'!$H$6:$H$701,'By structure'!$A$6:$A$701,A96,'By structure'!$C$6:$C$701,C96)</x:f>
        <x:v>41</x:v>
      </x:c>
      <x:c r="L96" s="12" t="n">
        <x:f t="shared" si="8">IF(H96=0,"",(H96-K96)/H96)</x:f>
        <x:v>0</x:v>
      </x:c>
      <x:c r="M96" s="5" t="s">
        <x:v>79</x:v>
      </x:c>
      <x:c r="N96" s="5" t="s">
        <x:v>82</x:v>
      </x:c>
      <x:c r="O96" s="5" t="s">
        <x:v>83</x:v>
      </x:c>
      <x:c r="P96" s="14">
        <x:v>2673</x:v>
      </x:c>
      <x:c r="Q96" s="28" t="n">
        <x:f>COUNTIFS($A$6:$A$179,A96,$C$6:$C$179,C96)</x:f>
        <x:v>1</x:v>
      </x:c>
    </x:row>
    <x:row r="97" ht="22" customHeight="1">
      <x:c r="A97" s="15">
        <x:v>2023</x:v>
      </x:c>
      <x:c r="B97" s="1" t="s">
        <x:v>29</x:v>
      </x:c>
      <x:c r="C97" s="7" t="s">
        <x:v>30</x:v>
      </x:c>
      <x:c r="D97" s="9">
        <x:v>20</x:v>
      </x:c>
      <x:c r="E97" s="9">
        <x:v>0</x:v>
      </x:c>
      <x:c r="F97" s="9">
        <x:v>0</x:v>
      </x:c>
      <x:c r="G97" s="9">
        <x:v>0</x:v>
      </x:c>
      <x:c r="H97" s="9" t="n">
        <x:f t="shared" si="6">SUM(D97:G97)</x:f>
        <x:v>20</x:v>
      </x:c>
      <x:c r="I97" s="9" t="n">
        <x:f t="shared" si="7">SUM(E97:G97)</x:f>
        <x:v>0</x:v>
      </x:c>
      <x:c r="J97" s="11" t="n">
        <x:f>SUMIFS('By structure'!$G$6:$G$701,'By structure'!$A$6:$A$701,A97,'By structure'!$C$6:$C$701,C97)</x:f>
        <x:v>6428722</x:v>
      </x:c>
      <x:c r="K97" s="9" t="n">
        <x:f>SUMIFS('By structure'!$H$6:$H$701,'By structure'!$A$6:$A$701,A97,'By structure'!$C$6:$C$701,C97)</x:f>
        <x:v>11</x:v>
      </x:c>
      <x:c r="L97" s="13" t="n">
        <x:f t="shared" si="8">IF(H97=0,"",(H97-K97)/H97)</x:f>
        <x:v>0.45</x:v>
      </x:c>
      <x:c r="M97" s="1" t="s">
        <x:v>79</x:v>
      </x:c>
      <x:c r="N97" s="1" t="s">
        <x:v>82</x:v>
      </x:c>
      <x:c r="O97" s="1" t="s">
        <x:v>83</x:v>
      </x:c>
      <x:c r="P97" s="15">
        <x:v>2674</x:v>
      </x:c>
      <x:c r="Q97" s="28" t="n">
        <x:f>COUNTIFS($A$6:$A$179,A97,$C$6:$C$179,C97)</x:f>
        <x:v>1</x:v>
      </x:c>
    </x:row>
    <x:row r="98" ht="22" customHeight="1">
      <x:c r="A98" s="14">
        <x:v>2023</x:v>
      </x:c>
      <x:c r="B98" s="5" t="s">
        <x:v>31</x:v>
      </x:c>
      <x:c r="C98" s="6" t="s">
        <x:v>32</x:v>
      </x:c>
      <x:c r="D98" s="8">
        <x:v>684</x:v>
      </x:c>
      <x:c r="E98" s="8">
        <x:v>0</x:v>
      </x:c>
      <x:c r="F98" s="8">
        <x:v>35</x:v>
      </x:c>
      <x:c r="G98" s="8">
        <x:v>828</x:v>
      </x:c>
      <x:c r="H98" s="8" t="n">
        <x:f t="shared" si="6">SUM(D98:G98)</x:f>
        <x:v>1547</x:v>
      </x:c>
      <x:c r="I98" s="8" t="n">
        <x:f t="shared" si="7">SUM(E98:G98)</x:f>
        <x:v>863</x:v>
      </x:c>
      <x:c r="J98" s="10" t="n">
        <x:f>SUMIFS('By structure'!$G$6:$G$701,'By structure'!$A$6:$A$701,A98,'By structure'!$C$6:$C$701,C98)</x:f>
        <x:v>374465911</x:v>
      </x:c>
      <x:c r="K98" s="8" t="n">
        <x:f>SUMIFS('By structure'!$H$6:$H$701,'By structure'!$A$6:$A$701,A98,'By structure'!$C$6:$C$701,C98)</x:f>
        <x:v>1546</x:v>
      </x:c>
      <x:c r="L98" s="12" t="n">
        <x:f t="shared" si="8">IF(H98=0,"",(H98-K98)/H98)</x:f>
        <x:v>0.0006464124111182935</x:v>
      </x:c>
      <x:c r="M98" s="5" t="s">
        <x:v>79</x:v>
      </x:c>
      <x:c r="N98" s="5" t="s">
        <x:v>82</x:v>
      </x:c>
      <x:c r="O98" s="5" t="s">
        <x:v>83</x:v>
      </x:c>
      <x:c r="P98" s="14">
        <x:v>2675</x:v>
      </x:c>
      <x:c r="Q98" s="28" t="n">
        <x:f>COUNTIFS($A$6:$A$179,A98,$C$6:$C$179,C98)</x:f>
        <x:v>1</x:v>
      </x:c>
    </x:row>
    <x:row r="99" ht="22" customHeight="1">
      <x:c r="A99" s="15">
        <x:v>2023</x:v>
      </x:c>
      <x:c r="B99" s="1" t="s">
        <x:v>33</x:v>
      </x:c>
      <x:c r="C99" s="7" t="s">
        <x:v>34</x:v>
      </x:c>
      <x:c r="D99" s="9">
        <x:v>107</x:v>
      </x:c>
      <x:c r="E99" s="9">
        <x:v>0</x:v>
      </x:c>
      <x:c r="F99" s="9">
        <x:v>6</x:v>
      </x:c>
      <x:c r="G99" s="9">
        <x:v>0</x:v>
      </x:c>
      <x:c r="H99" s="9" t="n">
        <x:f t="shared" si="6">SUM(D99:G99)</x:f>
        <x:v>113</x:v>
      </x:c>
      <x:c r="I99" s="9" t="n">
        <x:f t="shared" si="7">SUM(E99:G99)</x:f>
        <x:v>6</x:v>
      </x:c>
      <x:c r="J99" s="11" t="n">
        <x:f>SUMIFS('By structure'!$G$6:$G$701,'By structure'!$A$6:$A$701,A99,'By structure'!$C$6:$C$701,C99)</x:f>
        <x:v>33913573</x:v>
      </x:c>
      <x:c r="K99" s="9" t="n">
        <x:f>SUMIFS('By structure'!$H$6:$H$701,'By structure'!$A$6:$A$701,A99,'By structure'!$C$6:$C$701,C99)</x:f>
        <x:v>58</x:v>
      </x:c>
      <x:c r="L99" s="13" t="n">
        <x:f t="shared" si="8">IF(H99=0,"",(H99-K99)/H99)</x:f>
        <x:v>0.48672566371681414</x:v>
      </x:c>
      <x:c r="M99" s="1" t="s">
        <x:v>79</x:v>
      </x:c>
      <x:c r="N99" s="1" t="s">
        <x:v>82</x:v>
      </x:c>
      <x:c r="O99" s="1" t="s">
        <x:v>83</x:v>
      </x:c>
      <x:c r="P99" s="15">
        <x:v>2676</x:v>
      </x:c>
      <x:c r="Q99" s="28" t="n">
        <x:f>COUNTIFS($A$6:$A$179,A99,$C$6:$C$179,C99)</x:f>
        <x:v>1</x:v>
      </x:c>
    </x:row>
    <x:row r="100" ht="22" customHeight="1">
      <x:c r="A100" s="14">
        <x:v>2023</x:v>
      </x:c>
      <x:c r="B100" s="5" t="s">
        <x:v>35</x:v>
      </x:c>
      <x:c r="C100" s="6" t="s">
        <x:v>36</x:v>
      </x:c>
      <x:c r="D100" s="8">
        <x:v>43</x:v>
      </x:c>
      <x:c r="E100" s="8">
        <x:v>0</x:v>
      </x:c>
      <x:c r="F100" s="8">
        <x:v>0</x:v>
      </x:c>
      <x:c r="G100" s="8">
        <x:v>12</x:v>
      </x:c>
      <x:c r="H100" s="8" t="n">
        <x:f t="shared" si="6">SUM(D100:G100)</x:f>
        <x:v>55</x:v>
      </x:c>
      <x:c r="I100" s="8" t="n">
        <x:f t="shared" si="7">SUM(E100:G100)</x:f>
        <x:v>12</x:v>
      </x:c>
      <x:c r="J100" s="10" t="n">
        <x:f>SUMIFS('By structure'!$G$6:$G$701,'By structure'!$A$6:$A$701,A100,'By structure'!$C$6:$C$701,C100)</x:f>
        <x:v>11154505</x:v>
      </x:c>
      <x:c r="K100" s="8" t="n">
        <x:f>SUMIFS('By structure'!$H$6:$H$701,'By structure'!$A$6:$A$701,A100,'By structure'!$C$6:$C$701,C100)</x:f>
        <x:v>55</x:v>
      </x:c>
      <x:c r="L100" s="12" t="n">
        <x:f t="shared" si="8">IF(H100=0,"",(H100-K100)/H100)</x:f>
        <x:v>0</x:v>
      </x:c>
      <x:c r="M100" s="5" t="s">
        <x:v>79</x:v>
      </x:c>
      <x:c r="N100" s="5" t="s">
        <x:v>82</x:v>
      </x:c>
      <x:c r="O100" s="5" t="s">
        <x:v>83</x:v>
      </x:c>
      <x:c r="P100" s="14">
        <x:v>2677</x:v>
      </x:c>
      <x:c r="Q100" s="28" t="n">
        <x:f>COUNTIFS($A$6:$A$179,A100,$C$6:$C$179,C100)</x:f>
        <x:v>1</x:v>
      </x:c>
    </x:row>
    <x:row r="101" ht="22" customHeight="1">
      <x:c r="A101" s="15">
        <x:v>2023</x:v>
      </x:c>
      <x:c r="B101" s="1" t="s">
        <x:v>37</x:v>
      </x:c>
      <x:c r="C101" s="7" t="s">
        <x:v>38</x:v>
      </x:c>
      <x:c r="D101" s="9">
        <x:v>45</x:v>
      </x:c>
      <x:c r="E101" s="9">
        <x:v>0</x:v>
      </x:c>
      <x:c r="F101" s="9">
        <x:v>0</x:v>
      </x:c>
      <x:c r="G101" s="9">
        <x:v>8</x:v>
      </x:c>
      <x:c r="H101" s="9" t="n">
        <x:f t="shared" si="6">SUM(D101:G101)</x:f>
        <x:v>53</x:v>
      </x:c>
      <x:c r="I101" s="9" t="n">
        <x:f t="shared" si="7">SUM(E101:G101)</x:f>
        <x:v>8</x:v>
      </x:c>
      <x:c r="J101" s="11" t="n">
        <x:f>SUMIFS('By structure'!$G$6:$G$701,'By structure'!$A$6:$A$701,A101,'By structure'!$C$6:$C$701,C101)</x:f>
        <x:v>17033472</x:v>
      </x:c>
      <x:c r="K101" s="9" t="n">
        <x:f>SUMIFS('By structure'!$H$6:$H$701,'By structure'!$A$6:$A$701,A101,'By structure'!$C$6:$C$701,C101)</x:f>
        <x:v>53</x:v>
      </x:c>
      <x:c r="L101" s="13" t="n">
        <x:f t="shared" si="8">IF(H101=0,"",(H101-K101)/H101)</x:f>
        <x:v>0</x:v>
      </x:c>
      <x:c r="M101" s="1" t="s">
        <x:v>79</x:v>
      </x:c>
      <x:c r="N101" s="1" t="s">
        <x:v>82</x:v>
      </x:c>
      <x:c r="O101" s="1" t="s">
        <x:v>83</x:v>
      </x:c>
      <x:c r="P101" s="15">
        <x:v>2678</x:v>
      </x:c>
      <x:c r="Q101" s="28" t="n">
        <x:f>COUNTIFS($A$6:$A$179,A101,$C$6:$C$179,C101)</x:f>
        <x:v>1</x:v>
      </x:c>
    </x:row>
    <x:row r="102" ht="22" customHeight="1">
      <x:c r="A102" s="14">
        <x:v>2023</x:v>
      </x:c>
      <x:c r="B102" s="5" t="s">
        <x:v>39</x:v>
      </x:c>
      <x:c r="C102" s="6" t="s">
        <x:v>40</x:v>
      </x:c>
      <x:c r="D102" s="8">
        <x:v>55</x:v>
      </x:c>
      <x:c r="E102" s="8">
        <x:v>10</x:v>
      </x:c>
      <x:c r="F102" s="8">
        <x:v>8</x:v>
      </x:c>
      <x:c r="G102" s="8">
        <x:v>9</x:v>
      </x:c>
      <x:c r="H102" s="8" t="n">
        <x:f t="shared" ref="H102:H133" si="9">SUM(D102:G102)</x:f>
        <x:v>82</x:v>
      </x:c>
      <x:c r="I102" s="8" t="n">
        <x:f t="shared" ref="I102:I133" si="10">SUM(E102:G102)</x:f>
        <x:v>27</x:v>
      </x:c>
      <x:c r="J102" s="10" t="n">
        <x:f>SUMIFS('By structure'!$G$6:$G$701,'By structure'!$A$6:$A$701,A102,'By structure'!$C$6:$C$701,C102)</x:f>
        <x:v>21863377</x:v>
      </x:c>
      <x:c r="K102" s="8" t="n">
        <x:f>SUMIFS('By structure'!$H$6:$H$701,'By structure'!$A$6:$A$701,A102,'By structure'!$C$6:$C$701,C102)</x:f>
        <x:v>82</x:v>
      </x:c>
      <x:c r="L102" s="12" t="n">
        <x:f t="shared" ref="L102:L133" si="11">IF(H102=0,"",(H102-K102)/H102)</x:f>
        <x:v>0</x:v>
      </x:c>
      <x:c r="M102" s="5" t="s">
        <x:v>79</x:v>
      </x:c>
      <x:c r="N102" s="5" t="s">
        <x:v>82</x:v>
      </x:c>
      <x:c r="O102" s="5" t="s">
        <x:v>83</x:v>
      </x:c>
      <x:c r="P102" s="14">
        <x:v>2679</x:v>
      </x:c>
      <x:c r="Q102" s="28" t="n">
        <x:f>COUNTIFS($A$6:$A$179,A102,$C$6:$C$179,C102)</x:f>
        <x:v>1</x:v>
      </x:c>
    </x:row>
    <x:row r="103" ht="22" customHeight="1">
      <x:c r="A103" s="15">
        <x:v>2023</x:v>
      </x:c>
      <x:c r="B103" s="1" t="s">
        <x:v>41</x:v>
      </x:c>
      <x:c r="C103" s="7" t="s">
        <x:v>42</x:v>
      </x:c>
      <x:c r="D103" s="9">
        <x:v>460</x:v>
      </x:c>
      <x:c r="E103" s="9">
        <x:v>0</x:v>
      </x:c>
      <x:c r="F103" s="9">
        <x:v>0</x:v>
      </x:c>
      <x:c r="G103" s="9">
        <x:v>0</x:v>
      </x:c>
      <x:c r="H103" s="9" t="n">
        <x:f t="shared" si="9">SUM(D103:G103)</x:f>
        <x:v>460</x:v>
      </x:c>
      <x:c r="I103" s="9" t="n">
        <x:f t="shared" si="10">SUM(E103:G103)</x:f>
        <x:v>0</x:v>
      </x:c>
      <x:c r="J103" s="11" t="n">
        <x:f>SUMIFS('By structure'!$G$6:$G$701,'By structure'!$A$6:$A$701,A103,'By structure'!$C$6:$C$701,C103)</x:f>
        <x:v>129784356</x:v>
      </x:c>
      <x:c r="K103" s="9" t="n">
        <x:f>SUMIFS('By structure'!$H$6:$H$701,'By structure'!$A$6:$A$701,A103,'By structure'!$C$6:$C$701,C103)</x:f>
        <x:v>460</x:v>
      </x:c>
      <x:c r="L103" s="13" t="n">
        <x:f t="shared" si="11">IF(H103=0,"",(H103-K103)/H103)</x:f>
        <x:v>0</x:v>
      </x:c>
      <x:c r="M103" s="1" t="s">
        <x:v>79</x:v>
      </x:c>
      <x:c r="N103" s="1" t="s">
        <x:v>82</x:v>
      </x:c>
      <x:c r="O103" s="1" t="s">
        <x:v>83</x:v>
      </x:c>
      <x:c r="P103" s="15">
        <x:v>2680</x:v>
      </x:c>
      <x:c r="Q103" s="28" t="n">
        <x:f>COUNTIFS($A$6:$A$179,A103,$C$6:$C$179,C103)</x:f>
        <x:v>1</x:v>
      </x:c>
    </x:row>
    <x:row r="104" ht="22" customHeight="1">
      <x:c r="A104" s="14">
        <x:v>2023</x:v>
      </x:c>
      <x:c r="B104" s="5" t="s">
        <x:v>43</x:v>
      </x:c>
      <x:c r="C104" s="6" t="s">
        <x:v>44</x:v>
      </x:c>
      <x:c r="D104" s="8">
        <x:v>88</x:v>
      </x:c>
      <x:c r="E104" s="8">
        <x:v>0</x:v>
      </x:c>
      <x:c r="F104" s="8">
        <x:v>26</x:v>
      </x:c>
      <x:c r="G104" s="8">
        <x:v>31</x:v>
      </x:c>
      <x:c r="H104" s="8" t="n">
        <x:f t="shared" si="9">SUM(D104:G104)</x:f>
        <x:v>145</x:v>
      </x:c>
      <x:c r="I104" s="8" t="n">
        <x:f t="shared" si="10">SUM(E104:G104)</x:f>
        <x:v>57</x:v>
      </x:c>
      <x:c r="J104" s="10" t="n">
        <x:f>SUMIFS('By structure'!$G$6:$G$701,'By structure'!$A$6:$A$701,A104,'By structure'!$C$6:$C$701,C104)</x:f>
        <x:v>36341652</x:v>
      </x:c>
      <x:c r="K104" s="8" t="n">
        <x:f>SUMIFS('By structure'!$H$6:$H$701,'By structure'!$A$6:$A$701,A104,'By structure'!$C$6:$C$701,C104)</x:f>
        <x:v>145</x:v>
      </x:c>
      <x:c r="L104" s="12" t="n">
        <x:f t="shared" si="11">IF(H104=0,"",(H104-K104)/H104)</x:f>
        <x:v>0</x:v>
      </x:c>
      <x:c r="M104" s="5" t="s">
        <x:v>79</x:v>
      </x:c>
      <x:c r="N104" s="5" t="s">
        <x:v>82</x:v>
      </x:c>
      <x:c r="O104" s="5" t="s">
        <x:v>83</x:v>
      </x:c>
      <x:c r="P104" s="14">
        <x:v>2681</x:v>
      </x:c>
      <x:c r="Q104" s="28" t="n">
        <x:f>COUNTIFS($A$6:$A$179,A104,$C$6:$C$179,C104)</x:f>
        <x:v>1</x:v>
      </x:c>
    </x:row>
    <x:row r="105" ht="22" customHeight="1">
      <x:c r="A105" s="15">
        <x:v>2023</x:v>
      </x:c>
      <x:c r="B105" s="1" t="s">
        <x:v>45</x:v>
      </x:c>
      <x:c r="C105" s="7" t="s">
        <x:v>46</x:v>
      </x:c>
      <x:c r="D105" s="9">
        <x:v>153</x:v>
      </x:c>
      <x:c r="E105" s="9">
        <x:v>0</x:v>
      </x:c>
      <x:c r="F105" s="9">
        <x:v>0</x:v>
      </x:c>
      <x:c r="G105" s="9">
        <x:v>0</x:v>
      </x:c>
      <x:c r="H105" s="9" t="n">
        <x:f t="shared" si="9">SUM(D105:G105)</x:f>
        <x:v>153</x:v>
      </x:c>
      <x:c r="I105" s="9" t="n">
        <x:f t="shared" si="10">SUM(E105:G105)</x:f>
        <x:v>0</x:v>
      </x:c>
      <x:c r="J105" s="11" t="n">
        <x:f>SUMIFS('By structure'!$G$6:$G$701,'By structure'!$A$6:$A$701,A105,'By structure'!$C$6:$C$701,C105)</x:f>
        <x:v>35948218</x:v>
      </x:c>
      <x:c r="K105" s="9" t="n">
        <x:f>SUMIFS('By structure'!$H$6:$H$701,'By structure'!$A$6:$A$701,A105,'By structure'!$C$6:$C$701,C105)</x:f>
        <x:v>129</x:v>
      </x:c>
      <x:c r="L105" s="13" t="n">
        <x:f t="shared" si="11">IF(H105=0,"",(H105-K105)/H105)</x:f>
        <x:v>0.1568627450980392</x:v>
      </x:c>
      <x:c r="M105" s="1" t="s">
        <x:v>79</x:v>
      </x:c>
      <x:c r="N105" s="1" t="s">
        <x:v>82</x:v>
      </x:c>
      <x:c r="O105" s="1" t="s">
        <x:v>83</x:v>
      </x:c>
      <x:c r="P105" s="15">
        <x:v>2682</x:v>
      </x:c>
      <x:c r="Q105" s="28" t="n">
        <x:f>COUNTIFS($A$6:$A$179,A105,$C$6:$C$179,C105)</x:f>
        <x:v>1</x:v>
      </x:c>
    </x:row>
    <x:row r="106" ht="22" customHeight="1">
      <x:c r="A106" s="14">
        <x:v>2023</x:v>
      </x:c>
      <x:c r="B106" s="5" t="s">
        <x:v>47</x:v>
      </x:c>
      <x:c r="C106" s="6" t="s">
        <x:v>48</x:v>
      </x:c>
      <x:c r="D106" s="8">
        <x:v>57</x:v>
      </x:c>
      <x:c r="E106" s="8">
        <x:v>12</x:v>
      </x:c>
      <x:c r="F106" s="8">
        <x:v>19</x:v>
      </x:c>
      <x:c r="G106" s="8">
        <x:v>6</x:v>
      </x:c>
      <x:c r="H106" s="8" t="n">
        <x:f t="shared" si="9">SUM(D106:G106)</x:f>
        <x:v>94</x:v>
      </x:c>
      <x:c r="I106" s="8" t="n">
        <x:f t="shared" si="10">SUM(E106:G106)</x:f>
        <x:v>37</x:v>
      </x:c>
      <x:c r="J106" s="10" t="n">
        <x:f>SUMIFS('By structure'!$G$6:$G$701,'By structure'!$A$6:$A$701,A106,'By structure'!$C$6:$C$701,C106)</x:f>
        <x:v>17332597</x:v>
      </x:c>
      <x:c r="K106" s="8" t="n">
        <x:f>SUMIFS('By structure'!$H$6:$H$701,'By structure'!$A$6:$A$701,A106,'By structure'!$C$6:$C$701,C106)</x:f>
        <x:v>93</x:v>
      </x:c>
      <x:c r="L106" s="12" t="n">
        <x:f t="shared" si="11">IF(H106=0,"",(H106-K106)/H106)</x:f>
        <x:v>0.010638297872340425</x:v>
      </x:c>
      <x:c r="M106" s="5" t="s">
        <x:v>79</x:v>
      </x:c>
      <x:c r="N106" s="5" t="s">
        <x:v>82</x:v>
      </x:c>
      <x:c r="O106" s="5" t="s">
        <x:v>83</x:v>
      </x:c>
      <x:c r="P106" s="14">
        <x:v>2683</x:v>
      </x:c>
      <x:c r="Q106" s="28" t="n">
        <x:f>COUNTIFS($A$6:$A$179,A106,$C$6:$C$179,C106)</x:f>
        <x:v>1</x:v>
      </x:c>
    </x:row>
    <x:row r="107" ht="22" customHeight="1">
      <x:c r="A107" s="15">
        <x:v>2023</x:v>
      </x:c>
      <x:c r="B107" s="1" t="s">
        <x:v>49</x:v>
      </x:c>
      <x:c r="C107" s="7" t="s">
        <x:v>50</x:v>
      </x:c>
      <x:c r="D107" s="9">
        <x:v>73</x:v>
      </x:c>
      <x:c r="E107" s="9">
        <x:v>0</x:v>
      </x:c>
      <x:c r="F107" s="9">
        <x:v>37</x:v>
      </x:c>
      <x:c r="G107" s="9">
        <x:v>33</x:v>
      </x:c>
      <x:c r="H107" s="9" t="n">
        <x:f t="shared" si="9">SUM(D107:G107)</x:f>
        <x:v>143</x:v>
      </x:c>
      <x:c r="I107" s="9" t="n">
        <x:f t="shared" si="10">SUM(E107:G107)</x:f>
        <x:v>70</x:v>
      </x:c>
      <x:c r="J107" s="11" t="n">
        <x:f>SUMIFS('By structure'!$G$6:$G$701,'By structure'!$A$6:$A$701,A107,'By structure'!$C$6:$C$701,C107)</x:f>
        <x:v>34779224</x:v>
      </x:c>
      <x:c r="K107" s="9" t="n">
        <x:f>SUMIFS('By structure'!$H$6:$H$701,'By structure'!$A$6:$A$701,A107,'By structure'!$C$6:$C$701,C107)</x:f>
        <x:v>143</x:v>
      </x:c>
      <x:c r="L107" s="13" t="n">
        <x:f t="shared" si="11">IF(H107=0,"",(H107-K107)/H107)</x:f>
        <x:v>0</x:v>
      </x:c>
      <x:c r="M107" s="1" t="s">
        <x:v>79</x:v>
      </x:c>
      <x:c r="N107" s="1" t="s">
        <x:v>82</x:v>
      </x:c>
      <x:c r="O107" s="1" t="s">
        <x:v>83</x:v>
      </x:c>
      <x:c r="P107" s="15">
        <x:v>2684</x:v>
      </x:c>
      <x:c r="Q107" s="28" t="n">
        <x:f>COUNTIFS($A$6:$A$179,A107,$C$6:$C$179,C107)</x:f>
        <x:v>1</x:v>
      </x:c>
    </x:row>
    <x:row r="108" ht="22" customHeight="1">
      <x:c r="A108" s="14">
        <x:v>2023</x:v>
      </x:c>
      <x:c r="B108" s="5" t="s">
        <x:v>51</x:v>
      </x:c>
      <x:c r="C108" s="6" t="s">
        <x:v>52</x:v>
      </x:c>
      <x:c r="D108" s="8">
        <x:v>25</x:v>
      </x:c>
      <x:c r="E108" s="8">
        <x:v>0</x:v>
      </x:c>
      <x:c r="F108" s="8">
        <x:v>0</x:v>
      </x:c>
      <x:c r="G108" s="8">
        <x:v>0</x:v>
      </x:c>
      <x:c r="H108" s="8" t="n">
        <x:f t="shared" si="9">SUM(D108:G108)</x:f>
        <x:v>25</x:v>
      </x:c>
      <x:c r="I108" s="8" t="n">
        <x:f t="shared" si="10">SUM(E108:G108)</x:f>
        <x:v>0</x:v>
      </x:c>
      <x:c r="J108" s="10" t="n">
        <x:f>SUMIFS('By structure'!$G$6:$G$701,'By structure'!$A$6:$A$701,A108,'By structure'!$C$6:$C$701,C108)</x:f>
        <x:v>3956100</x:v>
      </x:c>
      <x:c r="K108" s="8" t="n">
        <x:f>SUMIFS('By structure'!$H$6:$H$701,'By structure'!$A$6:$A$701,A108,'By structure'!$C$6:$C$701,C108)</x:f>
        <x:v>1</x:v>
      </x:c>
      <x:c r="L108" s="12" t="n">
        <x:f t="shared" si="11">IF(H108=0,"",(H108-K108)/H108)</x:f>
        <x:v>0.96</x:v>
      </x:c>
      <x:c r="M108" s="5" t="s">
        <x:v>79</x:v>
      </x:c>
      <x:c r="N108" s="5" t="s">
        <x:v>82</x:v>
      </x:c>
      <x:c r="O108" s="5" t="s">
        <x:v>83</x:v>
      </x:c>
      <x:c r="P108" s="14">
        <x:v>2685</x:v>
      </x:c>
      <x:c r="Q108" s="28" t="n">
        <x:f>COUNTIFS($A$6:$A$179,A108,$C$6:$C$179,C108)</x:f>
        <x:v>1</x:v>
      </x:c>
    </x:row>
    <x:row r="109" ht="22" customHeight="1">
      <x:c r="A109" s="15">
        <x:v>2023</x:v>
      </x:c>
      <x:c r="B109" s="1" t="s">
        <x:v>53</x:v>
      </x:c>
      <x:c r="C109" s="7" t="s">
        <x:v>54</x:v>
      </x:c>
      <x:c r="D109" s="9">
        <x:v>53</x:v>
      </x:c>
      <x:c r="E109" s="9">
        <x:v>0</x:v>
      </x:c>
      <x:c r="F109" s="9">
        <x:v>0</x:v>
      </x:c>
      <x:c r="G109" s="9">
        <x:v>0</x:v>
      </x:c>
      <x:c r="H109" s="9" t="n">
        <x:f t="shared" si="9">SUM(D109:G109)</x:f>
        <x:v>53</x:v>
      </x:c>
      <x:c r="I109" s="9" t="n">
        <x:f t="shared" si="10">SUM(E109:G109)</x:f>
        <x:v>0</x:v>
      </x:c>
      <x:c r="J109" s="11" t="n">
        <x:f>SUMIFS('By structure'!$G$6:$G$701,'By structure'!$A$6:$A$701,A109,'By structure'!$C$6:$C$701,C109)</x:f>
        <x:v>22822120</x:v>
      </x:c>
      <x:c r="K109" s="9" t="n">
        <x:f>SUMIFS('By structure'!$H$6:$H$701,'By structure'!$A$6:$A$701,A109,'By structure'!$C$6:$C$701,C109)</x:f>
        <x:v>15</x:v>
      </x:c>
      <x:c r="L109" s="13" t="n">
        <x:f t="shared" si="11">IF(H109=0,"",(H109-K109)/H109)</x:f>
        <x:v>0.7169811320754716</x:v>
      </x:c>
      <x:c r="M109" s="1" t="s">
        <x:v>79</x:v>
      </x:c>
      <x:c r="N109" s="1" t="s">
        <x:v>82</x:v>
      </x:c>
      <x:c r="O109" s="1" t="s">
        <x:v>83</x:v>
      </x:c>
      <x:c r="P109" s="15">
        <x:v>2686</x:v>
      </x:c>
      <x:c r="Q109" s="28" t="n">
        <x:f>COUNTIFS($A$6:$A$179,A109,$C$6:$C$179,C109)</x:f>
        <x:v>1</x:v>
      </x:c>
    </x:row>
    <x:row r="110" ht="22" customHeight="1">
      <x:c r="A110" s="14">
        <x:v>2023</x:v>
      </x:c>
      <x:c r="B110" s="5" t="s">
        <x:v>55</x:v>
      </x:c>
      <x:c r="C110" s="6" t="s">
        <x:v>56</x:v>
      </x:c>
      <x:c r="D110" s="8">
        <x:v>2572</x:v>
      </x:c>
      <x:c r="E110" s="8">
        <x:v>70</x:v>
      </x:c>
      <x:c r="F110" s="8">
        <x:v>236</x:v>
      </x:c>
      <x:c r="G110" s="8">
        <x:v>5437</x:v>
      </x:c>
      <x:c r="H110" s="8" t="n">
        <x:f t="shared" si="9">SUM(D110:G110)</x:f>
        <x:v>8315</x:v>
      </x:c>
      <x:c r="I110" s="8" t="n">
        <x:f t="shared" si="10">SUM(E110:G110)</x:f>
        <x:v>5743</x:v>
      </x:c>
      <x:c r="J110" s="10" t="n">
        <x:f>SUMIFS('By structure'!$G$6:$G$701,'By structure'!$A$6:$A$701,A110,'By structure'!$C$6:$C$701,C110)</x:f>
        <x:v>1969574680</x:v>
      </x:c>
      <x:c r="K110" s="8" t="n">
        <x:f>SUMIFS('By structure'!$H$6:$H$701,'By structure'!$A$6:$A$701,A110,'By structure'!$C$6:$C$701,C110)</x:f>
        <x:v>5358</x:v>
      </x:c>
      <x:c r="L110" s="12" t="n">
        <x:f t="shared" si="11">IF(H110=0,"",(H110-K110)/H110)</x:f>
        <x:v>0.355622369212267</x:v>
      </x:c>
      <x:c r="M110" s="5" t="s">
        <x:v>79</x:v>
      </x:c>
      <x:c r="N110" s="5" t="s">
        <x:v>82</x:v>
      </x:c>
      <x:c r="O110" s="5" t="s">
        <x:v>83</x:v>
      </x:c>
      <x:c r="P110" s="14">
        <x:v>2687</x:v>
      </x:c>
      <x:c r="Q110" s="28" t="n">
        <x:f>COUNTIFS($A$6:$A$179,A110,$C$6:$C$179,C110)</x:f>
        <x:v>1</x:v>
      </x:c>
    </x:row>
    <x:row r="111" ht="22" customHeight="1">
      <x:c r="A111" s="15">
        <x:v>2023</x:v>
      </x:c>
      <x:c r="B111" s="1" t="s">
        <x:v>57</x:v>
      </x:c>
      <x:c r="C111" s="7" t="s">
        <x:v>58</x:v>
      </x:c>
      <x:c r="D111" s="9">
        <x:v>65</x:v>
      </x:c>
      <x:c r="E111" s="9">
        <x:v>0</x:v>
      </x:c>
      <x:c r="F111" s="9">
        <x:v>0</x:v>
      </x:c>
      <x:c r="G111" s="9">
        <x:v>0</x:v>
      </x:c>
      <x:c r="H111" s="9" t="n">
        <x:f t="shared" si="9">SUM(D111:G111)</x:f>
        <x:v>65</x:v>
      </x:c>
      <x:c r="I111" s="9" t="n">
        <x:f t="shared" si="10">SUM(E111:G111)</x:f>
        <x:v>0</x:v>
      </x:c>
      <x:c r="J111" s="11" t="n">
        <x:f>SUMIFS('By structure'!$G$6:$G$701,'By structure'!$A$6:$A$701,A111,'By structure'!$C$6:$C$701,C111)</x:f>
        <x:v>22079241</x:v>
      </x:c>
      <x:c r="K111" s="9" t="n">
        <x:f>SUMIFS('By structure'!$H$6:$H$701,'By structure'!$A$6:$A$701,A111,'By structure'!$C$6:$C$701,C111)</x:f>
        <x:v>25</x:v>
      </x:c>
      <x:c r="L111" s="13" t="n">
        <x:f t="shared" si="11">IF(H111=0,"",(H111-K111)/H111)</x:f>
        <x:v>0.6153846153846154</x:v>
      </x:c>
      <x:c r="M111" s="1" t="s">
        <x:v>79</x:v>
      </x:c>
      <x:c r="N111" s="1" t="s">
        <x:v>82</x:v>
      </x:c>
      <x:c r="O111" s="1" t="s">
        <x:v>83</x:v>
      </x:c>
      <x:c r="P111" s="15">
        <x:v>2688</x:v>
      </x:c>
      <x:c r="Q111" s="28" t="n">
        <x:f>COUNTIFS($A$6:$A$179,A111,$C$6:$C$179,C111)</x:f>
        <x:v>1</x:v>
      </x:c>
    </x:row>
    <x:row r="112" ht="22" customHeight="1">
      <x:c r="A112" s="14">
        <x:v>2023</x:v>
      </x:c>
      <x:c r="B112" s="5" t="s">
        <x:v>59</x:v>
      </x:c>
      <x:c r="C112" s="6" t="s">
        <x:v>60</x:v>
      </x:c>
      <x:c r="D112" s="8">
        <x:v>200</x:v>
      </x:c>
      <x:c r="E112" s="8">
        <x:v>26</x:v>
      </x:c>
      <x:c r="F112" s="8">
        <x:v>12</x:v>
      </x:c>
      <x:c r="G112" s="8">
        <x:v>0</x:v>
      </x:c>
      <x:c r="H112" s="8" t="n">
        <x:f t="shared" si="9">SUM(D112:G112)</x:f>
        <x:v>238</x:v>
      </x:c>
      <x:c r="I112" s="8" t="n">
        <x:f t="shared" si="10">SUM(E112:G112)</x:f>
        <x:v>38</x:v>
      </x:c>
      <x:c r="J112" s="10" t="n">
        <x:f>SUMIFS('By structure'!$G$6:$G$701,'By structure'!$A$6:$A$701,A112,'By structure'!$C$6:$C$701,C112)</x:f>
        <x:v>36225306</x:v>
      </x:c>
      <x:c r="K112" s="8" t="n">
        <x:f>SUMIFS('By structure'!$H$6:$H$701,'By structure'!$A$6:$A$701,A112,'By structure'!$C$6:$C$701,C112)</x:f>
        <x:v>238</x:v>
      </x:c>
      <x:c r="L112" s="12" t="n">
        <x:f t="shared" si="11">IF(H112=0,"",(H112-K112)/H112)</x:f>
        <x:v>0</x:v>
      </x:c>
      <x:c r="M112" s="5" t="s">
        <x:v>79</x:v>
      </x:c>
      <x:c r="N112" s="5" t="s">
        <x:v>82</x:v>
      </x:c>
      <x:c r="O112" s="5" t="s">
        <x:v>83</x:v>
      </x:c>
      <x:c r="P112" s="14">
        <x:v>2689</x:v>
      </x:c>
      <x:c r="Q112" s="28" t="n">
        <x:f>COUNTIFS($A$6:$A$179,A112,$C$6:$C$179,C112)</x:f>
        <x:v>1</x:v>
      </x:c>
    </x:row>
    <x:row r="113" ht="22" customHeight="1">
      <x:c r="A113" s="15">
        <x:v>2023</x:v>
      </x:c>
      <x:c r="B113" s="1" t="s">
        <x:v>61</x:v>
      </x:c>
      <x:c r="C113" s="7" t="s">
        <x:v>62</x:v>
      </x:c>
      <x:c r="D113" s="9">
        <x:v>82</x:v>
      </x:c>
      <x:c r="E113" s="9">
        <x:v>10</x:v>
      </x:c>
      <x:c r="F113" s="9">
        <x:v>4</x:v>
      </x:c>
      <x:c r="G113" s="9">
        <x:v>44</x:v>
      </x:c>
      <x:c r="H113" s="9" t="n">
        <x:f t="shared" si="9">SUM(D113:G113)</x:f>
        <x:v>140</x:v>
      </x:c>
      <x:c r="I113" s="9" t="n">
        <x:f t="shared" si="10">SUM(E113:G113)</x:f>
        <x:v>58</x:v>
      </x:c>
      <x:c r="J113" s="11" t="n">
        <x:f>SUMIFS('By structure'!$G$6:$G$701,'By structure'!$A$6:$A$701,A113,'By structure'!$C$6:$C$701,C113)</x:f>
        <x:v>32795469</x:v>
      </x:c>
      <x:c r="K113" s="9" t="n">
        <x:f>SUMIFS('By structure'!$H$6:$H$701,'By structure'!$A$6:$A$701,A113,'By structure'!$C$6:$C$701,C113)</x:f>
        <x:v>140</x:v>
      </x:c>
      <x:c r="L113" s="13" t="n">
        <x:f t="shared" si="11">IF(H113=0,"",(H113-K113)/H113)</x:f>
        <x:v>0</x:v>
      </x:c>
      <x:c r="M113" s="1" t="s">
        <x:v>79</x:v>
      </x:c>
      <x:c r="N113" s="1" t="s">
        <x:v>82</x:v>
      </x:c>
      <x:c r="O113" s="1" t="s">
        <x:v>83</x:v>
      </x:c>
      <x:c r="P113" s="15">
        <x:v>2690</x:v>
      </x:c>
      <x:c r="Q113" s="28" t="n">
        <x:f>COUNTIFS($A$6:$A$179,A113,$C$6:$C$179,C113)</x:f>
        <x:v>1</x:v>
      </x:c>
    </x:row>
    <x:row r="114" ht="22" customHeight="1">
      <x:c r="A114" s="14">
        <x:v>2023</x:v>
      </x:c>
      <x:c r="B114" s="5" t="s">
        <x:v>63</x:v>
      </x:c>
      <x:c r="C114" s="6" t="s">
        <x:v>64</x:v>
      </x:c>
      <x:c r="D114" s="8">
        <x:v>270</x:v>
      </x:c>
      <x:c r="E114" s="8">
        <x:v>2</x:v>
      </x:c>
      <x:c r="F114" s="8">
        <x:v>4</x:v>
      </x:c>
      <x:c r="G114" s="8">
        <x:v>57</x:v>
      </x:c>
      <x:c r="H114" s="8" t="n">
        <x:f t="shared" si="9">SUM(D114:G114)</x:f>
        <x:v>333</x:v>
      </x:c>
      <x:c r="I114" s="8" t="n">
        <x:f t="shared" si="10">SUM(E114:G114)</x:f>
        <x:v>63</x:v>
      </x:c>
      <x:c r="J114" s="10" t="n">
        <x:f>SUMIFS('By structure'!$G$6:$G$701,'By structure'!$A$6:$A$701,A114,'By structure'!$C$6:$C$701,C114)</x:f>
        <x:v>308502455</x:v>
      </x:c>
      <x:c r="K114" s="8" t="n">
        <x:f>SUMIFS('By structure'!$H$6:$H$701,'By structure'!$A$6:$A$701,A114,'By structure'!$C$6:$C$701,C114)</x:f>
        <x:v>333</x:v>
      </x:c>
      <x:c r="L114" s="12" t="n">
        <x:f t="shared" si="11">IF(H114=0,"",(H114-K114)/H114)</x:f>
        <x:v>0</x:v>
      </x:c>
      <x:c r="M114" s="5" t="s">
        <x:v>79</x:v>
      </x:c>
      <x:c r="N114" s="5" t="s">
        <x:v>82</x:v>
      </x:c>
      <x:c r="O114" s="5" t="s">
        <x:v>83</x:v>
      </x:c>
      <x:c r="P114" s="14">
        <x:v>2691</x:v>
      </x:c>
      <x:c r="Q114" s="28" t="n">
        <x:f>COUNTIFS($A$6:$A$179,A114,$C$6:$C$179,C114)</x:f>
        <x:v>1</x:v>
      </x:c>
    </x:row>
    <x:row r="115" ht="22" customHeight="1">
      <x:c r="A115" s="15">
        <x:v>2023</x:v>
      </x:c>
      <x:c r="B115" s="1" t="s">
        <x:v>65</x:v>
      </x:c>
      <x:c r="C115" s="7" t="s">
        <x:v>66</x:v>
      </x:c>
      <x:c r="D115" s="9">
        <x:v>591</x:v>
      </x:c>
      <x:c r="E115" s="9">
        <x:v>26</x:v>
      </x:c>
      <x:c r="F115" s="9">
        <x:v>58</x:v>
      </x:c>
      <x:c r="G115" s="9">
        <x:v>245</x:v>
      </x:c>
      <x:c r="H115" s="9" t="n">
        <x:f t="shared" si="9">SUM(D115:G115)</x:f>
        <x:v>920</x:v>
      </x:c>
      <x:c r="I115" s="9" t="n">
        <x:f t="shared" si="10">SUM(E115:G115)</x:f>
        <x:v>329</x:v>
      </x:c>
      <x:c r="J115" s="11" t="n">
        <x:f>SUMIFS('By structure'!$G$6:$G$701,'By structure'!$A$6:$A$701,A115,'By structure'!$C$6:$C$701,C115)</x:f>
        <x:v>226051002</x:v>
      </x:c>
      <x:c r="K115" s="9" t="n">
        <x:f>SUMIFS('By structure'!$H$6:$H$701,'By structure'!$A$6:$A$701,A115,'By structure'!$C$6:$C$701,C115)</x:f>
        <x:v>920</x:v>
      </x:c>
      <x:c r="L115" s="13" t="n">
        <x:f t="shared" si="11">IF(H115=0,"",(H115-K115)/H115)</x:f>
        <x:v>0</x:v>
      </x:c>
      <x:c r="M115" s="1" t="s">
        <x:v>79</x:v>
      </x:c>
      <x:c r="N115" s="1" t="s">
        <x:v>82</x:v>
      </x:c>
      <x:c r="O115" s="1" t="s">
        <x:v>83</x:v>
      </x:c>
      <x:c r="P115" s="15">
        <x:v>2692</x:v>
      </x:c>
      <x:c r="Q115" s="28" t="n">
        <x:f>COUNTIFS($A$6:$A$179,A115,$C$6:$C$179,C115)</x:f>
        <x:v>1</x:v>
      </x:c>
    </x:row>
    <x:row r="116" ht="22" customHeight="1">
      <x:c r="A116" s="14">
        <x:v>2023</x:v>
      </x:c>
      <x:c r="B116" s="5" t="s">
        <x:v>67</x:v>
      </x:c>
      <x:c r="C116" s="6" t="s">
        <x:v>68</x:v>
      </x:c>
      <x:c r="D116" s="8">
        <x:v>70</x:v>
      </x:c>
      <x:c r="E116" s="8">
        <x:v>8</x:v>
      </x:c>
      <x:c r="F116" s="8">
        <x:v>8</x:v>
      </x:c>
      <x:c r="G116" s="8">
        <x:v>0</x:v>
      </x:c>
      <x:c r="H116" s="8" t="n">
        <x:f t="shared" si="9">SUM(D116:G116)</x:f>
        <x:v>86</x:v>
      </x:c>
      <x:c r="I116" s="8" t="n">
        <x:f t="shared" si="10">SUM(E116:G116)</x:f>
        <x:v>16</x:v>
      </x:c>
      <x:c r="J116" s="10" t="n">
        <x:f>SUMIFS('By structure'!$G$6:$G$701,'By structure'!$A$6:$A$701,A116,'By structure'!$C$6:$C$701,C116)</x:f>
        <x:v>30476226</x:v>
      </x:c>
      <x:c r="K116" s="8" t="n">
        <x:f>SUMIFS('By structure'!$H$6:$H$701,'By structure'!$A$6:$A$701,A116,'By structure'!$C$6:$C$701,C116)</x:f>
        <x:v>86</x:v>
      </x:c>
      <x:c r="L116" s="12" t="n">
        <x:f t="shared" si="11">IF(H116=0,"",(H116-K116)/H116)</x:f>
        <x:v>0</x:v>
      </x:c>
      <x:c r="M116" s="5" t="s">
        <x:v>79</x:v>
      </x:c>
      <x:c r="N116" s="5" t="s">
        <x:v>82</x:v>
      </x:c>
      <x:c r="O116" s="5" t="s">
        <x:v>83</x:v>
      </x:c>
      <x:c r="P116" s="14">
        <x:v>2693</x:v>
      </x:c>
      <x:c r="Q116" s="28" t="n">
        <x:f>COUNTIFS($A$6:$A$179,A116,$C$6:$C$179,C116)</x:f>
        <x:v>1</x:v>
      </x:c>
    </x:row>
    <x:row r="117" ht="22" customHeight="1">
      <x:c r="A117" s="15">
        <x:v>2023</x:v>
      </x:c>
      <x:c r="B117" s="1" t="s">
        <x:v>69</x:v>
      </x:c>
      <x:c r="C117" s="7" t="s">
        <x:v>70</x:v>
      </x:c>
      <x:c r="D117" s="9">
        <x:v>4575</x:v>
      </x:c>
      <x:c r="E117" s="9">
        <x:v>38</x:v>
      </x:c>
      <x:c r="F117" s="9">
        <x:v>108</x:v>
      </x:c>
      <x:c r="G117" s="9">
        <x:v>1315</x:v>
      </x:c>
      <x:c r="H117" s="9" t="n">
        <x:f t="shared" si="9">SUM(D117:G117)</x:f>
        <x:v>6036</x:v>
      </x:c>
      <x:c r="I117" s="9" t="n">
        <x:f t="shared" si="10">SUM(E117:G117)</x:f>
        <x:v>1461</x:v>
      </x:c>
      <x:c r="J117" s="11" t="n">
        <x:f>SUMIFS('By structure'!$G$6:$G$701,'By structure'!$A$6:$A$701,A117,'By structure'!$C$6:$C$701,C117)</x:f>
        <x:v>1771557277</x:v>
      </x:c>
      <x:c r="K117" s="9" t="n">
        <x:f>SUMIFS('By structure'!$H$6:$H$701,'By structure'!$A$6:$A$701,A117,'By structure'!$C$6:$C$701,C117)</x:f>
        <x:v>5988</x:v>
      </x:c>
      <x:c r="L117" s="13" t="n">
        <x:f t="shared" si="11">IF(H117=0,"",(H117-K117)/H117)</x:f>
        <x:v>0.007952286282306162</x:v>
      </x:c>
      <x:c r="M117" s="1" t="s">
        <x:v>79</x:v>
      </x:c>
      <x:c r="N117" s="1" t="s">
        <x:v>82</x:v>
      </x:c>
      <x:c r="O117" s="1" t="s">
        <x:v>83</x:v>
      </x:c>
      <x:c r="P117" s="15">
        <x:v>2694</x:v>
      </x:c>
      <x:c r="Q117" s="28" t="n">
        <x:f>COUNTIFS($A$6:$A$179,A117,$C$6:$C$179,C117)</x:f>
        <x:v>1</x:v>
      </x:c>
    </x:row>
    <x:row r="118" ht="22" customHeight="1">
      <x:c r="A118" s="14">
        <x:v>2023</x:v>
      </x:c>
      <x:c r="B118" s="5" t="s">
        <x:v>71</x:v>
      </x:c>
      <x:c r="C118" s="6" t="s">
        <x:v>72</x:v>
      </x:c>
      <x:c r="D118" s="8">
        <x:v>669</x:v>
      </x:c>
      <x:c r="E118" s="8">
        <x:v>6</x:v>
      </x:c>
      <x:c r="F118" s="8">
        <x:v>25</x:v>
      </x:c>
      <x:c r="G118" s="8">
        <x:v>0</x:v>
      </x:c>
      <x:c r="H118" s="8" t="n">
        <x:f t="shared" si="9">SUM(D118:G118)</x:f>
        <x:v>700</x:v>
      </x:c>
      <x:c r="I118" s="8" t="n">
        <x:f t="shared" si="10">SUM(E118:G118)</x:f>
        <x:v>31</x:v>
      </x:c>
      <x:c r="J118" s="10" t="n">
        <x:f>SUMIFS('By structure'!$G$6:$G$701,'By structure'!$A$6:$A$701,A118,'By structure'!$C$6:$C$701,C118)</x:f>
        <x:v>525638125</x:v>
      </x:c>
      <x:c r="K118" s="8" t="n">
        <x:f>SUMIFS('By structure'!$H$6:$H$701,'By structure'!$A$6:$A$701,A118,'By structure'!$C$6:$C$701,C118)</x:f>
        <x:v>700</x:v>
      </x:c>
      <x:c r="L118" s="12" t="n">
        <x:f t="shared" si="11">IF(H118=0,"",(H118-K118)/H118)</x:f>
        <x:v>0</x:v>
      </x:c>
      <x:c r="M118" s="5" t="s">
        <x:v>79</x:v>
      </x:c>
      <x:c r="N118" s="5" t="s">
        <x:v>82</x:v>
      </x:c>
      <x:c r="O118" s="5" t="s">
        <x:v>83</x:v>
      </x:c>
      <x:c r="P118" s="14">
        <x:v>2695</x:v>
      </x:c>
      <x:c r="Q118" s="28" t="n">
        <x:f>COUNTIFS($A$6:$A$179,A118,$C$6:$C$179,C118)</x:f>
        <x:v>1</x:v>
      </x:c>
    </x:row>
    <x:row r="119" ht="22" customHeight="1">
      <x:c r="A119" s="15">
        <x:v>2023</x:v>
      </x:c>
      <x:c r="B119" s="1" t="s">
        <x:v>73</x:v>
      </x:c>
      <x:c r="C119" s="7" t="s">
        <x:v>74</x:v>
      </x:c>
      <x:c r="D119" s="9">
        <x:v>2134</x:v>
      </x:c>
      <x:c r="E119" s="9">
        <x:v>10</x:v>
      </x:c>
      <x:c r="F119" s="9">
        <x:v>38</x:v>
      </x:c>
      <x:c r="G119" s="9">
        <x:v>638</x:v>
      </x:c>
      <x:c r="H119" s="9" t="n">
        <x:f t="shared" si="9">SUM(D119:G119)</x:f>
        <x:v>2820</x:v>
      </x:c>
      <x:c r="I119" s="9" t="n">
        <x:f t="shared" si="10">SUM(E119:G119)</x:f>
        <x:v>686</x:v>
      </x:c>
      <x:c r="J119" s="11" t="n">
        <x:f>SUMIFS('By structure'!$G$6:$G$701,'By structure'!$A$6:$A$701,A119,'By structure'!$C$6:$C$701,C119)</x:f>
        <x:v>542244248</x:v>
      </x:c>
      <x:c r="K119" s="9" t="n">
        <x:f>SUMIFS('By structure'!$H$6:$H$701,'By structure'!$A$6:$A$701,A119,'By structure'!$C$6:$C$701,C119)</x:f>
        <x:v>2791</x:v>
      </x:c>
      <x:c r="L119" s="13" t="n">
        <x:f t="shared" si="11">IF(H119=0,"",(H119-K119)/H119)</x:f>
        <x:v>0.01028368794326241</x:v>
      </x:c>
      <x:c r="M119" s="1" t="s">
        <x:v>79</x:v>
      </x:c>
      <x:c r="N119" s="1" t="s">
        <x:v>82</x:v>
      </x:c>
      <x:c r="O119" s="1" t="s">
        <x:v>83</x:v>
      </x:c>
      <x:c r="P119" s="15">
        <x:v>2696</x:v>
      </x:c>
      <x:c r="Q119" s="28" t="n">
        <x:f>COUNTIFS($A$6:$A$179,A119,$C$6:$C$179,C119)</x:f>
        <x:v>1</x:v>
      </x:c>
    </x:row>
    <x:row r="120" ht="22" customHeight="1">
      <x:c r="A120" s="14">
        <x:v>2023</x:v>
      </x:c>
      <x:c r="B120" s="5" t="s">
        <x:v>75</x:v>
      </x:c>
      <x:c r="C120" s="6" t="s">
        <x:v>76</x:v>
      </x:c>
      <x:c r="D120" s="8">
        <x:v>20</x:v>
      </x:c>
      <x:c r="E120" s="8">
        <x:v>0</x:v>
      </x:c>
      <x:c r="F120" s="8">
        <x:v>0</x:v>
      </x:c>
      <x:c r="G120" s="8">
        <x:v>0</x:v>
      </x:c>
      <x:c r="H120" s="8" t="n">
        <x:f t="shared" si="9">SUM(D120:G120)</x:f>
        <x:v>20</x:v>
      </x:c>
      <x:c r="I120" s="8" t="n">
        <x:f t="shared" si="10">SUM(E120:G120)</x:f>
        <x:v>0</x:v>
      </x:c>
      <x:c r="J120" s="10" t="n">
        <x:f>SUMIFS('By structure'!$G$6:$G$701,'By structure'!$A$6:$A$701,A120,'By structure'!$C$6:$C$701,C120)</x:f>
        <x:v>6920969</x:v>
      </x:c>
      <x:c r="K120" s="8" t="n">
        <x:f>SUMIFS('By structure'!$H$6:$H$701,'By structure'!$A$6:$A$701,A120,'By structure'!$C$6:$C$701,C120)</x:f>
        <x:v>20</x:v>
      </x:c>
      <x:c r="L120" s="12" t="n">
        <x:f t="shared" si="11">IF(H120=0,"",(H120-K120)/H120)</x:f>
        <x:v>0</x:v>
      </x:c>
      <x:c r="M120" s="5" t="s">
        <x:v>79</x:v>
      </x:c>
      <x:c r="N120" s="5" t="s">
        <x:v>82</x:v>
      </x:c>
      <x:c r="O120" s="5" t="s">
        <x:v>83</x:v>
      </x:c>
      <x:c r="P120" s="14">
        <x:v>2697</x:v>
      </x:c>
      <x:c r="Q120" s="28" t="n">
        <x:f>COUNTIFS($A$6:$A$179,A120,$C$6:$C$179,C120)</x:f>
        <x:v>1</x:v>
      </x:c>
    </x:row>
    <x:row r="121" ht="22" customHeight="1">
      <x:c r="A121" s="15">
        <x:v>2023</x:v>
      </x:c>
      <x:c r="B121" s="1" t="s">
        <x:v>77</x:v>
      </x:c>
      <x:c r="C121" s="7" t="s">
        <x:v>78</x:v>
      </x:c>
      <x:c r="D121" s="9">
        <x:v>876</x:v>
      </x:c>
      <x:c r="E121" s="9">
        <x:v>2</x:v>
      </x:c>
      <x:c r="F121" s="9">
        <x:v>80</x:v>
      </x:c>
      <x:c r="G121" s="9">
        <x:v>482</x:v>
      </x:c>
      <x:c r="H121" s="9" t="n">
        <x:f t="shared" si="9">SUM(D121:G121)</x:f>
        <x:v>1440</x:v>
      </x:c>
      <x:c r="I121" s="9" t="n">
        <x:f t="shared" si="10">SUM(E121:G121)</x:f>
        <x:v>564</x:v>
      </x:c>
      <x:c r="J121" s="11" t="n">
        <x:f>SUMIFS('By structure'!$G$6:$G$701,'By structure'!$A$6:$A$701,A121,'By structure'!$C$6:$C$701,C121)</x:f>
        <x:v>361975364</x:v>
      </x:c>
      <x:c r="K121" s="9" t="n">
        <x:f>SUMIFS('By structure'!$H$6:$H$701,'By structure'!$A$6:$A$701,A121,'By structure'!$C$6:$C$701,C121)</x:f>
        <x:v>513</x:v>
      </x:c>
      <x:c r="L121" s="13" t="n">
        <x:f t="shared" si="11">IF(H121=0,"",(H121-K121)/H121)</x:f>
        <x:v>0.64375</x:v>
      </x:c>
      <x:c r="M121" s="1" t="s">
        <x:v>79</x:v>
      </x:c>
      <x:c r="N121" s="1" t="s">
        <x:v>82</x:v>
      </x:c>
      <x:c r="O121" s="1" t="s">
        <x:v>83</x:v>
      </x:c>
      <x:c r="P121" s="15">
        <x:v>2698</x:v>
      </x:c>
      <x:c r="Q121" s="28" t="n">
        <x:f>COUNTIFS($A$6:$A$179,A121,$C$6:$C$179,C121)</x:f>
        <x:v>1</x:v>
      </x:c>
    </x:row>
    <x:row r="122" ht="22" customHeight="1">
      <x:c r="A122" s="14">
        <x:v>2024</x:v>
      </x:c>
      <x:c r="B122" s="5" t="s">
        <x:v>18</x:v>
      </x:c>
      <x:c r="C122" s="6" t="s">
        <x:v>19</x:v>
      </x:c>
      <x:c r="D122" s="8">
        <x:v>39</x:v>
      </x:c>
      <x:c r="E122" s="8">
        <x:v>0</x:v>
      </x:c>
      <x:c r="F122" s="8">
        <x:v>0</x:v>
      </x:c>
      <x:c r="G122" s="8">
        <x:v>0</x:v>
      </x:c>
      <x:c r="H122" s="8" t="n">
        <x:f t="shared" si="9">SUM(D122:G122)</x:f>
        <x:v>39</x:v>
      </x:c>
      <x:c r="I122" s="8" t="n">
        <x:f t="shared" si="10">SUM(E122:G122)</x:f>
        <x:v>0</x:v>
      </x:c>
      <x:c r="J122" s="10" t="n">
        <x:f>SUMIFS('By structure'!$G$6:$G$701,'By structure'!$A$6:$A$701,A122,'By structure'!$C$6:$C$701,C122)</x:f>
        <x:v>14086117</x:v>
      </x:c>
      <x:c r="K122" s="8" t="n">
        <x:f>SUMIFS('By structure'!$H$6:$H$701,'By structure'!$A$6:$A$701,A122,'By structure'!$C$6:$C$701,C122)</x:f>
        <x:v>39</x:v>
      </x:c>
      <x:c r="L122" s="12" t="n">
        <x:f t="shared" si="11">IF(H122=0,"",(H122-K122)/H122)</x:f>
        <x:v>0</x:v>
      </x:c>
      <x:c r="M122" s="5" t="s">
        <x:v>79</x:v>
      </x:c>
      <x:c r="N122" s="5" t="s">
        <x:v>82</x:v>
      </x:c>
      <x:c r="O122" s="5" t="s">
        <x:v>84</x:v>
      </x:c>
      <x:c r="P122" s="14">
        <x:v>2669</x:v>
      </x:c>
      <x:c r="Q122" s="28" t="n">
        <x:f>COUNTIFS($A$6:$A$179,A122,$C$6:$C$179,C122)</x:f>
        <x:v>1</x:v>
      </x:c>
    </x:row>
    <x:row r="123" ht="22" customHeight="1">
      <x:c r="A123" s="15">
        <x:v>2024</x:v>
      </x:c>
      <x:c r="B123" s="1" t="s">
        <x:v>23</x:v>
      </x:c>
      <x:c r="C123" s="7" t="s">
        <x:v>24</x:v>
      </x:c>
      <x:c r="D123" s="9">
        <x:v>397</x:v>
      </x:c>
      <x:c r="E123" s="9">
        <x:v>0</x:v>
      </x:c>
      <x:c r="F123" s="9">
        <x:v>8</x:v>
      </x:c>
      <x:c r="G123" s="9">
        <x:v>74</x:v>
      </x:c>
      <x:c r="H123" s="9" t="n">
        <x:f t="shared" si="9">SUM(D123:G123)</x:f>
        <x:v>479</x:v>
      </x:c>
      <x:c r="I123" s="9" t="n">
        <x:f t="shared" si="10">SUM(E123:G123)</x:f>
        <x:v>82</x:v>
      </x:c>
      <x:c r="J123" s="11" t="n">
        <x:f>SUMIFS('By structure'!$G$6:$G$701,'By structure'!$A$6:$A$701,A123,'By structure'!$C$6:$C$701,C123)</x:f>
        <x:v>140592132</x:v>
      </x:c>
      <x:c r="K123" s="9" t="n">
        <x:f>SUMIFS('By structure'!$H$6:$H$701,'By structure'!$A$6:$A$701,A123,'By structure'!$C$6:$C$701,C123)</x:f>
        <x:v>429</x:v>
      </x:c>
      <x:c r="L123" s="13" t="n">
        <x:f t="shared" si="11">IF(H123=0,"",(H123-K123)/H123)</x:f>
        <x:v>0.10438413361169102</x:v>
      </x:c>
      <x:c r="M123" s="1" t="s">
        <x:v>79</x:v>
      </x:c>
      <x:c r="N123" s="1" t="s">
        <x:v>82</x:v>
      </x:c>
      <x:c r="O123" s="1" t="s">
        <x:v>84</x:v>
      </x:c>
      <x:c r="P123" s="15">
        <x:v>2670</x:v>
      </x:c>
      <x:c r="Q123" s="28" t="n">
        <x:f>COUNTIFS($A$6:$A$179,A123,$C$6:$C$179,C123)</x:f>
        <x:v>1</x:v>
      </x:c>
    </x:row>
    <x:row r="124" ht="22" customHeight="1">
      <x:c r="A124" s="14">
        <x:v>2024</x:v>
      </x:c>
      <x:c r="B124" s="5" t="s">
        <x:v>25</x:v>
      </x:c>
      <x:c r="C124" s="6" t="s">
        <x:v>26</x:v>
      </x:c>
      <x:c r="D124" s="8">
        <x:v>871</x:v>
      </x:c>
      <x:c r="E124" s="8">
        <x:v>4</x:v>
      </x:c>
      <x:c r="F124" s="8">
        <x:v>0</x:v>
      </x:c>
      <x:c r="G124" s="8">
        <x:v>146</x:v>
      </x:c>
      <x:c r="H124" s="8" t="n">
        <x:f t="shared" si="9">SUM(D124:G124)</x:f>
        <x:v>1021</x:v>
      </x:c>
      <x:c r="I124" s="8" t="n">
        <x:f t="shared" si="10">SUM(E124:G124)</x:f>
        <x:v>150</x:v>
      </x:c>
      <x:c r="J124" s="10" t="n">
        <x:f>SUMIFS('By structure'!$G$6:$G$701,'By structure'!$A$6:$A$701,A124,'By structure'!$C$6:$C$701,C124)</x:f>
        <x:v>344154492</x:v>
      </x:c>
      <x:c r="K124" s="8" t="n">
        <x:f>SUMIFS('By structure'!$H$6:$H$701,'By structure'!$A$6:$A$701,A124,'By structure'!$C$6:$C$701,C124)</x:f>
        <x:v>1021</x:v>
      </x:c>
      <x:c r="L124" s="12" t="n">
        <x:f t="shared" si="11">IF(H124=0,"",(H124-K124)/H124)</x:f>
        <x:v>0</x:v>
      </x:c>
      <x:c r="M124" s="5" t="s">
        <x:v>79</x:v>
      </x:c>
      <x:c r="N124" s="5" t="s">
        <x:v>82</x:v>
      </x:c>
      <x:c r="O124" s="5" t="s">
        <x:v>84</x:v>
      </x:c>
      <x:c r="P124" s="14">
        <x:v>2671</x:v>
      </x:c>
      <x:c r="Q124" s="28" t="n">
        <x:f>COUNTIFS($A$6:$A$179,A124,$C$6:$C$179,C124)</x:f>
        <x:v>1</x:v>
      </x:c>
    </x:row>
    <x:row r="125" ht="22" customHeight="1">
      <x:c r="A125" s="15">
        <x:v>2024</x:v>
      </x:c>
      <x:c r="B125" s="1" t="s">
        <x:v>27</x:v>
      </x:c>
      <x:c r="C125" s="7" t="s">
        <x:v>28</x:v>
      </x:c>
      <x:c r="D125" s="9">
        <x:v>28</x:v>
      </x:c>
      <x:c r="E125" s="9">
        <x:v>0</x:v>
      </x:c>
      <x:c r="F125" s="9">
        <x:v>0</x:v>
      </x:c>
      <x:c r="G125" s="9">
        <x:v>168</x:v>
      </x:c>
      <x:c r="H125" s="9" t="n">
        <x:f t="shared" si="9">SUM(D125:G125)</x:f>
        <x:v>196</x:v>
      </x:c>
      <x:c r="I125" s="9" t="n">
        <x:f t="shared" si="10">SUM(E125:G125)</x:f>
        <x:v>168</x:v>
      </x:c>
      <x:c r="J125" s="11" t="n">
        <x:f>SUMIFS('By structure'!$G$6:$G$701,'By structure'!$A$6:$A$701,A125,'By structure'!$C$6:$C$701,C125)</x:f>
        <x:v>39741904</x:v>
      </x:c>
      <x:c r="K125" s="9" t="n">
        <x:f>SUMIFS('By structure'!$H$6:$H$701,'By structure'!$A$6:$A$701,A125,'By structure'!$C$6:$C$701,C125)</x:f>
        <x:v>196</x:v>
      </x:c>
      <x:c r="L125" s="13" t="n">
        <x:f t="shared" si="11">IF(H125=0,"",(H125-K125)/H125)</x:f>
        <x:v>0</x:v>
      </x:c>
      <x:c r="M125" s="1" t="s">
        <x:v>79</x:v>
      </x:c>
      <x:c r="N125" s="1" t="s">
        <x:v>82</x:v>
      </x:c>
      <x:c r="O125" s="1" t="s">
        <x:v>84</x:v>
      </x:c>
      <x:c r="P125" s="15">
        <x:v>2672</x:v>
      </x:c>
      <x:c r="Q125" s="28" t="n">
        <x:f>COUNTIFS($A$6:$A$179,A125,$C$6:$C$179,C125)</x:f>
        <x:v>1</x:v>
      </x:c>
    </x:row>
    <x:row r="126" ht="22" customHeight="1">
      <x:c r="A126" s="14">
        <x:v>2024</x:v>
      </x:c>
      <x:c r="B126" s="5" t="s">
        <x:v>29</x:v>
      </x:c>
      <x:c r="C126" s="6" t="s">
        <x:v>30</x:v>
      </x:c>
      <x:c r="D126" s="8">
        <x:v>10</x:v>
      </x:c>
      <x:c r="E126" s="8">
        <x:v>0</x:v>
      </x:c>
      <x:c r="F126" s="8">
        <x:v>0</x:v>
      </x:c>
      <x:c r="G126" s="8">
        <x:v>0</x:v>
      </x:c>
      <x:c r="H126" s="8" t="n">
        <x:f t="shared" si="9">SUM(D126:G126)</x:f>
        <x:v>10</x:v>
      </x:c>
      <x:c r="I126" s="8" t="n">
        <x:f t="shared" si="10">SUM(E126:G126)</x:f>
        <x:v>0</x:v>
      </x:c>
      <x:c r="J126" s="10" t="n">
        <x:f>SUMIFS('By structure'!$G$6:$G$701,'By structure'!$A$6:$A$701,A126,'By structure'!$C$6:$C$701,C126)</x:f>
        <x:v>3566205</x:v>
      </x:c>
      <x:c r="K126" s="8" t="n">
        <x:f>SUMIFS('By structure'!$H$6:$H$701,'By structure'!$A$6:$A$701,A126,'By structure'!$C$6:$C$701,C126)</x:f>
        <x:v>10</x:v>
      </x:c>
      <x:c r="L126" s="12" t="n">
        <x:f t="shared" si="11">IF(H126=0,"",(H126-K126)/H126)</x:f>
        <x:v>0</x:v>
      </x:c>
      <x:c r="M126" s="5" t="s">
        <x:v>79</x:v>
      </x:c>
      <x:c r="N126" s="5" t="s">
        <x:v>82</x:v>
      </x:c>
      <x:c r="O126" s="5" t="s">
        <x:v>84</x:v>
      </x:c>
      <x:c r="P126" s="14">
        <x:v>2673</x:v>
      </x:c>
      <x:c r="Q126" s="28" t="n">
        <x:f>COUNTIFS($A$6:$A$179,A126,$C$6:$C$179,C126)</x:f>
        <x:v>1</x:v>
      </x:c>
    </x:row>
    <x:row r="127" ht="22" customHeight="1">
      <x:c r="A127" s="15">
        <x:v>2024</x:v>
      </x:c>
      <x:c r="B127" s="1" t="s">
        <x:v>31</x:v>
      </x:c>
      <x:c r="C127" s="7" t="s">
        <x:v>32</x:v>
      </x:c>
      <x:c r="D127" s="9">
        <x:v>920</x:v>
      </x:c>
      <x:c r="E127" s="9">
        <x:v>2</x:v>
      </x:c>
      <x:c r="F127" s="9">
        <x:v>38</x:v>
      </x:c>
      <x:c r="G127" s="9">
        <x:v>508</x:v>
      </x:c>
      <x:c r="H127" s="9" t="n">
        <x:f t="shared" si="9">SUM(D127:G127)</x:f>
        <x:v>1468</x:v>
      </x:c>
      <x:c r="I127" s="9" t="n">
        <x:f t="shared" si="10">SUM(E127:G127)</x:f>
        <x:v>548</x:v>
      </x:c>
      <x:c r="J127" s="11" t="n">
        <x:f>SUMIFS('By structure'!$G$6:$G$701,'By structure'!$A$6:$A$701,A127,'By structure'!$C$6:$C$701,C127)</x:f>
        <x:v>423279162</x:v>
      </x:c>
      <x:c r="K127" s="9" t="n">
        <x:f>SUMIFS('By structure'!$H$6:$H$701,'By structure'!$A$6:$A$701,A127,'By structure'!$C$6:$C$701,C127)</x:f>
        <x:v>1468</x:v>
      </x:c>
      <x:c r="L127" s="13" t="n">
        <x:f t="shared" si="11">IF(H127=0,"",(H127-K127)/H127)</x:f>
        <x:v>0</x:v>
      </x:c>
      <x:c r="M127" s="1" t="s">
        <x:v>79</x:v>
      </x:c>
      <x:c r="N127" s="1" t="s">
        <x:v>82</x:v>
      </x:c>
      <x:c r="O127" s="1" t="s">
        <x:v>84</x:v>
      </x:c>
      <x:c r="P127" s="15">
        <x:v>2674</x:v>
      </x:c>
      <x:c r="Q127" s="28" t="n">
        <x:f>COUNTIFS($A$6:$A$179,A127,$C$6:$C$179,C127)</x:f>
        <x:v>1</x:v>
      </x:c>
    </x:row>
    <x:row r="128" ht="22" customHeight="1">
      <x:c r="A128" s="14">
        <x:v>2024</x:v>
      </x:c>
      <x:c r="B128" s="5" t="s">
        <x:v>33</x:v>
      </x:c>
      <x:c r="C128" s="6" t="s">
        <x:v>34</x:v>
      </x:c>
      <x:c r="D128" s="8">
        <x:v>123</x:v>
      </x:c>
      <x:c r="E128" s="8">
        <x:v>0</x:v>
      </x:c>
      <x:c r="F128" s="8">
        <x:v>0</x:v>
      </x:c>
      <x:c r="G128" s="8">
        <x:v>0</x:v>
      </x:c>
      <x:c r="H128" s="8" t="n">
        <x:f t="shared" si="9">SUM(D128:G128)</x:f>
        <x:v>123</x:v>
      </x:c>
      <x:c r="I128" s="8" t="n">
        <x:f t="shared" si="10">SUM(E128:G128)</x:f>
        <x:v>0</x:v>
      </x:c>
      <x:c r="J128" s="10" t="n">
        <x:f>SUMIFS('By structure'!$G$6:$G$701,'By structure'!$A$6:$A$701,A128,'By structure'!$C$6:$C$701,C128)</x:f>
        <x:v>41080142</x:v>
      </x:c>
      <x:c r="K128" s="8" t="n">
        <x:f>SUMIFS('By structure'!$H$6:$H$701,'By structure'!$A$6:$A$701,A128,'By structure'!$C$6:$C$701,C128)</x:f>
        <x:v>70</x:v>
      </x:c>
      <x:c r="L128" s="12" t="n">
        <x:f t="shared" si="11">IF(H128=0,"",(H128-K128)/H128)</x:f>
        <x:v>0.43089430894308944</x:v>
      </x:c>
      <x:c r="M128" s="5" t="s">
        <x:v>79</x:v>
      </x:c>
      <x:c r="N128" s="5" t="s">
        <x:v>82</x:v>
      </x:c>
      <x:c r="O128" s="5" t="s">
        <x:v>84</x:v>
      </x:c>
      <x:c r="P128" s="14">
        <x:v>2675</x:v>
      </x:c>
      <x:c r="Q128" s="28" t="n">
        <x:f>COUNTIFS($A$6:$A$179,A128,$C$6:$C$179,C128)</x:f>
        <x:v>1</x:v>
      </x:c>
    </x:row>
    <x:row r="129" ht="22" customHeight="1">
      <x:c r="A129" s="15">
        <x:v>2024</x:v>
      </x:c>
      <x:c r="B129" s="1" t="s">
        <x:v>35</x:v>
      </x:c>
      <x:c r="C129" s="7" t="s">
        <x:v>36</x:v>
      </x:c>
      <x:c r="D129" s="9">
        <x:v>55</x:v>
      </x:c>
      <x:c r="E129" s="9">
        <x:v>0</x:v>
      </x:c>
      <x:c r="F129" s="9">
        <x:v>0</x:v>
      </x:c>
      <x:c r="G129" s="9">
        <x:v>0</x:v>
      </x:c>
      <x:c r="H129" s="9" t="n">
        <x:f t="shared" si="9">SUM(D129:G129)</x:f>
        <x:v>55</x:v>
      </x:c>
      <x:c r="I129" s="9" t="n">
        <x:f t="shared" si="10">SUM(E129:G129)</x:f>
        <x:v>0</x:v>
      </x:c>
      <x:c r="J129" s="11" t="n">
        <x:f>SUMIFS('By structure'!$G$6:$G$701,'By structure'!$A$6:$A$701,A129,'By structure'!$C$6:$C$701,C129)</x:f>
        <x:v>6092325</x:v>
      </x:c>
      <x:c r="K129" s="9" t="n">
        <x:f>SUMIFS('By structure'!$H$6:$H$701,'By structure'!$A$6:$A$701,A129,'By structure'!$C$6:$C$701,C129)</x:f>
        <x:v>55</x:v>
      </x:c>
      <x:c r="L129" s="13" t="n">
        <x:f t="shared" si="11">IF(H129=0,"",(H129-K129)/H129)</x:f>
        <x:v>0</x:v>
      </x:c>
      <x:c r="M129" s="1" t="s">
        <x:v>79</x:v>
      </x:c>
      <x:c r="N129" s="1" t="s">
        <x:v>82</x:v>
      </x:c>
      <x:c r="O129" s="1" t="s">
        <x:v>84</x:v>
      </x:c>
      <x:c r="P129" s="15">
        <x:v>2676</x:v>
      </x:c>
      <x:c r="Q129" s="28" t="n">
        <x:f>COUNTIFS($A$6:$A$179,A129,$C$6:$C$179,C129)</x:f>
        <x:v>1</x:v>
      </x:c>
    </x:row>
    <x:row r="130" ht="22" customHeight="1">
      <x:c r="A130" s="14">
        <x:v>2024</x:v>
      </x:c>
      <x:c r="B130" s="5" t="s">
        <x:v>37</x:v>
      </x:c>
      <x:c r="C130" s="6" t="s">
        <x:v>38</x:v>
      </x:c>
      <x:c r="D130" s="8">
        <x:v>57</x:v>
      </x:c>
      <x:c r="E130" s="8">
        <x:v>0</x:v>
      </x:c>
      <x:c r="F130" s="8">
        <x:v>0</x:v>
      </x:c>
      <x:c r="G130" s="8">
        <x:v>0</x:v>
      </x:c>
      <x:c r="H130" s="8" t="n">
        <x:f t="shared" si="9">SUM(D130:G130)</x:f>
        <x:v>57</x:v>
      </x:c>
      <x:c r="I130" s="8" t="n">
        <x:f t="shared" si="10">SUM(E130:G130)</x:f>
        <x:v>0</x:v>
      </x:c>
      <x:c r="J130" s="10" t="n">
        <x:f>SUMIFS('By structure'!$G$6:$G$701,'By structure'!$A$6:$A$701,A130,'By structure'!$C$6:$C$701,C130)</x:f>
        <x:v>17217025</x:v>
      </x:c>
      <x:c r="K130" s="8" t="n">
        <x:f>SUMIFS('By structure'!$H$6:$H$701,'By structure'!$A$6:$A$701,A130,'By structure'!$C$6:$C$701,C130)</x:f>
        <x:v>57</x:v>
      </x:c>
      <x:c r="L130" s="12" t="n">
        <x:f t="shared" si="11">IF(H130=0,"",(H130-K130)/H130)</x:f>
        <x:v>0</x:v>
      </x:c>
      <x:c r="M130" s="5" t="s">
        <x:v>79</x:v>
      </x:c>
      <x:c r="N130" s="5" t="s">
        <x:v>82</x:v>
      </x:c>
      <x:c r="O130" s="5" t="s">
        <x:v>84</x:v>
      </x:c>
      <x:c r="P130" s="14">
        <x:v>2677</x:v>
      </x:c>
      <x:c r="Q130" s="28" t="n">
        <x:f>COUNTIFS($A$6:$A$179,A130,$C$6:$C$179,C130)</x:f>
        <x:v>1</x:v>
      </x:c>
    </x:row>
    <x:row r="131" ht="22" customHeight="1">
      <x:c r="A131" s="15">
        <x:v>2024</x:v>
      </x:c>
      <x:c r="B131" s="1" t="s">
        <x:v>39</x:v>
      </x:c>
      <x:c r="C131" s="7" t="s">
        <x:v>40</x:v>
      </x:c>
      <x:c r="D131" s="9">
        <x:v>120</x:v>
      </x:c>
      <x:c r="E131" s="9">
        <x:v>18</x:v>
      </x:c>
      <x:c r="F131" s="9">
        <x:v>0</x:v>
      </x:c>
      <x:c r="G131" s="9">
        <x:v>100</x:v>
      </x:c>
      <x:c r="H131" s="9" t="n">
        <x:f t="shared" si="9">SUM(D131:G131)</x:f>
        <x:v>238</x:v>
      </x:c>
      <x:c r="I131" s="9" t="n">
        <x:f t="shared" si="10">SUM(E131:G131)</x:f>
        <x:v>118</x:v>
      </x:c>
      <x:c r="J131" s="11" t="n">
        <x:f>SUMIFS('By structure'!$G$6:$G$701,'By structure'!$A$6:$A$701,A131,'By structure'!$C$6:$C$701,C131)</x:f>
        <x:v>41784486</x:v>
      </x:c>
      <x:c r="K131" s="9" t="n">
        <x:f>SUMIFS('By structure'!$H$6:$H$701,'By structure'!$A$6:$A$701,A131,'By structure'!$C$6:$C$701,C131)</x:f>
        <x:v>238</x:v>
      </x:c>
      <x:c r="L131" s="13" t="n">
        <x:f t="shared" si="11">IF(H131=0,"",(H131-K131)/H131)</x:f>
        <x:v>0</x:v>
      </x:c>
      <x:c r="M131" s="1" t="s">
        <x:v>79</x:v>
      </x:c>
      <x:c r="N131" s="1" t="s">
        <x:v>82</x:v>
      </x:c>
      <x:c r="O131" s="1" t="s">
        <x:v>84</x:v>
      </x:c>
      <x:c r="P131" s="15">
        <x:v>2678</x:v>
      </x:c>
      <x:c r="Q131" s="28" t="n">
        <x:f>COUNTIFS($A$6:$A$179,A131,$C$6:$C$179,C131)</x:f>
        <x:v>1</x:v>
      </x:c>
    </x:row>
    <x:row r="132" ht="22" customHeight="1">
      <x:c r="A132" s="14">
        <x:v>2024</x:v>
      </x:c>
      <x:c r="B132" s="5" t="s">
        <x:v>41</x:v>
      </x:c>
      <x:c r="C132" s="6" t="s">
        <x:v>42</x:v>
      </x:c>
      <x:c r="D132" s="8">
        <x:v>655</x:v>
      </x:c>
      <x:c r="E132" s="8">
        <x:v>0</x:v>
      </x:c>
      <x:c r="F132" s="8">
        <x:v>0</x:v>
      </x:c>
      <x:c r="G132" s="8">
        <x:v>0</x:v>
      </x:c>
      <x:c r="H132" s="8" t="n">
        <x:f t="shared" si="9">SUM(D132:G132)</x:f>
        <x:v>655</x:v>
      </x:c>
      <x:c r="I132" s="8" t="n">
        <x:f t="shared" si="10">SUM(E132:G132)</x:f>
        <x:v>0</x:v>
      </x:c>
      <x:c r="J132" s="10" t="n">
        <x:f>SUMIFS('By structure'!$G$6:$G$701,'By structure'!$A$6:$A$701,A132,'By structure'!$C$6:$C$701,C132)</x:f>
        <x:v>202538802</x:v>
      </x:c>
      <x:c r="K132" s="8" t="n">
        <x:f>SUMIFS('By structure'!$H$6:$H$701,'By structure'!$A$6:$A$701,A132,'By structure'!$C$6:$C$701,C132)</x:f>
        <x:v>655</x:v>
      </x:c>
      <x:c r="L132" s="12" t="n">
        <x:f t="shared" si="11">IF(H132=0,"",(H132-K132)/H132)</x:f>
        <x:v>0</x:v>
      </x:c>
      <x:c r="M132" s="5" t="s">
        <x:v>79</x:v>
      </x:c>
      <x:c r="N132" s="5" t="s">
        <x:v>82</x:v>
      </x:c>
      <x:c r="O132" s="5" t="s">
        <x:v>84</x:v>
      </x:c>
      <x:c r="P132" s="14">
        <x:v>2679</x:v>
      </x:c>
      <x:c r="Q132" s="28" t="n">
        <x:f>COUNTIFS($A$6:$A$179,A132,$C$6:$C$179,C132)</x:f>
        <x:v>1</x:v>
      </x:c>
    </x:row>
    <x:row r="133" ht="22" customHeight="1">
      <x:c r="A133" s="15">
        <x:v>2024</x:v>
      </x:c>
      <x:c r="B133" s="1" t="s">
        <x:v>43</x:v>
      </x:c>
      <x:c r="C133" s="7" t="s">
        <x:v>44</x:v>
      </x:c>
      <x:c r="D133" s="9">
        <x:v>72</x:v>
      </x:c>
      <x:c r="E133" s="9">
        <x:v>6</x:v>
      </x:c>
      <x:c r="F133" s="9">
        <x:v>22</x:v>
      </x:c>
      <x:c r="G133" s="9">
        <x:v>7</x:v>
      </x:c>
      <x:c r="H133" s="9" t="n">
        <x:f t="shared" si="9">SUM(D133:G133)</x:f>
        <x:v>107</x:v>
      </x:c>
      <x:c r="I133" s="9" t="n">
        <x:f t="shared" si="10">SUM(E133:G133)</x:f>
        <x:v>35</x:v>
      </x:c>
      <x:c r="J133" s="11" t="n">
        <x:f>SUMIFS('By structure'!$G$6:$G$701,'By structure'!$A$6:$A$701,A133,'By structure'!$C$6:$C$701,C133)</x:f>
        <x:v>35437625</x:v>
      </x:c>
      <x:c r="K133" s="9" t="n">
        <x:f>SUMIFS('By structure'!$H$6:$H$701,'By structure'!$A$6:$A$701,A133,'By structure'!$C$6:$C$701,C133)</x:f>
        <x:v>107</x:v>
      </x:c>
      <x:c r="L133" s="13" t="n">
        <x:f t="shared" si="11">IF(H133=0,"",(H133-K133)/H133)</x:f>
        <x:v>0</x:v>
      </x:c>
      <x:c r="M133" s="1" t="s">
        <x:v>79</x:v>
      </x:c>
      <x:c r="N133" s="1" t="s">
        <x:v>82</x:v>
      </x:c>
      <x:c r="O133" s="1" t="s">
        <x:v>84</x:v>
      </x:c>
      <x:c r="P133" s="15">
        <x:v>2680</x:v>
      </x:c>
      <x:c r="Q133" s="28" t="n">
        <x:f>COUNTIFS($A$6:$A$179,A133,$C$6:$C$179,C133)</x:f>
        <x:v>1</x:v>
      </x:c>
    </x:row>
    <x:row r="134" ht="22" customHeight="1">
      <x:c r="A134" s="14">
        <x:v>2024</x:v>
      </x:c>
      <x:c r="B134" s="5" t="s">
        <x:v>45</x:v>
      </x:c>
      <x:c r="C134" s="6" t="s">
        <x:v>46</x:v>
      </x:c>
      <x:c r="D134" s="8">
        <x:v>196</x:v>
      </x:c>
      <x:c r="E134" s="8">
        <x:v>2</x:v>
      </x:c>
      <x:c r="F134" s="8">
        <x:v>4</x:v>
      </x:c>
      <x:c r="G134" s="8">
        <x:v>0</x:v>
      </x:c>
      <x:c r="H134" s="8" t="n">
        <x:f t="shared" ref="H134:H165" si="12">SUM(D134:G134)</x:f>
        <x:v>202</x:v>
      </x:c>
      <x:c r="I134" s="8" t="n">
        <x:f t="shared" ref="I134:I165" si="13">SUM(E134:G134)</x:f>
        <x:v>6</x:v>
      </x:c>
      <x:c r="J134" s="10" t="n">
        <x:f>SUMIFS('By structure'!$G$6:$G$701,'By structure'!$A$6:$A$701,A134,'By structure'!$C$6:$C$701,C134)</x:f>
        <x:v>71005717</x:v>
      </x:c>
      <x:c r="K134" s="8" t="n">
        <x:f>SUMIFS('By structure'!$H$6:$H$701,'By structure'!$A$6:$A$701,A134,'By structure'!$C$6:$C$701,C134)</x:f>
        <x:v>171</x:v>
      </x:c>
      <x:c r="L134" s="12" t="n">
        <x:f t="shared" ref="L134:L165" si="14">IF(H134=0,"",(H134-K134)/H134)</x:f>
        <x:v>0.15346534653465346</x:v>
      </x:c>
      <x:c r="M134" s="5" t="s">
        <x:v>79</x:v>
      </x:c>
      <x:c r="N134" s="5" t="s">
        <x:v>82</x:v>
      </x:c>
      <x:c r="O134" s="5" t="s">
        <x:v>84</x:v>
      </x:c>
      <x:c r="P134" s="14">
        <x:v>2681</x:v>
      </x:c>
      <x:c r="Q134" s="28" t="n">
        <x:f>COUNTIFS($A$6:$A$179,A134,$C$6:$C$179,C134)</x:f>
        <x:v>1</x:v>
      </x:c>
    </x:row>
    <x:row r="135" ht="22" customHeight="1">
      <x:c r="A135" s="15">
        <x:v>2024</x:v>
      </x:c>
      <x:c r="B135" s="1" t="s">
        <x:v>47</x:v>
      </x:c>
      <x:c r="C135" s="7" t="s">
        <x:v>48</x:v>
      </x:c>
      <x:c r="D135" s="9">
        <x:v>76</x:v>
      </x:c>
      <x:c r="E135" s="9">
        <x:v>2</x:v>
      </x:c>
      <x:c r="F135" s="9">
        <x:v>15</x:v>
      </x:c>
      <x:c r="G135" s="9">
        <x:v>0</x:v>
      </x:c>
      <x:c r="H135" s="9" t="n">
        <x:f t="shared" si="12">SUM(D135:G135)</x:f>
        <x:v>93</x:v>
      </x:c>
      <x:c r="I135" s="9" t="n">
        <x:f t="shared" si="13">SUM(E135:G135)</x:f>
        <x:v>17</x:v>
      </x:c>
      <x:c r="J135" s="11" t="n">
        <x:f>SUMIFS('By structure'!$G$6:$G$701,'By structure'!$A$6:$A$701,A135,'By structure'!$C$6:$C$701,C135)</x:f>
        <x:v>18437512</x:v>
      </x:c>
      <x:c r="K135" s="9" t="n">
        <x:f>SUMIFS('By structure'!$H$6:$H$701,'By structure'!$A$6:$A$701,A135,'By structure'!$C$6:$C$701,C135)</x:f>
        <x:v>91</x:v>
      </x:c>
      <x:c r="L135" s="13" t="n">
        <x:f t="shared" si="14">IF(H135=0,"",(H135-K135)/H135)</x:f>
        <x:v>0.021505376344086023</x:v>
      </x:c>
      <x:c r="M135" s="1" t="s">
        <x:v>79</x:v>
      </x:c>
      <x:c r="N135" s="1" t="s">
        <x:v>82</x:v>
      </x:c>
      <x:c r="O135" s="1" t="s">
        <x:v>84</x:v>
      </x:c>
      <x:c r="P135" s="15">
        <x:v>2682</x:v>
      </x:c>
      <x:c r="Q135" s="28" t="n">
        <x:f>COUNTIFS($A$6:$A$179,A135,$C$6:$C$179,C135)</x:f>
        <x:v>1</x:v>
      </x:c>
    </x:row>
    <x:row r="136" ht="22" customHeight="1">
      <x:c r="A136" s="14">
        <x:v>2024</x:v>
      </x:c>
      <x:c r="B136" s="5" t="s">
        <x:v>49</x:v>
      </x:c>
      <x:c r="C136" s="6" t="s">
        <x:v>50</x:v>
      </x:c>
      <x:c r="D136" s="8">
        <x:v>132</x:v>
      </x:c>
      <x:c r="E136" s="8">
        <x:v>16</x:v>
      </x:c>
      <x:c r="F136" s="8">
        <x:v>19</x:v>
      </x:c>
      <x:c r="G136" s="8">
        <x:v>29</x:v>
      </x:c>
      <x:c r="H136" s="8" t="n">
        <x:f t="shared" si="12">SUM(D136:G136)</x:f>
        <x:v>196</x:v>
      </x:c>
      <x:c r="I136" s="8" t="n">
        <x:f t="shared" si="13">SUM(E136:G136)</x:f>
        <x:v>64</x:v>
      </x:c>
      <x:c r="J136" s="10" t="n">
        <x:f>SUMIFS('By structure'!$G$6:$G$701,'By structure'!$A$6:$A$701,A136,'By structure'!$C$6:$C$701,C136)</x:f>
        <x:v>71782319</x:v>
      </x:c>
      <x:c r="K136" s="8" t="n">
        <x:f>SUMIFS('By structure'!$H$6:$H$701,'By structure'!$A$6:$A$701,A136,'By structure'!$C$6:$C$701,C136)</x:f>
        <x:v>196</x:v>
      </x:c>
      <x:c r="L136" s="12" t="n">
        <x:f t="shared" si="14">IF(H136=0,"",(H136-K136)/H136)</x:f>
        <x:v>0</x:v>
      </x:c>
      <x:c r="M136" s="5" t="s">
        <x:v>79</x:v>
      </x:c>
      <x:c r="N136" s="5" t="s">
        <x:v>82</x:v>
      </x:c>
      <x:c r="O136" s="5" t="s">
        <x:v>84</x:v>
      </x:c>
      <x:c r="P136" s="14">
        <x:v>2683</x:v>
      </x:c>
      <x:c r="Q136" s="28" t="n">
        <x:f>COUNTIFS($A$6:$A$179,A136,$C$6:$C$179,C136)</x:f>
        <x:v>1</x:v>
      </x:c>
    </x:row>
    <x:row r="137" ht="22" customHeight="1">
      <x:c r="A137" s="15">
        <x:v>2024</x:v>
      </x:c>
      <x:c r="B137" s="1" t="s">
        <x:v>51</x:v>
      </x:c>
      <x:c r="C137" s="7" t="s">
        <x:v>52</x:v>
      </x:c>
      <x:c r="D137" s="9">
        <x:v>25</x:v>
      </x:c>
      <x:c r="E137" s="9">
        <x:v>0</x:v>
      </x:c>
      <x:c r="F137" s="9">
        <x:v>0</x:v>
      </x:c>
      <x:c r="G137" s="9">
        <x:v>0</x:v>
      </x:c>
      <x:c r="H137" s="9" t="n">
        <x:f t="shared" si="12">SUM(D137:G137)</x:f>
        <x:v>25</x:v>
      </x:c>
      <x:c r="I137" s="9" t="n">
        <x:f t="shared" si="13">SUM(E137:G137)</x:f>
        <x:v>0</x:v>
      </x:c>
      <x:c r="J137" s="11" t="n">
        <x:f>SUMIFS('By structure'!$G$6:$G$701,'By structure'!$A$6:$A$701,A137,'By structure'!$C$6:$C$701,C137)</x:f>
        <x:v>3847375</x:v>
      </x:c>
      <x:c r="K137" s="9" t="n">
        <x:f>SUMIFS('By structure'!$H$6:$H$701,'By structure'!$A$6:$A$701,A137,'By structure'!$C$6:$C$701,C137)</x:f>
        <x:v>1</x:v>
      </x:c>
      <x:c r="L137" s="13" t="n">
        <x:f t="shared" si="14">IF(H137=0,"",(H137-K137)/H137)</x:f>
        <x:v>0.96</x:v>
      </x:c>
      <x:c r="M137" s="1" t="s">
        <x:v>79</x:v>
      </x:c>
      <x:c r="N137" s="1" t="s">
        <x:v>82</x:v>
      </x:c>
      <x:c r="O137" s="1" t="s">
        <x:v>84</x:v>
      </x:c>
      <x:c r="P137" s="15">
        <x:v>2684</x:v>
      </x:c>
      <x:c r="Q137" s="28" t="n">
        <x:f>COUNTIFS($A$6:$A$179,A137,$C$6:$C$179,C137)</x:f>
        <x:v>1</x:v>
      </x:c>
    </x:row>
    <x:row r="138" ht="22" customHeight="1">
      <x:c r="A138" s="14">
        <x:v>2024</x:v>
      </x:c>
      <x:c r="B138" s="5" t="s">
        <x:v>53</x:v>
      </x:c>
      <x:c r="C138" s="6" t="s">
        <x:v>54</x:v>
      </x:c>
      <x:c r="D138" s="8">
        <x:v>72</x:v>
      </x:c>
      <x:c r="E138" s="8">
        <x:v>2</x:v>
      </x:c>
      <x:c r="F138" s="8">
        <x:v>4</x:v>
      </x:c>
      <x:c r="G138" s="8">
        <x:v>19</x:v>
      </x:c>
      <x:c r="H138" s="8" t="n">
        <x:f t="shared" si="12">SUM(D138:G138)</x:f>
        <x:v>97</x:v>
      </x:c>
      <x:c r="I138" s="8" t="n">
        <x:f t="shared" si="13">SUM(E138:G138)</x:f>
        <x:v>25</x:v>
      </x:c>
      <x:c r="J138" s="10" t="n">
        <x:f>SUMIFS('By structure'!$G$6:$G$701,'By structure'!$A$6:$A$701,A138,'By structure'!$C$6:$C$701,C138)</x:f>
        <x:v>48118316</x:v>
      </x:c>
      <x:c r="K138" s="8" t="n">
        <x:f>SUMIFS('By structure'!$H$6:$H$701,'By structure'!$A$6:$A$701,A138,'By structure'!$C$6:$C$701,C138)</x:f>
        <x:v>54</x:v>
      </x:c>
      <x:c r="L138" s="12" t="n">
        <x:f t="shared" si="14">IF(H138=0,"",(H138-K138)/H138)</x:f>
        <x:v>0.44329896907216493</x:v>
      </x:c>
      <x:c r="M138" s="5" t="s">
        <x:v>79</x:v>
      </x:c>
      <x:c r="N138" s="5" t="s">
        <x:v>82</x:v>
      </x:c>
      <x:c r="O138" s="5" t="s">
        <x:v>84</x:v>
      </x:c>
      <x:c r="P138" s="14">
        <x:v>2685</x:v>
      </x:c>
      <x:c r="Q138" s="28" t="n">
        <x:f>COUNTIFS($A$6:$A$179,A138,$C$6:$C$179,C138)</x:f>
        <x:v>1</x:v>
      </x:c>
    </x:row>
    <x:row r="139" ht="22" customHeight="1">
      <x:c r="A139" s="15">
        <x:v>2024</x:v>
      </x:c>
      <x:c r="B139" s="1" t="s">
        <x:v>55</x:v>
      </x:c>
      <x:c r="C139" s="7" t="s">
        <x:v>56</x:v>
      </x:c>
      <x:c r="D139" s="9">
        <x:v>2848</x:v>
      </x:c>
      <x:c r="E139" s="9">
        <x:v>30</x:v>
      </x:c>
      <x:c r="F139" s="9">
        <x:v>93</x:v>
      </x:c>
      <x:c r="G139" s="9">
        <x:v>1579</x:v>
      </x:c>
      <x:c r="H139" s="9" t="n">
        <x:f t="shared" si="12">SUM(D139:G139)</x:f>
        <x:v>4550</x:v>
      </x:c>
      <x:c r="I139" s="9" t="n">
        <x:f t="shared" si="13">SUM(E139:G139)</x:f>
        <x:v>1702</x:v>
      </x:c>
      <x:c r="J139" s="11" t="n">
        <x:f>SUMIFS('By structure'!$G$6:$G$701,'By structure'!$A$6:$A$701,A139,'By structure'!$C$6:$C$701,C139)</x:f>
        <x:v>1285207139</x:v>
      </x:c>
      <x:c r="K139" s="9" t="n">
        <x:f>SUMIFS('By structure'!$H$6:$H$701,'By structure'!$A$6:$A$701,A139,'By structure'!$C$6:$C$701,C139)</x:f>
        <x:v>4522</x:v>
      </x:c>
      <x:c r="L139" s="13" t="n">
        <x:f t="shared" si="14">IF(H139=0,"",(H139-K139)/H139)</x:f>
        <x:v>0.006153846153846154</x:v>
      </x:c>
      <x:c r="M139" s="1" t="s">
        <x:v>79</x:v>
      </x:c>
      <x:c r="N139" s="1" t="s">
        <x:v>82</x:v>
      </x:c>
      <x:c r="O139" s="1" t="s">
        <x:v>84</x:v>
      </x:c>
      <x:c r="P139" s="15">
        <x:v>2686</x:v>
      </x:c>
      <x:c r="Q139" s="28" t="n">
        <x:f>COUNTIFS($A$6:$A$179,A139,$C$6:$C$179,C139)</x:f>
        <x:v>1</x:v>
      </x:c>
    </x:row>
    <x:row r="140" ht="22" customHeight="1">
      <x:c r="A140" s="14">
        <x:v>2024</x:v>
      </x:c>
      <x:c r="B140" s="5" t="s">
        <x:v>57</x:v>
      </x:c>
      <x:c r="C140" s="6" t="s">
        <x:v>58</x:v>
      </x:c>
      <x:c r="D140" s="8">
        <x:v>48</x:v>
      </x:c>
      <x:c r="E140" s="8">
        <x:v>4</x:v>
      </x:c>
      <x:c r="F140" s="8">
        <x:v>0</x:v>
      </x:c>
      <x:c r="G140" s="8">
        <x:v>0</x:v>
      </x:c>
      <x:c r="H140" s="8" t="n">
        <x:f t="shared" si="12">SUM(D140:G140)</x:f>
        <x:v>52</x:v>
      </x:c>
      <x:c r="I140" s="8" t="n">
        <x:f t="shared" si="13">SUM(E140:G140)</x:f>
        <x:v>4</x:v>
      </x:c>
      <x:c r="J140" s="10" t="n">
        <x:f>SUMIFS('By structure'!$G$6:$G$701,'By structure'!$A$6:$A$701,A140,'By structure'!$C$6:$C$701,C140)</x:f>
        <x:v>19769187</x:v>
      </x:c>
      <x:c r="K140" s="8" t="n">
        <x:f>SUMIFS('By structure'!$H$6:$H$701,'By structure'!$A$6:$A$701,A140,'By structure'!$C$6:$C$701,C140)</x:f>
        <x:v>52</x:v>
      </x:c>
      <x:c r="L140" s="12" t="n">
        <x:f t="shared" si="14">IF(H140=0,"",(H140-K140)/H140)</x:f>
        <x:v>0</x:v>
      </x:c>
      <x:c r="M140" s="5" t="s">
        <x:v>79</x:v>
      </x:c>
      <x:c r="N140" s="5" t="s">
        <x:v>82</x:v>
      </x:c>
      <x:c r="O140" s="5" t="s">
        <x:v>84</x:v>
      </x:c>
      <x:c r="P140" s="14">
        <x:v>2687</x:v>
      </x:c>
      <x:c r="Q140" s="28" t="n">
        <x:f>COUNTIFS($A$6:$A$179,A140,$C$6:$C$179,C140)</x:f>
        <x:v>1</x:v>
      </x:c>
    </x:row>
    <x:row r="141" ht="22" customHeight="1">
      <x:c r="A141" s="15">
        <x:v>2024</x:v>
      </x:c>
      <x:c r="B141" s="1" t="s">
        <x:v>59</x:v>
      </x:c>
      <x:c r="C141" s="7" t="s">
        <x:v>60</x:v>
      </x:c>
      <x:c r="D141" s="9">
        <x:v>210</x:v>
      </x:c>
      <x:c r="E141" s="9">
        <x:v>8</x:v>
      </x:c>
      <x:c r="F141" s="9">
        <x:v>4</x:v>
      </x:c>
      <x:c r="G141" s="9">
        <x:v>44</x:v>
      </x:c>
      <x:c r="H141" s="9" t="n">
        <x:f t="shared" si="12">SUM(D141:G141)</x:f>
        <x:v>266</x:v>
      </x:c>
      <x:c r="I141" s="9" t="n">
        <x:f t="shared" si="13">SUM(E141:G141)</x:f>
        <x:v>56</x:v>
      </x:c>
      <x:c r="J141" s="11" t="n">
        <x:f>SUMIFS('By structure'!$G$6:$G$701,'By structure'!$A$6:$A$701,A141,'By structure'!$C$6:$C$701,C141)</x:f>
        <x:v>97186991</x:v>
      </x:c>
      <x:c r="K141" s="9" t="n">
        <x:f>SUMIFS('By structure'!$H$6:$H$701,'By structure'!$A$6:$A$701,A141,'By structure'!$C$6:$C$701,C141)</x:f>
        <x:v>266</x:v>
      </x:c>
      <x:c r="L141" s="13" t="n">
        <x:f t="shared" si="14">IF(H141=0,"",(H141-K141)/H141)</x:f>
        <x:v>0</x:v>
      </x:c>
      <x:c r="M141" s="1" t="s">
        <x:v>79</x:v>
      </x:c>
      <x:c r="N141" s="1" t="s">
        <x:v>82</x:v>
      </x:c>
      <x:c r="O141" s="1" t="s">
        <x:v>84</x:v>
      </x:c>
      <x:c r="P141" s="15">
        <x:v>2688</x:v>
      </x:c>
      <x:c r="Q141" s="28" t="n">
        <x:f>COUNTIFS($A$6:$A$179,A141,$C$6:$C$179,C141)</x:f>
        <x:v>1</x:v>
      </x:c>
    </x:row>
    <x:row r="142" ht="22" customHeight="1">
      <x:c r="A142" s="14">
        <x:v>2024</x:v>
      </x:c>
      <x:c r="B142" s="5" t="s">
        <x:v>61</x:v>
      </x:c>
      <x:c r="C142" s="6" t="s">
        <x:v>62</x:v>
      </x:c>
      <x:c r="D142" s="8">
        <x:v>91</x:v>
      </x:c>
      <x:c r="E142" s="8">
        <x:v>14</x:v>
      </x:c>
      <x:c r="F142" s="8">
        <x:v>4</x:v>
      </x:c>
      <x:c r="G142" s="8">
        <x:v>0</x:v>
      </x:c>
      <x:c r="H142" s="8" t="n">
        <x:f t="shared" si="12">SUM(D142:G142)</x:f>
        <x:v>109</x:v>
      </x:c>
      <x:c r="I142" s="8" t="n">
        <x:f t="shared" si="13">SUM(E142:G142)</x:f>
        <x:v>18</x:v>
      </x:c>
      <x:c r="J142" s="10" t="n">
        <x:f>SUMIFS('By structure'!$G$6:$G$701,'By structure'!$A$6:$A$701,A142,'By structure'!$C$6:$C$701,C142)</x:f>
        <x:v>36859210</x:v>
      </x:c>
      <x:c r="K142" s="8" t="n">
        <x:f>SUMIFS('By structure'!$H$6:$H$701,'By structure'!$A$6:$A$701,A142,'By structure'!$C$6:$C$701,C142)</x:f>
        <x:v>109</x:v>
      </x:c>
      <x:c r="L142" s="12" t="n">
        <x:f t="shared" si="14">IF(H142=0,"",(H142-K142)/H142)</x:f>
        <x:v>0</x:v>
      </x:c>
      <x:c r="M142" s="5" t="s">
        <x:v>79</x:v>
      </x:c>
      <x:c r="N142" s="5" t="s">
        <x:v>82</x:v>
      </x:c>
      <x:c r="O142" s="5" t="s">
        <x:v>84</x:v>
      </x:c>
      <x:c r="P142" s="14">
        <x:v>2689</x:v>
      </x:c>
      <x:c r="Q142" s="28" t="n">
        <x:f>COUNTIFS($A$6:$A$179,A142,$C$6:$C$179,C142)</x:f>
        <x:v>1</x:v>
      </x:c>
    </x:row>
    <x:row r="143" ht="22" customHeight="1">
      <x:c r="A143" s="15">
        <x:v>2024</x:v>
      </x:c>
      <x:c r="B143" s="1" t="s">
        <x:v>63</x:v>
      </x:c>
      <x:c r="C143" s="7" t="s">
        <x:v>64</x:v>
      </x:c>
      <x:c r="D143" s="9">
        <x:v>388</x:v>
      </x:c>
      <x:c r="E143" s="9">
        <x:v>2</x:v>
      </x:c>
      <x:c r="F143" s="9">
        <x:v>0</x:v>
      </x:c>
      <x:c r="G143" s="9">
        <x:v>529</x:v>
      </x:c>
      <x:c r="H143" s="9" t="n">
        <x:f t="shared" si="12">SUM(D143:G143)</x:f>
        <x:v>919</x:v>
      </x:c>
      <x:c r="I143" s="9" t="n">
        <x:f t="shared" si="13">SUM(E143:G143)</x:f>
        <x:v>531</x:v>
      </x:c>
      <x:c r="J143" s="11" t="n">
        <x:f>SUMIFS('By structure'!$G$6:$G$701,'By structure'!$A$6:$A$701,A143,'By structure'!$C$6:$C$701,C143)</x:f>
        <x:v>480610500</x:v>
      </x:c>
      <x:c r="K143" s="9" t="n">
        <x:f>SUMIFS('By structure'!$H$6:$H$701,'By structure'!$A$6:$A$701,A143,'By structure'!$C$6:$C$701,C143)</x:f>
        <x:v>919</x:v>
      </x:c>
      <x:c r="L143" s="13" t="n">
        <x:f t="shared" si="14">IF(H143=0,"",(H143-K143)/H143)</x:f>
        <x:v>0</x:v>
      </x:c>
      <x:c r="M143" s="1" t="s">
        <x:v>79</x:v>
      </x:c>
      <x:c r="N143" s="1" t="s">
        <x:v>82</x:v>
      </x:c>
      <x:c r="O143" s="1" t="s">
        <x:v>84</x:v>
      </x:c>
      <x:c r="P143" s="15">
        <x:v>2690</x:v>
      </x:c>
      <x:c r="Q143" s="28" t="n">
        <x:f>COUNTIFS($A$6:$A$179,A143,$C$6:$C$179,C143)</x:f>
        <x:v>1</x:v>
      </x:c>
    </x:row>
    <x:row r="144" ht="22" customHeight="1">
      <x:c r="A144" s="14">
        <x:v>2024</x:v>
      </x:c>
      <x:c r="B144" s="5" t="s">
        <x:v>65</x:v>
      </x:c>
      <x:c r="C144" s="6" t="s">
        <x:v>66</x:v>
      </x:c>
      <x:c r="D144" s="8">
        <x:v>677</x:v>
      </x:c>
      <x:c r="E144" s="8">
        <x:v>50</x:v>
      </x:c>
      <x:c r="F144" s="8">
        <x:v>83</x:v>
      </x:c>
      <x:c r="G144" s="8">
        <x:v>87</x:v>
      </x:c>
      <x:c r="H144" s="8" t="n">
        <x:f t="shared" si="12">SUM(D144:G144)</x:f>
        <x:v>897</x:v>
      </x:c>
      <x:c r="I144" s="8" t="n">
        <x:f t="shared" si="13">SUM(E144:G144)</x:f>
        <x:v>220</x:v>
      </x:c>
      <x:c r="J144" s="10" t="n">
        <x:f>SUMIFS('By structure'!$G$6:$G$701,'By structure'!$A$6:$A$701,A144,'By structure'!$C$6:$C$701,C144)</x:f>
        <x:v>339058125</x:v>
      </x:c>
      <x:c r="K144" s="8" t="n">
        <x:f>SUMIFS('By structure'!$H$6:$H$701,'By structure'!$A$6:$A$701,A144,'By structure'!$C$6:$C$701,C144)</x:f>
        <x:v>897</x:v>
      </x:c>
      <x:c r="L144" s="12" t="n">
        <x:f t="shared" si="14">IF(H144=0,"",(H144-K144)/H144)</x:f>
        <x:v>0</x:v>
      </x:c>
      <x:c r="M144" s="5" t="s">
        <x:v>79</x:v>
      </x:c>
      <x:c r="N144" s="5" t="s">
        <x:v>82</x:v>
      </x:c>
      <x:c r="O144" s="5" t="s">
        <x:v>84</x:v>
      </x:c>
      <x:c r="P144" s="14">
        <x:v>2691</x:v>
      </x:c>
      <x:c r="Q144" s="28" t="n">
        <x:f>COUNTIFS($A$6:$A$179,A144,$C$6:$C$179,C144)</x:f>
        <x:v>1</x:v>
      </x:c>
    </x:row>
    <x:row r="145" ht="22" customHeight="1">
      <x:c r="A145" s="15">
        <x:v>2024</x:v>
      </x:c>
      <x:c r="B145" s="1" t="s">
        <x:v>67</x:v>
      </x:c>
      <x:c r="C145" s="7" t="s">
        <x:v>68</x:v>
      </x:c>
      <x:c r="D145" s="9">
        <x:v>74</x:v>
      </x:c>
      <x:c r="E145" s="9">
        <x:v>4</x:v>
      </x:c>
      <x:c r="F145" s="9">
        <x:v>8</x:v>
      </x:c>
      <x:c r="G145" s="9">
        <x:v>0</x:v>
      </x:c>
      <x:c r="H145" s="9" t="n">
        <x:f t="shared" si="12">SUM(D145:G145)</x:f>
        <x:v>86</x:v>
      </x:c>
      <x:c r="I145" s="9" t="n">
        <x:f t="shared" si="13">SUM(E145:G145)</x:f>
        <x:v>12</x:v>
      </x:c>
      <x:c r="J145" s="11" t="n">
        <x:f>SUMIFS('By structure'!$G$6:$G$701,'By structure'!$A$6:$A$701,A145,'By structure'!$C$6:$C$701,C145)</x:f>
        <x:v>29766277</x:v>
      </x:c>
      <x:c r="K145" s="9" t="n">
        <x:f>SUMIFS('By structure'!$H$6:$H$701,'By structure'!$A$6:$A$701,A145,'By structure'!$C$6:$C$701,C145)</x:f>
        <x:v>86</x:v>
      </x:c>
      <x:c r="L145" s="13" t="n">
        <x:f t="shared" si="14">IF(H145=0,"",(H145-K145)/H145)</x:f>
        <x:v>0</x:v>
      </x:c>
      <x:c r="M145" s="1" t="s">
        <x:v>79</x:v>
      </x:c>
      <x:c r="N145" s="1" t="s">
        <x:v>82</x:v>
      </x:c>
      <x:c r="O145" s="1" t="s">
        <x:v>84</x:v>
      </x:c>
      <x:c r="P145" s="15">
        <x:v>2692</x:v>
      </x:c>
      <x:c r="Q145" s="28" t="n">
        <x:f>COUNTIFS($A$6:$A$179,A145,$C$6:$C$179,C145)</x:f>
        <x:v>1</x:v>
      </x:c>
    </x:row>
    <x:row r="146" ht="22" customHeight="1">
      <x:c r="A146" s="14">
        <x:v>2024</x:v>
      </x:c>
      <x:c r="B146" s="5" t="s">
        <x:v>69</x:v>
      </x:c>
      <x:c r="C146" s="6" t="s">
        <x:v>70</x:v>
      </x:c>
      <x:c r="D146" s="8">
        <x:v>5174</x:v>
      </x:c>
      <x:c r="E146" s="8">
        <x:v>10</x:v>
      </x:c>
      <x:c r="F146" s="8">
        <x:v>97</x:v>
      </x:c>
      <x:c r="G146" s="8">
        <x:v>1040</x:v>
      </x:c>
      <x:c r="H146" s="8" t="n">
        <x:f t="shared" si="12">SUM(D146:G146)</x:f>
        <x:v>6321</x:v>
      </x:c>
      <x:c r="I146" s="8" t="n">
        <x:f t="shared" si="13">SUM(E146:G146)</x:f>
        <x:v>1147</x:v>
      </x:c>
      <x:c r="J146" s="10" t="n">
        <x:f>SUMIFS('By structure'!$G$6:$G$701,'By structure'!$A$6:$A$701,A146,'By structure'!$C$6:$C$701,C146)</x:f>
        <x:v>1932970837</x:v>
      </x:c>
      <x:c r="K146" s="8" t="n">
        <x:f>SUMIFS('By structure'!$H$6:$H$701,'By structure'!$A$6:$A$701,A146,'By structure'!$C$6:$C$701,C146)</x:f>
        <x:v>6160</x:v>
      </x:c>
      <x:c r="L146" s="12" t="n">
        <x:f t="shared" si="14">IF(H146=0,"",(H146-K146)/H146)</x:f>
        <x:v>0.02547065337763012</x:v>
      </x:c>
      <x:c r="M146" s="5" t="s">
        <x:v>79</x:v>
      </x:c>
      <x:c r="N146" s="5" t="s">
        <x:v>82</x:v>
      </x:c>
      <x:c r="O146" s="5" t="s">
        <x:v>84</x:v>
      </x:c>
      <x:c r="P146" s="14">
        <x:v>2693</x:v>
      </x:c>
      <x:c r="Q146" s="28" t="n">
        <x:f>COUNTIFS($A$6:$A$179,A146,$C$6:$C$179,C146)</x:f>
        <x:v>1</x:v>
      </x:c>
    </x:row>
    <x:row r="147" ht="22" customHeight="1">
      <x:c r="A147" s="15">
        <x:v>2024</x:v>
      </x:c>
      <x:c r="B147" s="1" t="s">
        <x:v>71</x:v>
      </x:c>
      <x:c r="C147" s="7" t="s">
        <x:v>72</x:v>
      </x:c>
      <x:c r="D147" s="9">
        <x:v>784</x:v>
      </x:c>
      <x:c r="E147" s="9">
        <x:v>0</x:v>
      </x:c>
      <x:c r="F147" s="9">
        <x:v>29</x:v>
      </x:c>
      <x:c r="G147" s="9">
        <x:v>22</x:v>
      </x:c>
      <x:c r="H147" s="9" t="n">
        <x:f t="shared" si="12">SUM(D147:G147)</x:f>
        <x:v>835</x:v>
      </x:c>
      <x:c r="I147" s="9" t="n">
        <x:f t="shared" si="13">SUM(E147:G147)</x:f>
        <x:v>51</x:v>
      </x:c>
      <x:c r="J147" s="11" t="n">
        <x:f>SUMIFS('By structure'!$G$6:$G$701,'By structure'!$A$6:$A$701,A147,'By structure'!$C$6:$C$701,C147)</x:f>
        <x:v>568265148</x:v>
      </x:c>
      <x:c r="K147" s="9" t="n">
        <x:f>SUMIFS('By structure'!$H$6:$H$701,'By structure'!$A$6:$A$701,A147,'By structure'!$C$6:$C$701,C147)</x:f>
        <x:v>834</x:v>
      </x:c>
      <x:c r="L147" s="13" t="n">
        <x:f t="shared" si="14">IF(H147=0,"",(H147-K147)/H147)</x:f>
        <x:v>0.0011976047904191617</x:v>
      </x:c>
      <x:c r="M147" s="1" t="s">
        <x:v>79</x:v>
      </x:c>
      <x:c r="N147" s="1" t="s">
        <x:v>82</x:v>
      </x:c>
      <x:c r="O147" s="1" t="s">
        <x:v>84</x:v>
      </x:c>
      <x:c r="P147" s="15">
        <x:v>2694</x:v>
      </x:c>
      <x:c r="Q147" s="28" t="n">
        <x:f>COUNTIFS($A$6:$A$179,A147,$C$6:$C$179,C147)</x:f>
        <x:v>1</x:v>
      </x:c>
    </x:row>
    <x:row r="148" ht="22" customHeight="1">
      <x:c r="A148" s="14">
        <x:v>2024</x:v>
      </x:c>
      <x:c r="B148" s="5" t="s">
        <x:v>73</x:v>
      </x:c>
      <x:c r="C148" s="6" t="s">
        <x:v>74</x:v>
      </x:c>
      <x:c r="D148" s="8">
        <x:v>2467</x:v>
      </x:c>
      <x:c r="E148" s="8">
        <x:v>0</x:v>
      </x:c>
      <x:c r="F148" s="8">
        <x:v>35</x:v>
      </x:c>
      <x:c r="G148" s="8">
        <x:v>650</x:v>
      </x:c>
      <x:c r="H148" s="8" t="n">
        <x:f t="shared" si="12">SUM(D148:G148)</x:f>
        <x:v>3152</x:v>
      </x:c>
      <x:c r="I148" s="8" t="n">
        <x:f t="shared" si="13">SUM(E148:G148)</x:f>
        <x:v>685</x:v>
      </x:c>
      <x:c r="J148" s="10" t="n">
        <x:f>SUMIFS('By structure'!$G$6:$G$701,'By structure'!$A$6:$A$701,A148,'By structure'!$C$6:$C$701,C148)</x:f>
        <x:v>613877835</x:v>
      </x:c>
      <x:c r="K148" s="8" t="n">
        <x:f>SUMIFS('By structure'!$H$6:$H$701,'By structure'!$A$6:$A$701,A148,'By structure'!$C$6:$C$701,C148)</x:f>
        <x:v>3065</x:v>
      </x:c>
      <x:c r="L148" s="12" t="n">
        <x:f t="shared" si="14">IF(H148=0,"",(H148-K148)/H148)</x:f>
        <x:v>0.027601522842639593</x:v>
      </x:c>
      <x:c r="M148" s="5" t="s">
        <x:v>79</x:v>
      </x:c>
      <x:c r="N148" s="5" t="s">
        <x:v>82</x:v>
      </x:c>
      <x:c r="O148" s="5" t="s">
        <x:v>84</x:v>
      </x:c>
      <x:c r="P148" s="14">
        <x:v>2695</x:v>
      </x:c>
      <x:c r="Q148" s="28" t="n">
        <x:f>COUNTIFS($A$6:$A$179,A148,$C$6:$C$179,C148)</x:f>
        <x:v>1</x:v>
      </x:c>
    </x:row>
    <x:row r="149" ht="22" customHeight="1">
      <x:c r="A149" s="15">
        <x:v>2024</x:v>
      </x:c>
      <x:c r="B149" s="1" t="s">
        <x:v>75</x:v>
      </x:c>
      <x:c r="C149" s="7" t="s">
        <x:v>76</x:v>
      </x:c>
      <x:c r="D149" s="9">
        <x:v>21</x:v>
      </x:c>
      <x:c r="E149" s="9">
        <x:v>0</x:v>
      </x:c>
      <x:c r="F149" s="9">
        <x:v>3</x:v>
      </x:c>
      <x:c r="G149" s="9">
        <x:v>0</x:v>
      </x:c>
      <x:c r="H149" s="9" t="n">
        <x:f t="shared" si="12">SUM(D149:G149)</x:f>
        <x:v>24</x:v>
      </x:c>
      <x:c r="I149" s="9" t="n">
        <x:f t="shared" si="13">SUM(E149:G149)</x:f>
        <x:v>3</x:v>
      </x:c>
      <x:c r="J149" s="11" t="n">
        <x:f>SUMIFS('By structure'!$G$6:$G$701,'By structure'!$A$6:$A$701,A149,'By structure'!$C$6:$C$701,C149)</x:f>
        <x:v>7673057</x:v>
      </x:c>
      <x:c r="K149" s="9" t="n">
        <x:f>SUMIFS('By structure'!$H$6:$H$701,'By structure'!$A$6:$A$701,A149,'By structure'!$C$6:$C$701,C149)</x:f>
        <x:v>24</x:v>
      </x:c>
      <x:c r="L149" s="13" t="n">
        <x:f t="shared" si="14">IF(H149=0,"",(H149-K149)/H149)</x:f>
        <x:v>0</x:v>
      </x:c>
      <x:c r="M149" s="1" t="s">
        <x:v>79</x:v>
      </x:c>
      <x:c r="N149" s="1" t="s">
        <x:v>82</x:v>
      </x:c>
      <x:c r="O149" s="1" t="s">
        <x:v>84</x:v>
      </x:c>
      <x:c r="P149" s="15">
        <x:v>2696</x:v>
      </x:c>
      <x:c r="Q149" s="28" t="n">
        <x:f>COUNTIFS($A$6:$A$179,A149,$C$6:$C$179,C149)</x:f>
        <x:v>1</x:v>
      </x:c>
    </x:row>
    <x:row r="150" ht="22" customHeight="1">
      <x:c r="A150" s="14">
        <x:v>2024</x:v>
      </x:c>
      <x:c r="B150" s="5" t="s">
        <x:v>77</x:v>
      </x:c>
      <x:c r="C150" s="6" t="s">
        <x:v>78</x:v>
      </x:c>
      <x:c r="D150" s="8">
        <x:v>1044</x:v>
      </x:c>
      <x:c r="E150" s="8">
        <x:v>10</x:v>
      </x:c>
      <x:c r="F150" s="8">
        <x:v>55</x:v>
      </x:c>
      <x:c r="G150" s="8">
        <x:v>521</x:v>
      </x:c>
      <x:c r="H150" s="8" t="n">
        <x:f t="shared" si="12">SUM(D150:G150)</x:f>
        <x:v>1630</x:v>
      </x:c>
      <x:c r="I150" s="8" t="n">
        <x:f t="shared" si="13">SUM(E150:G150)</x:f>
        <x:v>586</x:v>
      </x:c>
      <x:c r="J150" s="10" t="n">
        <x:f>SUMIFS('By structure'!$G$6:$G$701,'By structure'!$A$6:$A$701,A150,'By structure'!$C$6:$C$701,C150)</x:f>
        <x:v>487007915</x:v>
      </x:c>
      <x:c r="K150" s="8" t="n">
        <x:f>SUMIFS('By structure'!$H$6:$H$701,'By structure'!$A$6:$A$701,A150,'By structure'!$C$6:$C$701,C150)</x:f>
        <x:v>884</x:v>
      </x:c>
      <x:c r="L150" s="12" t="n">
        <x:f t="shared" si="14">IF(H150=0,"",(H150-K150)/H150)</x:f>
        <x:v>0.45766871165644174</x:v>
      </x:c>
      <x:c r="M150" s="5" t="s">
        <x:v>79</x:v>
      </x:c>
      <x:c r="N150" s="5" t="s">
        <x:v>82</x:v>
      </x:c>
      <x:c r="O150" s="5" t="s">
        <x:v>84</x:v>
      </x:c>
      <x:c r="P150" s="14">
        <x:v>2697</x:v>
      </x:c>
      <x:c r="Q150" s="28" t="n">
        <x:f>COUNTIFS($A$6:$A$179,A150,$C$6:$C$179,C150)</x:f>
        <x:v>1</x:v>
      </x:c>
    </x:row>
    <x:row r="151" ht="22" customHeight="1">
      <x:c r="A151" s="15">
        <x:v>2025</x:v>
      </x:c>
      <x:c r="B151" s="1" t="s">
        <x:v>18</x:v>
      </x:c>
      <x:c r="C151" s="7" t="s">
        <x:v>19</x:v>
      </x:c>
      <x:c r="D151" s="9">
        <x:v>38</x:v>
      </x:c>
      <x:c r="E151" s="9">
        <x:v>0</x:v>
      </x:c>
      <x:c r="F151" s="9">
        <x:v>0</x:v>
      </x:c>
      <x:c r="G151" s="9">
        <x:v>10</x:v>
      </x:c>
      <x:c r="H151" s="9" t="n">
        <x:f t="shared" si="12">SUM(D151:G151)</x:f>
        <x:v>48</x:v>
      </x:c>
      <x:c r="I151" s="9" t="n">
        <x:f t="shared" si="13">SUM(E151:G151)</x:f>
        <x:v>10</x:v>
      </x:c>
      <x:c r="J151" s="11" t="n">
        <x:f>SUMIFS('By structure'!$G$6:$G$701,'By structure'!$A$6:$A$701,A151,'By structure'!$C$6:$C$701,C151)</x:f>
        <x:v>17700952</x:v>
      </x:c>
      <x:c r="K151" s="9" t="n">
        <x:f>SUMIFS('By structure'!$H$6:$H$701,'By structure'!$A$6:$A$701,A151,'By structure'!$C$6:$C$701,C151)</x:f>
        <x:v>48</x:v>
      </x:c>
      <x:c r="L151" s="13" t="n">
        <x:f t="shared" si="14">IF(H151=0,"",(H151-K151)/H151)</x:f>
        <x:v>0</x:v>
      </x:c>
      <x:c r="M151" s="1" t="s">
        <x:v>79</x:v>
      </x:c>
      <x:c r="N151" s="1" t="s">
        <x:v>82</x:v>
      </x:c>
      <x:c r="O151" s="1" t="s">
        <x:v>85</x:v>
      </x:c>
      <x:c r="P151" s="15">
        <x:v>2670</x:v>
      </x:c>
      <x:c r="Q151" s="28" t="n">
        <x:f>COUNTIFS($A$6:$A$179,A151,$C$6:$C$179,C151)</x:f>
        <x:v>1</x:v>
      </x:c>
    </x:row>
    <x:row r="152" ht="22" customHeight="1">
      <x:c r="A152" s="14">
        <x:v>2025</x:v>
      </x:c>
      <x:c r="B152" s="5" t="s">
        <x:v>23</x:v>
      </x:c>
      <x:c r="C152" s="6" t="s">
        <x:v>24</x:v>
      </x:c>
      <x:c r="D152" s="8">
        <x:v>369</x:v>
      </x:c>
      <x:c r="E152" s="8">
        <x:v>0</x:v>
      </x:c>
      <x:c r="F152" s="8">
        <x:v>35</x:v>
      </x:c>
      <x:c r="G152" s="8">
        <x:v>52</x:v>
      </x:c>
      <x:c r="H152" s="8" t="n">
        <x:f t="shared" si="12">SUM(D152:G152)</x:f>
        <x:v>456</x:v>
      </x:c>
      <x:c r="I152" s="8" t="n">
        <x:f t="shared" si="13">SUM(E152:G152)</x:f>
        <x:v>87</x:v>
      </x:c>
      <x:c r="J152" s="10" t="n">
        <x:f>SUMIFS('By structure'!$G$6:$G$701,'By structure'!$A$6:$A$701,A152,'By structure'!$C$6:$C$701,C152)</x:f>
        <x:v>155384290</x:v>
      </x:c>
      <x:c r="K152" s="8" t="n">
        <x:f>SUMIFS('By structure'!$H$6:$H$701,'By structure'!$A$6:$A$701,A152,'By structure'!$C$6:$C$701,C152)</x:f>
        <x:v>432</x:v>
      </x:c>
      <x:c r="L152" s="12" t="n">
        <x:f t="shared" si="14">IF(H152=0,"",(H152-K152)/H152)</x:f>
        <x:v>0.05263157894736842</x:v>
      </x:c>
      <x:c r="M152" s="5" t="s">
        <x:v>79</x:v>
      </x:c>
      <x:c r="N152" s="5" t="s">
        <x:v>82</x:v>
      </x:c>
      <x:c r="O152" s="5" t="s">
        <x:v>85</x:v>
      </x:c>
      <x:c r="P152" s="14">
        <x:v>2671</x:v>
      </x:c>
      <x:c r="Q152" s="28" t="n">
        <x:f>COUNTIFS($A$6:$A$179,A152,$C$6:$C$179,C152)</x:f>
        <x:v>1</x:v>
      </x:c>
    </x:row>
    <x:row r="153" ht="22" customHeight="1">
      <x:c r="A153" s="15">
        <x:v>2025</x:v>
      </x:c>
      <x:c r="B153" s="1" t="s">
        <x:v>25</x:v>
      </x:c>
      <x:c r="C153" s="7" t="s">
        <x:v>26</x:v>
      </x:c>
      <x:c r="D153" s="9">
        <x:v>850</x:v>
      </x:c>
      <x:c r="E153" s="9">
        <x:v>0</x:v>
      </x:c>
      <x:c r="F153" s="9">
        <x:v>0</x:v>
      </x:c>
      <x:c r="G153" s="9">
        <x:v>262</x:v>
      </x:c>
      <x:c r="H153" s="9" t="n">
        <x:f t="shared" si="12">SUM(D153:G153)</x:f>
        <x:v>1112</x:v>
      </x:c>
      <x:c r="I153" s="9" t="n">
        <x:f t="shared" si="13">SUM(E153:G153)</x:f>
        <x:v>262</x:v>
      </x:c>
      <x:c r="J153" s="11" t="n">
        <x:f>SUMIFS('By structure'!$G$6:$G$701,'By structure'!$A$6:$A$701,A153,'By structure'!$C$6:$C$701,C153)</x:f>
        <x:v>355947428</x:v>
      </x:c>
      <x:c r="K153" s="9" t="n">
        <x:f>SUMIFS('By structure'!$H$6:$H$701,'By structure'!$A$6:$A$701,A153,'By structure'!$C$6:$C$701,C153)</x:f>
        <x:v>1112</x:v>
      </x:c>
      <x:c r="L153" s="13" t="n">
        <x:f t="shared" si="14">IF(H153=0,"",(H153-K153)/H153)</x:f>
        <x:v>0</x:v>
      </x:c>
      <x:c r="M153" s="1" t="s">
        <x:v>79</x:v>
      </x:c>
      <x:c r="N153" s="1" t="s">
        <x:v>82</x:v>
      </x:c>
      <x:c r="O153" s="1" t="s">
        <x:v>85</x:v>
      </x:c>
      <x:c r="P153" s="15">
        <x:v>2672</x:v>
      </x:c>
      <x:c r="Q153" s="28" t="n">
        <x:f>COUNTIFS($A$6:$A$179,A153,$C$6:$C$179,C153)</x:f>
        <x:v>1</x:v>
      </x:c>
    </x:row>
    <x:row r="154" ht="22" customHeight="1">
      <x:c r="A154" s="14">
        <x:v>2025</x:v>
      </x:c>
      <x:c r="B154" s="5" t="s">
        <x:v>27</x:v>
      </x:c>
      <x:c r="C154" s="6" t="s">
        <x:v>28</x:v>
      </x:c>
      <x:c r="D154" s="8">
        <x:v>45</x:v>
      </x:c>
      <x:c r="E154" s="8">
        <x:v>0</x:v>
      </x:c>
      <x:c r="F154" s="8">
        <x:v>0</x:v>
      </x:c>
      <x:c r="G154" s="8">
        <x:v>0</x:v>
      </x:c>
      <x:c r="H154" s="8" t="n">
        <x:f t="shared" si="12">SUM(D154:G154)</x:f>
        <x:v>45</x:v>
      </x:c>
      <x:c r="I154" s="8" t="n">
        <x:f t="shared" si="13">SUM(E154:G154)</x:f>
        <x:v>0</x:v>
      </x:c>
      <x:c r="J154" s="10" t="n">
        <x:f>SUMIFS('By structure'!$G$6:$G$701,'By structure'!$A$6:$A$701,A154,'By structure'!$C$6:$C$701,C154)</x:f>
        <x:v>19900132</x:v>
      </x:c>
      <x:c r="K154" s="8" t="n">
        <x:f>SUMIFS('By structure'!$H$6:$H$701,'By structure'!$A$6:$A$701,A154,'By structure'!$C$6:$C$701,C154)</x:f>
        <x:v>45</x:v>
      </x:c>
      <x:c r="L154" s="12" t="n">
        <x:f t="shared" si="14">IF(H154=0,"",(H154-K154)/H154)</x:f>
        <x:v>0</x:v>
      </x:c>
      <x:c r="M154" s="5" t="s">
        <x:v>79</x:v>
      </x:c>
      <x:c r="N154" s="5" t="s">
        <x:v>82</x:v>
      </x:c>
      <x:c r="O154" s="5" t="s">
        <x:v>85</x:v>
      </x:c>
      <x:c r="P154" s="14">
        <x:v>2673</x:v>
      </x:c>
      <x:c r="Q154" s="28" t="n">
        <x:f>COUNTIFS($A$6:$A$179,A154,$C$6:$C$179,C154)</x:f>
        <x:v>1</x:v>
      </x:c>
    </x:row>
    <x:row r="155" ht="22" customHeight="1">
      <x:c r="A155" s="15">
        <x:v>2025</x:v>
      </x:c>
      <x:c r="B155" s="1" t="s">
        <x:v>29</x:v>
      </x:c>
      <x:c r="C155" s="7" t="s">
        <x:v>30</x:v>
      </x:c>
      <x:c r="D155" s="9">
        <x:v>17</x:v>
      </x:c>
      <x:c r="E155" s="9">
        <x:v>0</x:v>
      </x:c>
      <x:c r="F155" s="9">
        <x:v>0</x:v>
      </x:c>
      <x:c r="G155" s="9">
        <x:v>0</x:v>
      </x:c>
      <x:c r="H155" s="9" t="n">
        <x:f t="shared" si="12">SUM(D155:G155)</x:f>
        <x:v>17</x:v>
      </x:c>
      <x:c r="I155" s="9" t="n">
        <x:f t="shared" si="13">SUM(E155:G155)</x:f>
        <x:v>0</x:v>
      </x:c>
      <x:c r="J155" s="11" t="n">
        <x:f>SUMIFS('By structure'!$G$6:$G$701,'By structure'!$A$6:$A$701,A155,'By structure'!$C$6:$C$701,C155)</x:f>
        <x:v>6678405</x:v>
      </x:c>
      <x:c r="K155" s="9" t="n">
        <x:f>SUMIFS('By structure'!$H$6:$H$701,'By structure'!$A$6:$A$701,A155,'By structure'!$C$6:$C$701,C155)</x:f>
        <x:v>17</x:v>
      </x:c>
      <x:c r="L155" s="13" t="n">
        <x:f t="shared" si="14">IF(H155=0,"",(H155-K155)/H155)</x:f>
        <x:v>0</x:v>
      </x:c>
      <x:c r="M155" s="1" t="s">
        <x:v>79</x:v>
      </x:c>
      <x:c r="N155" s="1" t="s">
        <x:v>82</x:v>
      </x:c>
      <x:c r="O155" s="1" t="s">
        <x:v>85</x:v>
      </x:c>
      <x:c r="P155" s="15">
        <x:v>2674</x:v>
      </x:c>
      <x:c r="Q155" s="28" t="n">
        <x:f>COUNTIFS($A$6:$A$179,A155,$C$6:$C$179,C155)</x:f>
        <x:v>1</x:v>
      </x:c>
    </x:row>
    <x:row r="156" ht="22" customHeight="1">
      <x:c r="A156" s="14">
        <x:v>2025</x:v>
      </x:c>
      <x:c r="B156" s="5" t="s">
        <x:v>31</x:v>
      </x:c>
      <x:c r="C156" s="6" t="s">
        <x:v>32</x:v>
      </x:c>
      <x:c r="D156" s="8">
        <x:v>841</x:v>
      </x:c>
      <x:c r="E156" s="8">
        <x:v>8</x:v>
      </x:c>
      <x:c r="F156" s="8">
        <x:v>72</x:v>
      </x:c>
      <x:c r="G156" s="8">
        <x:v>996</x:v>
      </x:c>
      <x:c r="H156" s="8" t="n">
        <x:f t="shared" si="12">SUM(D156:G156)</x:f>
        <x:v>1917</x:v>
      </x:c>
      <x:c r="I156" s="8" t="n">
        <x:f t="shared" si="13">SUM(E156:G156)</x:f>
        <x:v>1076</x:v>
      </x:c>
      <x:c r="J156" s="10" t="n">
        <x:f>SUMIFS('By structure'!$G$6:$G$701,'By structure'!$A$6:$A$701,A156,'By structure'!$C$6:$C$701,C156)</x:f>
        <x:v>489625762</x:v>
      </x:c>
      <x:c r="K156" s="8" t="n">
        <x:f>SUMIFS('By structure'!$H$6:$H$701,'By structure'!$A$6:$A$701,A156,'By structure'!$C$6:$C$701,C156)</x:f>
        <x:v>1917</x:v>
      </x:c>
      <x:c r="L156" s="12" t="n">
        <x:f t="shared" si="14">IF(H156=0,"",(H156-K156)/H156)</x:f>
        <x:v>0</x:v>
      </x:c>
      <x:c r="M156" s="5" t="s">
        <x:v>79</x:v>
      </x:c>
      <x:c r="N156" s="5" t="s">
        <x:v>82</x:v>
      </x:c>
      <x:c r="O156" s="5" t="s">
        <x:v>85</x:v>
      </x:c>
      <x:c r="P156" s="14">
        <x:v>2675</x:v>
      </x:c>
      <x:c r="Q156" s="28" t="n">
        <x:f>COUNTIFS($A$6:$A$179,A156,$C$6:$C$179,C156)</x:f>
        <x:v>1</x:v>
      </x:c>
    </x:row>
    <x:row r="157" ht="22" customHeight="1">
      <x:c r="A157" s="15">
        <x:v>2025</x:v>
      </x:c>
      <x:c r="B157" s="1" t="s">
        <x:v>33</x:v>
      </x:c>
      <x:c r="C157" s="7" t="s">
        <x:v>34</x:v>
      </x:c>
      <x:c r="D157" s="9">
        <x:v>123</x:v>
      </x:c>
      <x:c r="E157" s="9">
        <x:v>0</x:v>
      </x:c>
      <x:c r="F157" s="9">
        <x:v>4</x:v>
      </x:c>
      <x:c r="G157" s="9">
        <x:v>0</x:v>
      </x:c>
      <x:c r="H157" s="9" t="n">
        <x:f t="shared" si="12">SUM(D157:G157)</x:f>
        <x:v>127</x:v>
      </x:c>
      <x:c r="I157" s="9" t="n">
        <x:f t="shared" si="13">SUM(E157:G157)</x:f>
        <x:v>4</x:v>
      </x:c>
      <x:c r="J157" s="11" t="n">
        <x:f>SUMIFS('By structure'!$G$6:$G$701,'By structure'!$A$6:$A$701,A157,'By structure'!$C$6:$C$701,C157)</x:f>
        <x:v>39117176</x:v>
      </x:c>
      <x:c r="K157" s="9" t="n">
        <x:f>SUMIFS('By structure'!$H$6:$H$701,'By structure'!$A$6:$A$701,A157,'By structure'!$C$6:$C$701,C157)</x:f>
        <x:v>66</x:v>
      </x:c>
      <x:c r="L157" s="13" t="n">
        <x:f t="shared" si="14">IF(H157=0,"",(H157-K157)/H157)</x:f>
        <x:v>0.48031496062992124</x:v>
      </x:c>
      <x:c r="M157" s="1" t="s">
        <x:v>79</x:v>
      </x:c>
      <x:c r="N157" s="1" t="s">
        <x:v>82</x:v>
      </x:c>
      <x:c r="O157" s="1" t="s">
        <x:v>85</x:v>
      </x:c>
      <x:c r="P157" s="15">
        <x:v>2676</x:v>
      </x:c>
      <x:c r="Q157" s="28" t="n">
        <x:f>COUNTIFS($A$6:$A$179,A157,$C$6:$C$179,C157)</x:f>
        <x:v>1</x:v>
      </x:c>
    </x:row>
    <x:row r="158" ht="22" customHeight="1">
      <x:c r="A158" s="14">
        <x:v>2025</x:v>
      </x:c>
      <x:c r="B158" s="5" t="s">
        <x:v>35</x:v>
      </x:c>
      <x:c r="C158" s="6" t="s">
        <x:v>36</x:v>
      </x:c>
      <x:c r="D158" s="8">
        <x:v>77</x:v>
      </x:c>
      <x:c r="E158" s="8">
        <x:v>0</x:v>
      </x:c>
      <x:c r="F158" s="8">
        <x:v>0</x:v>
      </x:c>
      <x:c r="G158" s="8">
        <x:v>0</x:v>
      </x:c>
      <x:c r="H158" s="8" t="n">
        <x:f t="shared" si="12">SUM(D158:G158)</x:f>
        <x:v>77</x:v>
      </x:c>
      <x:c r="I158" s="8" t="n">
        <x:f t="shared" si="13">SUM(E158:G158)</x:f>
        <x:v>0</x:v>
      </x:c>
      <x:c r="J158" s="10" t="n">
        <x:f>SUMIFS('By structure'!$G$6:$G$701,'By structure'!$A$6:$A$701,A158,'By structure'!$C$6:$C$701,C158)</x:f>
        <x:v>7299770</x:v>
      </x:c>
      <x:c r="K158" s="8" t="n">
        <x:f>SUMIFS('By structure'!$H$6:$H$701,'By structure'!$A$6:$A$701,A158,'By structure'!$C$6:$C$701,C158)</x:f>
        <x:v>77</x:v>
      </x:c>
      <x:c r="L158" s="12" t="n">
        <x:f t="shared" si="14">IF(H158=0,"",(H158-K158)/H158)</x:f>
        <x:v>0</x:v>
      </x:c>
      <x:c r="M158" s="5" t="s">
        <x:v>79</x:v>
      </x:c>
      <x:c r="N158" s="5" t="s">
        <x:v>82</x:v>
      </x:c>
      <x:c r="O158" s="5" t="s">
        <x:v>85</x:v>
      </x:c>
      <x:c r="P158" s="14">
        <x:v>2677</x:v>
      </x:c>
      <x:c r="Q158" s="28" t="n">
        <x:f>COUNTIFS($A$6:$A$179,A158,$C$6:$C$179,C158)</x:f>
        <x:v>1</x:v>
      </x:c>
    </x:row>
    <x:row r="159" ht="22" customHeight="1">
      <x:c r="A159" s="15">
        <x:v>2025</x:v>
      </x:c>
      <x:c r="B159" s="1" t="s">
        <x:v>37</x:v>
      </x:c>
      <x:c r="C159" s="7" t="s">
        <x:v>38</x:v>
      </x:c>
      <x:c r="D159" s="9">
        <x:v>27</x:v>
      </x:c>
      <x:c r="E159" s="9">
        <x:v>0</x:v>
      </x:c>
      <x:c r="F159" s="9">
        <x:v>0</x:v>
      </x:c>
      <x:c r="G159" s="9">
        <x:v>0</x:v>
      </x:c>
      <x:c r="H159" s="9" t="n">
        <x:f t="shared" si="12">SUM(D159:G159)</x:f>
        <x:v>27</x:v>
      </x:c>
      <x:c r="I159" s="9" t="n">
        <x:f t="shared" si="13">SUM(E159:G159)</x:f>
        <x:v>0</x:v>
      </x:c>
      <x:c r="J159" s="11" t="n">
        <x:f>SUMIFS('By structure'!$G$6:$G$701,'By structure'!$A$6:$A$701,A159,'By structure'!$C$6:$C$701,C159)</x:f>
        <x:v>10535601</x:v>
      </x:c>
      <x:c r="K159" s="9" t="n">
        <x:f>SUMIFS('By structure'!$H$6:$H$701,'By structure'!$A$6:$A$701,A159,'By structure'!$C$6:$C$701,C159)</x:f>
        <x:v>27</x:v>
      </x:c>
      <x:c r="L159" s="13" t="n">
        <x:f t="shared" si="14">IF(H159=0,"",(H159-K159)/H159)</x:f>
        <x:v>0</x:v>
      </x:c>
      <x:c r="M159" s="1" t="s">
        <x:v>79</x:v>
      </x:c>
      <x:c r="N159" s="1" t="s">
        <x:v>82</x:v>
      </x:c>
      <x:c r="O159" s="1" t="s">
        <x:v>85</x:v>
      </x:c>
      <x:c r="P159" s="15">
        <x:v>2678</x:v>
      </x:c>
      <x:c r="Q159" s="28" t="n">
        <x:f>COUNTIFS($A$6:$A$179,A159,$C$6:$C$179,C159)</x:f>
        <x:v>1</x:v>
      </x:c>
    </x:row>
    <x:row r="160" ht="22" customHeight="1">
      <x:c r="A160" s="14">
        <x:v>2025</x:v>
      </x:c>
      <x:c r="B160" s="5" t="s">
        <x:v>39</x:v>
      </x:c>
      <x:c r="C160" s="6" t="s">
        <x:v>40</x:v>
      </x:c>
      <x:c r="D160" s="8">
        <x:v>42</x:v>
      </x:c>
      <x:c r="E160" s="8">
        <x:v>6</x:v>
      </x:c>
      <x:c r="F160" s="8">
        <x:v>0</x:v>
      </x:c>
      <x:c r="G160" s="8">
        <x:v>76</x:v>
      </x:c>
      <x:c r="H160" s="8" t="n">
        <x:f t="shared" si="12">SUM(D160:G160)</x:f>
        <x:v>124</x:v>
      </x:c>
      <x:c r="I160" s="8" t="n">
        <x:f t="shared" si="13">SUM(E160:G160)</x:f>
        <x:v>82</x:v>
      </x:c>
      <x:c r="J160" s="10" t="n">
        <x:f>SUMIFS('By structure'!$G$6:$G$701,'By structure'!$A$6:$A$701,A160,'By structure'!$C$6:$C$701,C160)</x:f>
        <x:v>29569688</x:v>
      </x:c>
      <x:c r="K160" s="8" t="n">
        <x:f>SUMIFS('By structure'!$H$6:$H$701,'By structure'!$A$6:$A$701,A160,'By structure'!$C$6:$C$701,C160)</x:f>
        <x:v>124</x:v>
      </x:c>
      <x:c r="L160" s="12" t="n">
        <x:f t="shared" si="14">IF(H160=0,"",(H160-K160)/H160)</x:f>
        <x:v>0</x:v>
      </x:c>
      <x:c r="M160" s="5" t="s">
        <x:v>79</x:v>
      </x:c>
      <x:c r="N160" s="5" t="s">
        <x:v>82</x:v>
      </x:c>
      <x:c r="O160" s="5" t="s">
        <x:v>85</x:v>
      </x:c>
      <x:c r="P160" s="14">
        <x:v>2679</x:v>
      </x:c>
      <x:c r="Q160" s="28" t="n">
        <x:f>COUNTIFS($A$6:$A$179,A160,$C$6:$C$179,C160)</x:f>
        <x:v>1</x:v>
      </x:c>
    </x:row>
    <x:row r="161" ht="22" customHeight="1">
      <x:c r="A161" s="15">
        <x:v>2025</x:v>
      </x:c>
      <x:c r="B161" s="1" t="s">
        <x:v>41</x:v>
      </x:c>
      <x:c r="C161" s="7" t="s">
        <x:v>42</x:v>
      </x:c>
      <x:c r="D161" s="9">
        <x:v>678</x:v>
      </x:c>
      <x:c r="E161" s="9">
        <x:v>0</x:v>
      </x:c>
      <x:c r="F161" s="9">
        <x:v>0</x:v>
      </x:c>
      <x:c r="G161" s="9">
        <x:v>0</x:v>
      </x:c>
      <x:c r="H161" s="9" t="n">
        <x:f t="shared" si="12">SUM(D161:G161)</x:f>
        <x:v>678</x:v>
      </x:c>
      <x:c r="I161" s="9" t="n">
        <x:f t="shared" si="13">SUM(E161:G161)</x:f>
        <x:v>0</x:v>
      </x:c>
      <x:c r="J161" s="11" t="n">
        <x:f>SUMIFS('By structure'!$G$6:$G$701,'By structure'!$A$6:$A$701,A161,'By structure'!$C$6:$C$701,C161)</x:f>
        <x:v>190390382</x:v>
      </x:c>
      <x:c r="K161" s="9" t="n">
        <x:f>SUMIFS('By structure'!$H$6:$H$701,'By structure'!$A$6:$A$701,A161,'By structure'!$C$6:$C$701,C161)</x:f>
        <x:v>678</x:v>
      </x:c>
      <x:c r="L161" s="13" t="n">
        <x:f t="shared" si="14">IF(H161=0,"",(H161-K161)/H161)</x:f>
        <x:v>0</x:v>
      </x:c>
      <x:c r="M161" s="1" t="s">
        <x:v>79</x:v>
      </x:c>
      <x:c r="N161" s="1" t="s">
        <x:v>82</x:v>
      </x:c>
      <x:c r="O161" s="1" t="s">
        <x:v>85</x:v>
      </x:c>
      <x:c r="P161" s="15">
        <x:v>2680</x:v>
      </x:c>
      <x:c r="Q161" s="28" t="n">
        <x:f>COUNTIFS($A$6:$A$179,A161,$C$6:$C$179,C161)</x:f>
        <x:v>1</x:v>
      </x:c>
    </x:row>
    <x:row r="162" ht="22" customHeight="1">
      <x:c r="A162" s="14">
        <x:v>2025</x:v>
      </x:c>
      <x:c r="B162" s="5" t="s">
        <x:v>43</x:v>
      </x:c>
      <x:c r="C162" s="6" t="s">
        <x:v>44</x:v>
      </x:c>
      <x:c r="D162" s="8">
        <x:v>71</x:v>
      </x:c>
      <x:c r="E162" s="8">
        <x:v>12</x:v>
      </x:c>
      <x:c r="F162" s="8">
        <x:v>11</x:v>
      </x:c>
      <x:c r="G162" s="8">
        <x:v>8</x:v>
      </x:c>
      <x:c r="H162" s="8" t="n">
        <x:f t="shared" si="12">SUM(D162:G162)</x:f>
        <x:v>102</x:v>
      </x:c>
      <x:c r="I162" s="8" t="n">
        <x:f t="shared" si="13">SUM(E162:G162)</x:f>
        <x:v>31</x:v>
      </x:c>
      <x:c r="J162" s="10" t="n">
        <x:f>SUMIFS('By structure'!$G$6:$G$701,'By structure'!$A$6:$A$701,A162,'By structure'!$C$6:$C$701,C162)</x:f>
        <x:v>36003263</x:v>
      </x:c>
      <x:c r="K162" s="8" t="n">
        <x:f>SUMIFS('By structure'!$H$6:$H$701,'By structure'!$A$6:$A$701,A162,'By structure'!$C$6:$C$701,C162)</x:f>
        <x:v>93</x:v>
      </x:c>
      <x:c r="L162" s="12" t="n">
        <x:f t="shared" si="14">IF(H162=0,"",(H162-K162)/H162)</x:f>
        <x:v>0.08823529411764706</x:v>
      </x:c>
      <x:c r="M162" s="5" t="s">
        <x:v>79</x:v>
      </x:c>
      <x:c r="N162" s="5" t="s">
        <x:v>82</x:v>
      </x:c>
      <x:c r="O162" s="5" t="s">
        <x:v>85</x:v>
      </x:c>
      <x:c r="P162" s="14">
        <x:v>2681</x:v>
      </x:c>
      <x:c r="Q162" s="28" t="n">
        <x:f>COUNTIFS($A$6:$A$179,A162,$C$6:$C$179,C162)</x:f>
        <x:v>1</x:v>
      </x:c>
    </x:row>
    <x:row r="163" ht="22" customHeight="1">
      <x:c r="A163" s="15">
        <x:v>2025</x:v>
      </x:c>
      <x:c r="B163" s="1" t="s">
        <x:v>45</x:v>
      </x:c>
      <x:c r="C163" s="7" t="s">
        <x:v>46</x:v>
      </x:c>
      <x:c r="D163" s="9">
        <x:v>122</x:v>
      </x:c>
      <x:c r="E163" s="9">
        <x:v>4</x:v>
      </x:c>
      <x:c r="F163" s="9">
        <x:v>4</x:v>
      </x:c>
      <x:c r="G163" s="9">
        <x:v>16</x:v>
      </x:c>
      <x:c r="H163" s="9" t="n">
        <x:f t="shared" si="12">SUM(D163:G163)</x:f>
        <x:v>146</x:v>
      </x:c>
      <x:c r="I163" s="9" t="n">
        <x:f t="shared" si="13">SUM(E163:G163)</x:f>
        <x:v>24</x:v>
      </x:c>
      <x:c r="J163" s="11" t="n">
        <x:f>SUMIFS('By structure'!$G$6:$G$701,'By structure'!$A$6:$A$701,A163,'By structure'!$C$6:$C$701,C163)</x:f>
        <x:v>50602489</x:v>
      </x:c>
      <x:c r="K163" s="9" t="n">
        <x:f>SUMIFS('By structure'!$H$6:$H$701,'By structure'!$A$6:$A$701,A163,'By structure'!$C$6:$C$701,C163)</x:f>
        <x:v>124</x:v>
      </x:c>
      <x:c r="L163" s="13" t="n">
        <x:f t="shared" si="14">IF(H163=0,"",(H163-K163)/H163)</x:f>
        <x:v>0.1506849315068493</x:v>
      </x:c>
      <x:c r="M163" s="1" t="s">
        <x:v>79</x:v>
      </x:c>
      <x:c r="N163" s="1" t="s">
        <x:v>82</x:v>
      </x:c>
      <x:c r="O163" s="1" t="s">
        <x:v>85</x:v>
      </x:c>
      <x:c r="P163" s="15">
        <x:v>2682</x:v>
      </x:c>
      <x:c r="Q163" s="28" t="n">
        <x:f>COUNTIFS($A$6:$A$179,A163,$C$6:$C$179,C163)</x:f>
        <x:v>1</x:v>
      </x:c>
    </x:row>
    <x:row r="164" ht="22" customHeight="1">
      <x:c r="A164" s="14">
        <x:v>2025</x:v>
      </x:c>
      <x:c r="B164" s="5" t="s">
        <x:v>47</x:v>
      </x:c>
      <x:c r="C164" s="6" t="s">
        <x:v>48</x:v>
      </x:c>
      <x:c r="D164" s="8">
        <x:v>67</x:v>
      </x:c>
      <x:c r="E164" s="8">
        <x:v>6</x:v>
      </x:c>
      <x:c r="F164" s="8">
        <x:v>0</x:v>
      </x:c>
      <x:c r="G164" s="8">
        <x:v>0</x:v>
      </x:c>
      <x:c r="H164" s="8" t="n">
        <x:f t="shared" si="12">SUM(D164:G164)</x:f>
        <x:v>73</x:v>
      </x:c>
      <x:c r="I164" s="8" t="n">
        <x:f t="shared" si="13">SUM(E164:G164)</x:f>
        <x:v>6</x:v>
      </x:c>
      <x:c r="J164" s="10" t="n">
        <x:f>SUMIFS('By structure'!$G$6:$G$701,'By structure'!$A$6:$A$701,A164,'By structure'!$C$6:$C$701,C164)</x:f>
        <x:v>19384153</x:v>
      </x:c>
      <x:c r="K164" s="8" t="n">
        <x:f>SUMIFS('By structure'!$H$6:$H$701,'By structure'!$A$6:$A$701,A164,'By structure'!$C$6:$C$701,C164)</x:f>
        <x:v>73</x:v>
      </x:c>
      <x:c r="L164" s="12" t="n">
        <x:f t="shared" si="14">IF(H164=0,"",(H164-K164)/H164)</x:f>
        <x:v>0</x:v>
      </x:c>
      <x:c r="M164" s="5" t="s">
        <x:v>79</x:v>
      </x:c>
      <x:c r="N164" s="5" t="s">
        <x:v>82</x:v>
      </x:c>
      <x:c r="O164" s="5" t="s">
        <x:v>85</x:v>
      </x:c>
      <x:c r="P164" s="14">
        <x:v>2683</x:v>
      </x:c>
      <x:c r="Q164" s="28" t="n">
        <x:f>COUNTIFS($A$6:$A$179,A164,$C$6:$C$179,C164)</x:f>
        <x:v>1</x:v>
      </x:c>
    </x:row>
    <x:row r="165" ht="22" customHeight="1">
      <x:c r="A165" s="15">
        <x:v>2025</x:v>
      </x:c>
      <x:c r="B165" s="1" t="s">
        <x:v>49</x:v>
      </x:c>
      <x:c r="C165" s="7" t="s">
        <x:v>50</x:v>
      </x:c>
      <x:c r="D165" s="9">
        <x:v>92</x:v>
      </x:c>
      <x:c r="E165" s="9">
        <x:v>12</x:v>
      </x:c>
      <x:c r="F165" s="9">
        <x:v>42</x:v>
      </x:c>
      <x:c r="G165" s="9">
        <x:v>46</x:v>
      </x:c>
      <x:c r="H165" s="9" t="n">
        <x:f t="shared" si="12">SUM(D165:G165)</x:f>
        <x:v>192</x:v>
      </x:c>
      <x:c r="I165" s="9" t="n">
        <x:f t="shared" si="13">SUM(E165:G165)</x:f>
        <x:v>100</x:v>
      </x:c>
      <x:c r="J165" s="11" t="n">
        <x:f>SUMIFS('By structure'!$G$6:$G$701,'By structure'!$A$6:$A$701,A165,'By structure'!$C$6:$C$701,C165)</x:f>
        <x:v>48497754</x:v>
      </x:c>
      <x:c r="K165" s="9" t="n">
        <x:f>SUMIFS('By structure'!$H$6:$H$701,'By structure'!$A$6:$A$701,A165,'By structure'!$C$6:$C$701,C165)</x:f>
        <x:v>192</x:v>
      </x:c>
      <x:c r="L165" s="13" t="n">
        <x:f t="shared" si="14">IF(H165=0,"",(H165-K165)/H165)</x:f>
        <x:v>0</x:v>
      </x:c>
      <x:c r="M165" s="1" t="s">
        <x:v>79</x:v>
      </x:c>
      <x:c r="N165" s="1" t="s">
        <x:v>82</x:v>
      </x:c>
      <x:c r="O165" s="1" t="s">
        <x:v>85</x:v>
      </x:c>
      <x:c r="P165" s="15">
        <x:v>2684</x:v>
      </x:c>
      <x:c r="Q165" s="28" t="n">
        <x:f>COUNTIFS($A$6:$A$179,A165,$C$6:$C$179,C165)</x:f>
        <x:v>1</x:v>
      </x:c>
    </x:row>
    <x:row r="166" ht="22" customHeight="1">
      <x:c r="A166" s="14">
        <x:v>2025</x:v>
      </x:c>
      <x:c r="B166" s="5" t="s">
        <x:v>51</x:v>
      </x:c>
      <x:c r="C166" s="6" t="s">
        <x:v>52</x:v>
      </x:c>
      <x:c r="D166" s="8">
        <x:v>21</x:v>
      </x:c>
      <x:c r="E166" s="8">
        <x:v>0</x:v>
      </x:c>
      <x:c r="F166" s="8">
        <x:v>0</x:v>
      </x:c>
      <x:c r="G166" s="8">
        <x:v>0</x:v>
      </x:c>
      <x:c r="H166" s="8" t="n">
        <x:f t="shared" ref="H166:H179" si="15">SUM(D166:G166)</x:f>
        <x:v>21</x:v>
      </x:c>
      <x:c r="I166" s="8" t="n">
        <x:f t="shared" ref="I166:I179" si="16">SUM(E166:G166)</x:f>
        <x:v>0</x:v>
      </x:c>
      <x:c r="J166" s="10" t="n">
        <x:f>SUMIFS('By structure'!$G$6:$G$701,'By structure'!$A$6:$A$701,A166,'By structure'!$C$6:$C$701,C166)</x:f>
        <x:v>3166800</x:v>
      </x:c>
      <x:c r="K166" s="8" t="n">
        <x:f>SUMIFS('By structure'!$H$6:$H$701,'By structure'!$A$6:$A$701,A166,'By structure'!$C$6:$C$701,C166)</x:f>
        <x:v>0</x:v>
      </x:c>
      <x:c r="L166" s="12" t="n">
        <x:f t="shared" ref="L166:L179" si="17">IF(H166=0,"",(H166-K166)/H166)</x:f>
        <x:v>1</x:v>
      </x:c>
      <x:c r="M166" s="5" t="s">
        <x:v>79</x:v>
      </x:c>
      <x:c r="N166" s="5" t="s">
        <x:v>82</x:v>
      </x:c>
      <x:c r="O166" s="5" t="s">
        <x:v>85</x:v>
      </x:c>
      <x:c r="P166" s="14">
        <x:v>2685</x:v>
      </x:c>
      <x:c r="Q166" s="28" t="n">
        <x:f>COUNTIFS($A$6:$A$179,A166,$C$6:$C$179,C166)</x:f>
        <x:v>1</x:v>
      </x:c>
    </x:row>
    <x:row r="167" ht="22" customHeight="1">
      <x:c r="A167" s="15">
        <x:v>2025</x:v>
      </x:c>
      <x:c r="B167" s="1" t="s">
        <x:v>53</x:v>
      </x:c>
      <x:c r="C167" s="7" t="s">
        <x:v>54</x:v>
      </x:c>
      <x:c r="D167" s="9">
        <x:v>62</x:v>
      </x:c>
      <x:c r="E167" s="9">
        <x:v>0</x:v>
      </x:c>
      <x:c r="F167" s="9">
        <x:v>4</x:v>
      </x:c>
      <x:c r="G167" s="9">
        <x:v>16</x:v>
      </x:c>
      <x:c r="H167" s="9" t="n">
        <x:f t="shared" si="15">SUM(D167:G167)</x:f>
        <x:v>82</x:v>
      </x:c>
      <x:c r="I167" s="9" t="n">
        <x:f t="shared" si="16">SUM(E167:G167)</x:f>
        <x:v>20</x:v>
      </x:c>
      <x:c r="J167" s="11" t="n">
        <x:f>SUMIFS('By structure'!$G$6:$G$701,'By structure'!$A$6:$A$701,A167,'By structure'!$C$6:$C$701,C167)</x:f>
        <x:v>41735352</x:v>
      </x:c>
      <x:c r="K167" s="9" t="n">
        <x:f>SUMIFS('By structure'!$H$6:$H$701,'By structure'!$A$6:$A$701,A167,'By structure'!$C$6:$C$701,C167)</x:f>
        <x:v>42</x:v>
      </x:c>
      <x:c r="L167" s="13" t="n">
        <x:f t="shared" si="17">IF(H167=0,"",(H167-K167)/H167)</x:f>
        <x:v>0.4878048780487805</x:v>
      </x:c>
      <x:c r="M167" s="1" t="s">
        <x:v>79</x:v>
      </x:c>
      <x:c r="N167" s="1" t="s">
        <x:v>82</x:v>
      </x:c>
      <x:c r="O167" s="1" t="s">
        <x:v>85</x:v>
      </x:c>
      <x:c r="P167" s="15">
        <x:v>2686</x:v>
      </x:c>
      <x:c r="Q167" s="28" t="n">
        <x:f>COUNTIFS($A$6:$A$179,A167,$C$6:$C$179,C167)</x:f>
        <x:v>1</x:v>
      </x:c>
    </x:row>
    <x:row r="168" ht="22" customHeight="1">
      <x:c r="A168" s="14">
        <x:v>2025</x:v>
      </x:c>
      <x:c r="B168" s="5" t="s">
        <x:v>55</x:v>
      </x:c>
      <x:c r="C168" s="6" t="s">
        <x:v>56</x:v>
      </x:c>
      <x:c r="D168" s="8">
        <x:v>2576</x:v>
      </x:c>
      <x:c r="E168" s="8">
        <x:v>68</x:v>
      </x:c>
      <x:c r="F168" s="8">
        <x:v>101</x:v>
      </x:c>
      <x:c r="G168" s="8">
        <x:v>4434</x:v>
      </x:c>
      <x:c r="H168" s="8" t="n">
        <x:f t="shared" si="15">SUM(D168:G168)</x:f>
        <x:v>7179</x:v>
      </x:c>
      <x:c r="I168" s="8" t="n">
        <x:f t="shared" si="16">SUM(E168:G168)</x:f>
        <x:v>4603</x:v>
      </x:c>
      <x:c r="J168" s="10" t="n">
        <x:f>SUMIFS('By structure'!$G$6:$G$701,'By structure'!$A$6:$A$701,A168,'By structure'!$C$6:$C$701,C168)</x:f>
        <x:v>1987390933</x:v>
      </x:c>
      <x:c r="K168" s="8" t="n">
        <x:f>SUMIFS('By structure'!$H$6:$H$701,'By structure'!$A$6:$A$701,A168,'By structure'!$C$6:$C$701,C168)</x:f>
        <x:v>7155</x:v>
      </x:c>
      <x:c r="L168" s="12" t="n">
        <x:f t="shared" si="17">IF(H168=0,"",(H168-K168)/H168)</x:f>
        <x:v>0.003343083994985374</x:v>
      </x:c>
      <x:c r="M168" s="5" t="s">
        <x:v>79</x:v>
      </x:c>
      <x:c r="N168" s="5" t="s">
        <x:v>82</x:v>
      </x:c>
      <x:c r="O168" s="5" t="s">
        <x:v>85</x:v>
      </x:c>
      <x:c r="P168" s="14">
        <x:v>2687</x:v>
      </x:c>
      <x:c r="Q168" s="28" t="n">
        <x:f>COUNTIFS($A$6:$A$179,A168,$C$6:$C$179,C168)</x:f>
        <x:v>1</x:v>
      </x:c>
    </x:row>
    <x:row r="169" ht="22" customHeight="1">
      <x:c r="A169" s="15">
        <x:v>2025</x:v>
      </x:c>
      <x:c r="B169" s="1" t="s">
        <x:v>57</x:v>
      </x:c>
      <x:c r="C169" s="7" t="s">
        <x:v>58</x:v>
      </x:c>
      <x:c r="D169" s="9">
        <x:v>49</x:v>
      </x:c>
      <x:c r="E169" s="9">
        <x:v>6</x:v>
      </x:c>
      <x:c r="F169" s="9">
        <x:v>0</x:v>
      </x:c>
      <x:c r="G169" s="9">
        <x:v>0</x:v>
      </x:c>
      <x:c r="H169" s="9" t="n">
        <x:f t="shared" si="15">SUM(D169:G169)</x:f>
        <x:v>55</x:v>
      </x:c>
      <x:c r="I169" s="9" t="n">
        <x:f t="shared" si="16">SUM(E169:G169)</x:f>
        <x:v>6</x:v>
      </x:c>
      <x:c r="J169" s="11" t="n">
        <x:f>SUMIFS('By structure'!$G$6:$G$701,'By structure'!$A$6:$A$701,A169,'By structure'!$C$6:$C$701,C169)</x:f>
        <x:v>19777598</x:v>
      </x:c>
      <x:c r="K169" s="9" t="n">
        <x:f>SUMIFS('By structure'!$H$6:$H$701,'By structure'!$A$6:$A$701,A169,'By structure'!$C$6:$C$701,C169)</x:f>
        <x:v>8</x:v>
      </x:c>
      <x:c r="L169" s="13" t="n">
        <x:f t="shared" si="17">IF(H169=0,"",(H169-K169)/H169)</x:f>
        <x:v>0.8545454545454545</x:v>
      </x:c>
      <x:c r="M169" s="1" t="s">
        <x:v>79</x:v>
      </x:c>
      <x:c r="N169" s="1" t="s">
        <x:v>82</x:v>
      </x:c>
      <x:c r="O169" s="1" t="s">
        <x:v>85</x:v>
      </x:c>
      <x:c r="P169" s="15">
        <x:v>2688</x:v>
      </x:c>
      <x:c r="Q169" s="28" t="n">
        <x:f>COUNTIFS($A$6:$A$179,A169,$C$6:$C$179,C169)</x:f>
        <x:v>1</x:v>
      </x:c>
    </x:row>
    <x:row r="170" ht="22" customHeight="1">
      <x:c r="A170" s="14">
        <x:v>2025</x:v>
      </x:c>
      <x:c r="B170" s="5" t="s">
        <x:v>59</x:v>
      </x:c>
      <x:c r="C170" s="6" t="s">
        <x:v>60</x:v>
      </x:c>
      <x:c r="D170" s="8">
        <x:v>190</x:v>
      </x:c>
      <x:c r="E170" s="8">
        <x:v>32</x:v>
      </x:c>
      <x:c r="F170" s="8">
        <x:v>4</x:v>
      </x:c>
      <x:c r="G170" s="8">
        <x:v>12</x:v>
      </x:c>
      <x:c r="H170" s="8" t="n">
        <x:f t="shared" si="15">SUM(D170:G170)</x:f>
        <x:v>238</x:v>
      </x:c>
      <x:c r="I170" s="8" t="n">
        <x:f t="shared" si="16">SUM(E170:G170)</x:f>
        <x:v>48</x:v>
      </x:c>
      <x:c r="J170" s="10" t="n">
        <x:f>SUMIFS('By structure'!$G$6:$G$701,'By structure'!$A$6:$A$701,A170,'By structure'!$C$6:$C$701,C170)</x:f>
        <x:v>91412427</x:v>
      </x:c>
      <x:c r="K170" s="8" t="n">
        <x:f>SUMIFS('By structure'!$H$6:$H$701,'By structure'!$A$6:$A$701,A170,'By structure'!$C$6:$C$701,C170)</x:f>
        <x:v>238</x:v>
      </x:c>
      <x:c r="L170" s="12" t="n">
        <x:f t="shared" si="17">IF(H170=0,"",(H170-K170)/H170)</x:f>
        <x:v>0</x:v>
      </x:c>
      <x:c r="M170" s="5" t="s">
        <x:v>79</x:v>
      </x:c>
      <x:c r="N170" s="5" t="s">
        <x:v>82</x:v>
      </x:c>
      <x:c r="O170" s="5" t="s">
        <x:v>85</x:v>
      </x:c>
      <x:c r="P170" s="14">
        <x:v>2689</x:v>
      </x:c>
      <x:c r="Q170" s="28" t="n">
        <x:f>COUNTIFS($A$6:$A$179,A170,$C$6:$C$179,C170)</x:f>
        <x:v>1</x:v>
      </x:c>
    </x:row>
    <x:row r="171" ht="22" customHeight="1">
      <x:c r="A171" s="15">
        <x:v>2025</x:v>
      </x:c>
      <x:c r="B171" s="1" t="s">
        <x:v>61</x:v>
      </x:c>
      <x:c r="C171" s="7" t="s">
        <x:v>62</x:v>
      </x:c>
      <x:c r="D171" s="9">
        <x:v>97</x:v>
      </x:c>
      <x:c r="E171" s="9">
        <x:v>0</x:v>
      </x:c>
      <x:c r="F171" s="9">
        <x:v>0</x:v>
      </x:c>
      <x:c r="G171" s="9">
        <x:v>0</x:v>
      </x:c>
      <x:c r="H171" s="9" t="n">
        <x:f t="shared" si="15">SUM(D171:G171)</x:f>
        <x:v>97</x:v>
      </x:c>
      <x:c r="I171" s="9" t="n">
        <x:f t="shared" si="16">SUM(E171:G171)</x:f>
        <x:v>0</x:v>
      </x:c>
      <x:c r="J171" s="11" t="n">
        <x:f>SUMIFS('By structure'!$G$6:$G$701,'By structure'!$A$6:$A$701,A171,'By structure'!$C$6:$C$701,C171)</x:f>
        <x:v>43574509</x:v>
      </x:c>
      <x:c r="K171" s="9" t="n">
        <x:f>SUMIFS('By structure'!$H$6:$H$701,'By structure'!$A$6:$A$701,A171,'By structure'!$C$6:$C$701,C171)</x:f>
        <x:v>97</x:v>
      </x:c>
      <x:c r="L171" s="13" t="n">
        <x:f t="shared" si="17">IF(H171=0,"",(H171-K171)/H171)</x:f>
        <x:v>0</x:v>
      </x:c>
      <x:c r="M171" s="1" t="s">
        <x:v>79</x:v>
      </x:c>
      <x:c r="N171" s="1" t="s">
        <x:v>82</x:v>
      </x:c>
      <x:c r="O171" s="1" t="s">
        <x:v>85</x:v>
      </x:c>
      <x:c r="P171" s="15">
        <x:v>2690</x:v>
      </x:c>
      <x:c r="Q171" s="28" t="n">
        <x:f>COUNTIFS($A$6:$A$179,A171,$C$6:$C$179,C171)</x:f>
        <x:v>1</x:v>
      </x:c>
    </x:row>
    <x:row r="172" ht="22" customHeight="1">
      <x:c r="A172" s="14">
        <x:v>2025</x:v>
      </x:c>
      <x:c r="B172" s="5" t="s">
        <x:v>63</x:v>
      </x:c>
      <x:c r="C172" s="6" t="s">
        <x:v>64</x:v>
      </x:c>
      <x:c r="D172" s="8">
        <x:v>334</x:v>
      </x:c>
      <x:c r="E172" s="8">
        <x:v>2</x:v>
      </x:c>
      <x:c r="F172" s="8">
        <x:v>8</x:v>
      </x:c>
      <x:c r="G172" s="8">
        <x:v>219</x:v>
      </x:c>
      <x:c r="H172" s="8" t="n">
        <x:f t="shared" si="15">SUM(D172:G172)</x:f>
        <x:v>563</x:v>
      </x:c>
      <x:c r="I172" s="8" t="n">
        <x:f t="shared" si="16">SUM(E172:G172)</x:f>
        <x:v>229</x:v>
      </x:c>
      <x:c r="J172" s="10" t="n">
        <x:f>SUMIFS('By structure'!$G$6:$G$701,'By structure'!$A$6:$A$701,A172,'By structure'!$C$6:$C$701,C172)</x:f>
        <x:v>403173887</x:v>
      </x:c>
      <x:c r="K172" s="8" t="n">
        <x:f>SUMIFS('By structure'!$H$6:$H$701,'By structure'!$A$6:$A$701,A172,'By structure'!$C$6:$C$701,C172)</x:f>
        <x:v>563</x:v>
      </x:c>
      <x:c r="L172" s="12" t="n">
        <x:f t="shared" si="17">IF(H172=0,"",(H172-K172)/H172)</x:f>
        <x:v>0</x:v>
      </x:c>
      <x:c r="M172" s="5" t="s">
        <x:v>79</x:v>
      </x:c>
      <x:c r="N172" s="5" t="s">
        <x:v>82</x:v>
      </x:c>
      <x:c r="O172" s="5" t="s">
        <x:v>85</x:v>
      </x:c>
      <x:c r="P172" s="14">
        <x:v>2691</x:v>
      </x:c>
      <x:c r="Q172" s="28" t="n">
        <x:f>COUNTIFS($A$6:$A$179,A172,$C$6:$C$179,C172)</x:f>
        <x:v>1</x:v>
      </x:c>
    </x:row>
    <x:row r="173" ht="22" customHeight="1">
      <x:c r="A173" s="15">
        <x:v>2025</x:v>
      </x:c>
      <x:c r="B173" s="1" t="s">
        <x:v>65</x:v>
      </x:c>
      <x:c r="C173" s="7" t="s">
        <x:v>66</x:v>
      </x:c>
      <x:c r="D173" s="9">
        <x:v>439</x:v>
      </x:c>
      <x:c r="E173" s="9">
        <x:v>8</x:v>
      </x:c>
      <x:c r="F173" s="9">
        <x:v>39</x:v>
      </x:c>
      <x:c r="G173" s="9">
        <x:v>37</x:v>
      </x:c>
      <x:c r="H173" s="9" t="n">
        <x:f t="shared" si="15">SUM(D173:G173)</x:f>
        <x:v>523</x:v>
      </x:c>
      <x:c r="I173" s="9" t="n">
        <x:f t="shared" si="16">SUM(E173:G173)</x:f>
        <x:v>84</x:v>
      </x:c>
      <x:c r="J173" s="11" t="n">
        <x:f>SUMIFS('By structure'!$G$6:$G$701,'By structure'!$A$6:$A$701,A173,'By structure'!$C$6:$C$701,C173)</x:f>
        <x:v>191457450</x:v>
      </x:c>
      <x:c r="K173" s="9" t="n">
        <x:f>SUMIFS('By structure'!$H$6:$H$701,'By structure'!$A$6:$A$701,A173,'By structure'!$C$6:$C$701,C173)</x:f>
        <x:v>516</x:v>
      </x:c>
      <x:c r="L173" s="13" t="n">
        <x:f t="shared" si="17">IF(H173=0,"",(H173-K173)/H173)</x:f>
        <x:v>0.01338432122370937</x:v>
      </x:c>
      <x:c r="M173" s="1" t="s">
        <x:v>79</x:v>
      </x:c>
      <x:c r="N173" s="1" t="s">
        <x:v>82</x:v>
      </x:c>
      <x:c r="O173" s="1" t="s">
        <x:v>85</x:v>
      </x:c>
      <x:c r="P173" s="15">
        <x:v>2692</x:v>
      </x:c>
      <x:c r="Q173" s="28" t="n">
        <x:f>COUNTIFS($A$6:$A$179,A173,$C$6:$C$179,C173)</x:f>
        <x:v>1</x:v>
      </x:c>
    </x:row>
    <x:row r="174" ht="22" customHeight="1">
      <x:c r="A174" s="14">
        <x:v>2025</x:v>
      </x:c>
      <x:c r="B174" s="5" t="s">
        <x:v>67</x:v>
      </x:c>
      <x:c r="C174" s="6" t="s">
        <x:v>68</x:v>
      </x:c>
      <x:c r="D174" s="8">
        <x:v>98</x:v>
      </x:c>
      <x:c r="E174" s="8">
        <x:v>0</x:v>
      </x:c>
      <x:c r="F174" s="8">
        <x:v>4</x:v>
      </x:c>
      <x:c r="G174" s="8">
        <x:v>68</x:v>
      </x:c>
      <x:c r="H174" s="8" t="n">
        <x:f t="shared" si="15">SUM(D174:G174)</x:f>
        <x:v>170</x:v>
      </x:c>
      <x:c r="I174" s="8" t="n">
        <x:f t="shared" si="16">SUM(E174:G174)</x:f>
        <x:v>72</x:v>
      </x:c>
      <x:c r="J174" s="10" t="n">
        <x:f>SUMIFS('By structure'!$G$6:$G$701,'By structure'!$A$6:$A$701,A174,'By structure'!$C$6:$C$701,C174)</x:f>
        <x:v>48165851</x:v>
      </x:c>
      <x:c r="K174" s="8" t="n">
        <x:f>SUMIFS('By structure'!$H$6:$H$701,'By structure'!$A$6:$A$701,A174,'By structure'!$C$6:$C$701,C174)</x:f>
        <x:v>170</x:v>
      </x:c>
      <x:c r="L174" s="12" t="n">
        <x:f t="shared" si="17">IF(H174=0,"",(H174-K174)/H174)</x:f>
        <x:v>0</x:v>
      </x:c>
      <x:c r="M174" s="5" t="s">
        <x:v>79</x:v>
      </x:c>
      <x:c r="N174" s="5" t="s">
        <x:v>82</x:v>
      </x:c>
      <x:c r="O174" s="5" t="s">
        <x:v>85</x:v>
      </x:c>
      <x:c r="P174" s="14">
        <x:v>2693</x:v>
      </x:c>
      <x:c r="Q174" s="28" t="n">
        <x:f>COUNTIFS($A$6:$A$179,A174,$C$6:$C$179,C174)</x:f>
        <x:v>1</x:v>
      </x:c>
    </x:row>
    <x:row r="175" ht="22" customHeight="1">
      <x:c r="A175" s="15" t="n">
        <x:v>2025</x:v>
      </x:c>
      <x:c r="B175" s="1" t="s">
        <x:v>69</x:v>
      </x:c>
      <x:c r="C175" s="7" t="s">
        <x:v>70</x:v>
      </x:c>
      <x:c r="D175" s="9" t="n">
        <x:v>5324</x:v>
      </x:c>
      <x:c r="E175" s="9">
        <x:v>22</x:v>
      </x:c>
      <x:c r="F175" s="9">
        <x:v>169</x:v>
      </x:c>
      <x:c r="G175" s="9">
        <x:v>1687</x:v>
      </x:c>
      <x:c r="H175" s="9" t="n">
        <x:f t="shared" si="15">SUM(D175:G175)</x:f>
        <x:v>7202</x:v>
      </x:c>
      <x:c r="I175" s="9" t="n">
        <x:f t="shared" si="16">SUM(E175:G175)</x:f>
        <x:v>1878</x:v>
      </x:c>
      <x:c r="J175" s="11" t="n">
        <x:f>SUMIFS('By structure'!$G$6:$G$701,'By structure'!$A$6:$A$701,A175,'By structure'!$C$6:$C$701,C175)</x:f>
        <x:v>2102511859</x:v>
      </x:c>
      <x:c r="K175" s="9" t="n">
        <x:f>SUMIFS('By structure'!$H$6:$H$701,'By structure'!$A$6:$A$701,A175,'By structure'!$C$6:$C$701,C175)</x:f>
        <x:v>7172</x:v>
      </x:c>
      <x:c r="L175" s="13" t="n">
        <x:f t="shared" si="17">IF(H175=0,"",(H175-K175)/H175)</x:f>
        <x:v>0.004165509580672035</x:v>
      </x:c>
      <x:c r="M175" s="1" t="s">
        <x:v>79</x:v>
      </x:c>
      <x:c r="N175" s="1" t="s">
        <x:v>82</x:v>
      </x:c>
      <x:c r="O175" s="1" t="s">
        <x:v>85</x:v>
      </x:c>
      <x:c r="P175" s="15">
        <x:v>2694</x:v>
      </x:c>
      <x:c r="Q175" s="28" t="n">
        <x:f>COUNTIFS($A$6:$A$179,A175,$C$6:$C$179,C175)</x:f>
        <x:v>1</x:v>
      </x:c>
    </x:row>
    <x:row r="176" ht="22" customHeight="1">
      <x:c r="A176" s="14">
        <x:v>2025</x:v>
      </x:c>
      <x:c r="B176" s="5" t="s">
        <x:v>71</x:v>
      </x:c>
      <x:c r="C176" s="6" t="s">
        <x:v>72</x:v>
      </x:c>
      <x:c r="D176" s="8">
        <x:v>786</x:v>
      </x:c>
      <x:c r="E176" s="8">
        <x:v>0</x:v>
      </x:c>
      <x:c r="F176" s="8">
        <x:v>0</x:v>
      </x:c>
      <x:c r="G176" s="8">
        <x:v>342</x:v>
      </x:c>
      <x:c r="H176" s="8" t="n">
        <x:f t="shared" si="15">SUM(D176:G176)</x:f>
        <x:v>1128</x:v>
      </x:c>
      <x:c r="I176" s="8" t="n">
        <x:f t="shared" si="16">SUM(E176:G176)</x:f>
        <x:v>342</x:v>
      </x:c>
      <x:c r="J176" s="10" t="n">
        <x:f>SUMIFS('By structure'!$G$6:$G$701,'By structure'!$A$6:$A$701,A176,'By structure'!$C$6:$C$701,C176)</x:f>
        <x:v>790999430</x:v>
      </x:c>
      <x:c r="K176" s="8" t="n">
        <x:f>SUMIFS('By structure'!$H$6:$H$701,'By structure'!$A$6:$A$701,A176,'By structure'!$C$6:$C$701,C176)</x:f>
        <x:v>1100</x:v>
      </x:c>
      <x:c r="L176" s="12" t="n">
        <x:f t="shared" si="17">IF(H176=0,"",(H176-K176)/H176)</x:f>
        <x:v>0.024822695035460994</x:v>
      </x:c>
      <x:c r="M176" s="5" t="s">
        <x:v>79</x:v>
      </x:c>
      <x:c r="N176" s="5" t="s">
        <x:v>82</x:v>
      </x:c>
      <x:c r="O176" s="5" t="s">
        <x:v>85</x:v>
      </x:c>
      <x:c r="P176" s="14">
        <x:v>2695</x:v>
      </x:c>
      <x:c r="Q176" s="28" t="n">
        <x:f>COUNTIFS($A$6:$A$179,A176,$C$6:$C$179,C176)</x:f>
        <x:v>1</x:v>
      </x:c>
    </x:row>
    <x:row r="177" ht="22" customHeight="1">
      <x:c r="A177" s="15">
        <x:v>2025</x:v>
      </x:c>
      <x:c r="B177" s="1" t="s">
        <x:v>73</x:v>
      </x:c>
      <x:c r="C177" s="7" t="s">
        <x:v>74</x:v>
      </x:c>
      <x:c r="D177" s="9">
        <x:v>2497</x:v>
      </x:c>
      <x:c r="E177" s="9">
        <x:v>10</x:v>
      </x:c>
      <x:c r="F177" s="9">
        <x:v>24</x:v>
      </x:c>
      <x:c r="G177" s="9">
        <x:v>326</x:v>
      </x:c>
      <x:c r="H177" s="9" t="n">
        <x:f t="shared" si="15">SUM(D177:G177)</x:f>
        <x:v>2857</x:v>
      </x:c>
      <x:c r="I177" s="9" t="n">
        <x:f t="shared" si="16">SUM(E177:G177)</x:f>
        <x:v>360</x:v>
      </x:c>
      <x:c r="J177" s="11" t="n">
        <x:f>SUMIFS('By structure'!$G$6:$G$701,'By structure'!$A$6:$A$701,A177,'By structure'!$C$6:$C$701,C177)</x:f>
        <x:v>656018061</x:v>
      </x:c>
      <x:c r="K177" s="9" t="n">
        <x:f>SUMIFS('By structure'!$H$6:$H$701,'By structure'!$A$6:$A$701,A177,'By structure'!$C$6:$C$701,C177)</x:f>
        <x:v>2835</x:v>
      </x:c>
      <x:c r="L177" s="13" t="n">
        <x:f t="shared" si="17">IF(H177=0,"",(H177-K177)/H177)</x:f>
        <x:v>0.0077003850192509625</x:v>
      </x:c>
      <x:c r="M177" s="1" t="s">
        <x:v>79</x:v>
      </x:c>
      <x:c r="N177" s="1" t="s">
        <x:v>82</x:v>
      </x:c>
      <x:c r="O177" s="1" t="s">
        <x:v>85</x:v>
      </x:c>
      <x:c r="P177" s="15">
        <x:v>2696</x:v>
      </x:c>
      <x:c r="Q177" s="28" t="n">
        <x:f>COUNTIFS($A$6:$A$179,A177,$C$6:$C$179,C177)</x:f>
        <x:v>1</x:v>
      </x:c>
    </x:row>
    <x:row r="178" ht="22" customHeight="1">
      <x:c r="A178" s="14">
        <x:v>2025</x:v>
      </x:c>
      <x:c r="B178" s="5" t="s">
        <x:v>75</x:v>
      </x:c>
      <x:c r="C178" s="6" t="s">
        <x:v>76</x:v>
      </x:c>
      <x:c r="D178" s="8">
        <x:v>29</x:v>
      </x:c>
      <x:c r="E178" s="8">
        <x:v>0</x:v>
      </x:c>
      <x:c r="F178" s="8">
        <x:v>0</x:v>
      </x:c>
      <x:c r="G178" s="8">
        <x:v>0</x:v>
      </x:c>
      <x:c r="H178" s="8" t="n">
        <x:f t="shared" si="15">SUM(D178:G178)</x:f>
        <x:v>29</x:v>
      </x:c>
      <x:c r="I178" s="8" t="n">
        <x:f t="shared" si="16">SUM(E178:G178)</x:f>
        <x:v>0</x:v>
      </x:c>
      <x:c r="J178" s="10" t="n">
        <x:f>SUMIFS('By structure'!$G$6:$G$701,'By structure'!$A$6:$A$701,A178,'By structure'!$C$6:$C$701,C178)</x:f>
        <x:v>10893780</x:v>
      </x:c>
      <x:c r="K178" s="8" t="n">
        <x:f>SUMIFS('By structure'!$H$6:$H$701,'By structure'!$A$6:$A$701,A178,'By structure'!$C$6:$C$701,C178)</x:f>
        <x:v>29</x:v>
      </x:c>
      <x:c r="L178" s="12" t="n">
        <x:f t="shared" si="17">IF(H178=0,"",(H178-K178)/H178)</x:f>
        <x:v>0</x:v>
      </x:c>
      <x:c r="M178" s="5" t="s">
        <x:v>79</x:v>
      </x:c>
      <x:c r="N178" s="5" t="s">
        <x:v>82</x:v>
      </x:c>
      <x:c r="O178" s="5" t="s">
        <x:v>85</x:v>
      </x:c>
      <x:c r="P178" s="14">
        <x:v>2697</x:v>
      </x:c>
      <x:c r="Q178" s="28" t="n">
        <x:f>COUNTIFS($A$6:$A$179,A178,$C$6:$C$179,C178)</x:f>
        <x:v>1</x:v>
      </x:c>
    </x:row>
    <x:row r="179" ht="22" customHeight="1">
      <x:c r="A179" s="15">
        <x:v>2025</x:v>
      </x:c>
      <x:c r="B179" s="1" t="s">
        <x:v>77</x:v>
      </x:c>
      <x:c r="C179" s="7" t="s">
        <x:v>78</x:v>
      </x:c>
      <x:c r="D179" s="9">
        <x:v>813</x:v>
      </x:c>
      <x:c r="E179" s="9">
        <x:v>6</x:v>
      </x:c>
      <x:c r="F179" s="9">
        <x:v>57</x:v>
      </x:c>
      <x:c r="G179" s="9">
        <x:v>614</x:v>
      </x:c>
      <x:c r="H179" s="9" t="n">
        <x:f t="shared" si="15">SUM(D179:G179)</x:f>
        <x:v>1490</x:v>
      </x:c>
      <x:c r="I179" s="9" t="n">
        <x:f t="shared" si="16">SUM(E179:G179)</x:f>
        <x:v>677</x:v>
      </x:c>
      <x:c r="J179" s="11" t="n">
        <x:f>SUMIFS('By structure'!$G$6:$G$701,'By structure'!$A$6:$A$701,A179,'By structure'!$C$6:$C$701,C179)</x:f>
        <x:v>442546376</x:v>
      </x:c>
      <x:c r="K179" s="9" t="n">
        <x:f>SUMIFS('By structure'!$H$6:$H$701,'By structure'!$A$6:$A$701,A179,'By structure'!$C$6:$C$701,C179)</x:f>
        <x:v>845</x:v>
      </x:c>
      <x:c r="L179" s="13" t="n">
        <x:f t="shared" si="17">IF(H179=0,"",(H179-K179)/H179)</x:f>
        <x:v>0.43288590604026844</x:v>
      </x:c>
      <x:c r="M179" s="1" t="s">
        <x:v>79</x:v>
      </x:c>
      <x:c r="N179" s="1" t="s">
        <x:v>82</x:v>
      </x:c>
      <x:c r="O179" s="1" t="s">
        <x:v>85</x:v>
      </x:c>
      <x:c r="P179" s="15">
        <x:v>2698</x:v>
      </x:c>
      <x:c r="Q179" s="28" t="n">
        <x:f>COUNTIFS($A$6:$A$179,A179,$C$6:$C$179,C179)</x:f>
        <x:v>1</x:v>
      </x:c>
    </x:row>
  </x:sheetData>
  <x:conditionalFormatting sqref="Q6:Q179">
    <x:cfRule type="cellIs" dxfId="0" priority="1" operator="not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a6954e23cb4e48"/>
  </x:tableParts>
</x:worksheet>
</file>

<file path=xl/worksheets/sheet3.xml><?xml version="1.0" encoding="utf-8"?>
<x:worksheet xmlns:x="http://schemas.openxmlformats.org/spreadsheetml/2006/main">
  <x:sheetPr>
    <x:tabColor rgb="FF087E8B"/>
  </x:sheetPr>
  <x:sheetViews>
    <x:sheetView showGridLines="0" workbookViewId="0">
      <x:pane xSplit="3" ySplit="5" topLeftCell="D6" activePane="bottomRight" state="frozen"/>
    </x:sheetView>
  </x:sheetViews>
  <x:sheetFormatPr defaultRowHeight="14.5"/>
  <x:cols>
    <x:col min="1" max="1" width="8" customWidth="1"/>
    <x:col min="2" max="2" width="19.453125" customWidth="1"/>
    <x:col min="3" max="3" width="11.6328125" customWidth="1"/>
    <x:col min="4" max="4" width="14" customWidth="1"/>
    <x:col min="5" max="5" width="13.453125" customWidth="1"/>
    <x:col min="6" max="6" width="12.7265625" customWidth="1"/>
    <x:col min="7" max="7" width="18.453125" customWidth="1"/>
    <x:col min="8" max="8" width="14" customWidth="1"/>
    <x:col min="9" max="9" width="14.453125" customWidth="1"/>
    <x:col min="10" max="10" width="19.453125" customWidth="1"/>
    <x:col min="11" max="11" width="17.26953125" customWidth="1"/>
    <x:col min="12" max="12" width="11.26953125" customWidth="1"/>
  </x:cols>
  <x:sheetData>
    <x:row r="1" ht="30" customHeight="1">
      <x:c r="A1" s="2" t="s">
        <x:v>86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2" customHeight="1">
      <x:c r="A2" s="3" t="s">
        <x:v>87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2" customHeight="1">
      <x:c r="A5" s="4" t="s">
        <x:v>2</x:v>
      </x:c>
      <x:c r="B5" s="4" t="s">
        <x:v>3</x:v>
      </x:c>
      <x:c r="C5" s="4" t="s">
        <x:v>4</x:v>
      </x:c>
      <x:c r="D5" s="4" t="s">
        <x:v>88</x:v>
      </x:c>
      <x:c r="E5" s="4" t="s">
        <x:v>89</x:v>
      </x:c>
      <x:c r="F5" s="4" t="s">
        <x:v>90</x:v>
      </x:c>
      <x:c r="G5" s="4" t="s">
        <x:v>91</x:v>
      </x:c>
      <x:c r="H5" s="4" t="s">
        <x:v>12</x:v>
      </x:c>
      <x:c r="I5" s="4" t="s">
        <x:v>92</x:v>
      </x:c>
      <x:c r="J5" s="4" t="s">
        <x:v>93</x:v>
      </x:c>
      <x:c r="K5" s="4" t="s">
        <x:v>16</x:v>
      </x:c>
      <x:c r="L5" s="4" t="s">
        <x:v>17</x:v>
      </x:c>
    </x:row>
    <x:row r="6" ht="22" customHeight="1">
      <x:c r="A6" s="5">
        <x:v>2020</x:v>
      </x:c>
      <x:c r="B6" s="5" t="s">
        <x:v>18</x:v>
      </x:c>
      <x:c r="C6" s="6" t="s">
        <x:v>19</x:v>
      </x:c>
      <x:c r="D6" s="5" t="s">
        <x:v>94</x:v>
      </x:c>
      <x:c r="E6" s="8">
        <x:v>38</x:v>
      </x:c>
      <x:c r="F6" s="8">
        <x:v>38</x:v>
      </x:c>
      <x:c r="G6" s="10">
        <x:v>11007562</x:v>
      </x:c>
      <x:c r="H6" s="8">
        <x:v>38</x:v>
      </x:c>
      <x:c r="I6" s="8">
        <x:v>38</x:v>
      </x:c>
      <x:c r="J6" s="10">
        <x:v>11007562</x:v>
      </x:c>
      <x:c r="K6" s="5" t="s">
        <x:v>22</x:v>
      </x:c>
      <x:c r="L6" s="5">
        <x:v>2675</x:v>
      </x:c>
    </x:row>
    <x:row r="7" ht="22" customHeight="1">
      <x:c r="A7" s="1">
        <x:v>2020</x:v>
      </x:c>
      <x:c r="B7" s="1" t="s">
        <x:v>18</x:v>
      </x:c>
      <x:c r="C7" s="7" t="s">
        <x:v>19</x:v>
      </x:c>
      <x:c r="D7" s="1" t="s">
        <x:v>95</x:v>
      </x:c>
      <x:c r="E7" s="9">
        <x:v>0</x:v>
      </x:c>
      <x:c r="F7" s="9">
        <x:v>0</x:v>
      </x:c>
      <x:c r="G7" s="11">
        <x:v>0</x:v>
      </x:c>
      <x:c r="H7" s="9">
        <x:v>0</x:v>
      </x:c>
      <x:c r="I7" s="9">
        <x:v>0</x:v>
      </x:c>
      <x:c r="J7" s="11">
        <x:v>0</x:v>
      </x:c>
      <x:c r="K7" s="1" t="s">
        <x:v>22</x:v>
      </x:c>
      <x:c r="L7" s="1">
        <x:v>2675</x:v>
      </x:c>
    </x:row>
    <x:row r="8" ht="22" customHeight="1">
      <x:c r="A8" s="5">
        <x:v>2020</x:v>
      </x:c>
      <x:c r="B8" s="5" t="s">
        <x:v>18</x:v>
      </x:c>
      <x:c r="C8" s="6" t="s">
        <x:v>19</x:v>
      </x:c>
      <x:c r="D8" s="5" t="s">
        <x:v>96</x:v>
      </x:c>
      <x:c r="E8" s="8">
        <x:v>1</x:v>
      </x:c>
      <x:c r="F8" s="8">
        <x:v>4</x:v>
      </x:c>
      <x:c r="G8" s="10">
        <x:v>806985</x:v>
      </x:c>
      <x:c r="H8" s="8">
        <x:v>4</x:v>
      </x:c>
      <x:c r="I8" s="8">
        <x:v>1</x:v>
      </x:c>
      <x:c r="J8" s="10">
        <x:v>806985</x:v>
      </x:c>
      <x:c r="K8" s="5" t="s">
        <x:v>22</x:v>
      </x:c>
      <x:c r="L8" s="5">
        <x:v>2675</x:v>
      </x:c>
    </x:row>
    <x:row r="9" ht="22" customHeight="1">
      <x:c r="A9" s="1">
        <x:v>2020</x:v>
      </x:c>
      <x:c r="B9" s="1" t="s">
        <x:v>18</x:v>
      </x:c>
      <x:c r="C9" s="7" t="s">
        <x:v>19</x:v>
      </x:c>
      <x:c r="D9" s="1" t="s">
        <x:v>97</x:v>
      </x:c>
      <x:c r="E9" s="9">
        <x:v>0</x:v>
      </x:c>
      <x:c r="F9" s="9">
        <x:v>0</x:v>
      </x:c>
      <x:c r="G9" s="11">
        <x:v>0</x:v>
      </x:c>
      <x:c r="H9" s="9">
        <x:v>0</x:v>
      </x:c>
      <x:c r="I9" s="9">
        <x:v>0</x:v>
      </x:c>
      <x:c r="J9" s="11">
        <x:v>0</x:v>
      </x:c>
      <x:c r="K9" s="1" t="s">
        <x:v>22</x:v>
      </x:c>
      <x:c r="L9" s="1">
        <x:v>2675</x:v>
      </x:c>
    </x:row>
    <x:row r="10" ht="22" customHeight="1">
      <x:c r="A10" s="5">
        <x:v>2020</x:v>
      </x:c>
      <x:c r="B10" s="5" t="s">
        <x:v>23</x:v>
      </x:c>
      <x:c r="C10" s="6" t="s">
        <x:v>24</x:v>
      </x:c>
      <x:c r="D10" s="5" t="s">
        <x:v>94</x:v>
      </x:c>
      <x:c r="E10" s="8">
        <x:v>381</x:v>
      </x:c>
      <x:c r="F10" s="8">
        <x:v>381</x:v>
      </x:c>
      <x:c r="G10" s="10">
        <x:v>81497548</x:v>
      </x:c>
      <x:c r="H10" s="8">
        <x:v>236</x:v>
      </x:c>
      <x:c r="I10" s="8">
        <x:v>236</x:v>
      </x:c>
      <x:c r="J10" s="10">
        <x:v>46344986</x:v>
      </x:c>
      <x:c r="K10" s="5" t="s">
        <x:v>22</x:v>
      </x:c>
      <x:c r="L10" s="5">
        <x:v>2676</x:v>
      </x:c>
    </x:row>
    <x:row r="11" ht="22" customHeight="1">
      <x:c r="A11" s="1">
        <x:v>2020</x:v>
      </x:c>
      <x:c r="B11" s="1" t="s">
        <x:v>23</x:v>
      </x:c>
      <x:c r="C11" s="7" t="s">
        <x:v>24</x:v>
      </x:c>
      <x:c r="D11" s="1" t="s">
        <x:v>95</x:v>
      </x:c>
      <x:c r="E11" s="9">
        <x:v>2</x:v>
      </x:c>
      <x:c r="F11" s="9">
        <x:v>4</x:v>
      </x:c>
      <x:c r="G11" s="11">
        <x:v>318718</x:v>
      </x:c>
      <x:c r="H11" s="9">
        <x:v>4</x:v>
      </x:c>
      <x:c r="I11" s="9">
        <x:v>2</x:v>
      </x:c>
      <x:c r="J11" s="11">
        <x:v>318718</x:v>
      </x:c>
      <x:c r="K11" s="1" t="s">
        <x:v>22</x:v>
      </x:c>
      <x:c r="L11" s="1">
        <x:v>2676</x:v>
      </x:c>
    </x:row>
    <x:row r="12" ht="22" customHeight="1">
      <x:c r="A12" s="5">
        <x:v>2020</x:v>
      </x:c>
      <x:c r="B12" s="5" t="s">
        <x:v>23</x:v>
      </x:c>
      <x:c r="C12" s="6" t="s">
        <x:v>24</x:v>
      </x:c>
      <x:c r="D12" s="5" t="s">
        <x:v>96</x:v>
      </x:c>
      <x:c r="E12" s="8">
        <x:v>15</x:v>
      </x:c>
      <x:c r="F12" s="8">
        <x:v>60</x:v>
      </x:c>
      <x:c r="G12" s="10">
        <x:v>2534906</x:v>
      </x:c>
      <x:c r="H12" s="8">
        <x:v>56</x:v>
      </x:c>
      <x:c r="I12" s="8">
        <x:v>14</x:v>
      </x:c>
      <x:c r="J12" s="10">
        <x:v>2072393</x:v>
      </x:c>
      <x:c r="K12" s="5" t="s">
        <x:v>22</x:v>
      </x:c>
      <x:c r="L12" s="5">
        <x:v>2676</x:v>
      </x:c>
    </x:row>
    <x:row r="13" ht="22" customHeight="1">
      <x:c r="A13" s="1">
        <x:v>2020</x:v>
      </x:c>
      <x:c r="B13" s="1" t="s">
        <x:v>23</x:v>
      </x:c>
      <x:c r="C13" s="7" t="s">
        <x:v>24</x:v>
      </x:c>
      <x:c r="D13" s="1" t="s">
        <x:v>97</x:v>
      </x:c>
      <x:c r="E13" s="9">
        <x:v>14</x:v>
      </x:c>
      <x:c r="F13" s="9">
        <x:v>88</x:v>
      </x:c>
      <x:c r="G13" s="11">
        <x:v>8363088</x:v>
      </x:c>
      <x:c r="H13" s="9">
        <x:v>88</x:v>
      </x:c>
      <x:c r="I13" s="9">
        <x:v>14</x:v>
      </x:c>
      <x:c r="J13" s="11">
        <x:v>8363088</x:v>
      </x:c>
      <x:c r="K13" s="1" t="s">
        <x:v>22</x:v>
      </x:c>
      <x:c r="L13" s="1">
        <x:v>2676</x:v>
      </x:c>
    </x:row>
    <x:row r="14" ht="22" customHeight="1">
      <x:c r="A14" s="5">
        <x:v>2020</x:v>
      </x:c>
      <x:c r="B14" s="5" t="s">
        <x:v>25</x:v>
      </x:c>
      <x:c r="C14" s="6" t="s">
        <x:v>26</x:v>
      </x:c>
      <x:c r="D14" s="5" t="s">
        <x:v>94</x:v>
      </x:c>
      <x:c r="E14" s="8">
        <x:v>987</x:v>
      </x:c>
      <x:c r="F14" s="8">
        <x:v>987</x:v>
      </x:c>
      <x:c r="G14" s="10">
        <x:v>259620189</x:v>
      </x:c>
      <x:c r="H14" s="8">
        <x:v>987</x:v>
      </x:c>
      <x:c r="I14" s="8">
        <x:v>987</x:v>
      </x:c>
      <x:c r="J14" s="10">
        <x:v>259620189</x:v>
      </x:c>
      <x:c r="K14" s="5" t="s">
        <x:v>22</x:v>
      </x:c>
      <x:c r="L14" s="5">
        <x:v>2677</x:v>
      </x:c>
    </x:row>
    <x:row r="15" ht="22" customHeight="1">
      <x:c r="A15" s="1">
        <x:v>2020</x:v>
      </x:c>
      <x:c r="B15" s="1" t="s">
        <x:v>25</x:v>
      </x:c>
      <x:c r="C15" s="7" t="s">
        <x:v>26</x:v>
      </x:c>
      <x:c r="D15" s="1" t="s">
        <x:v>95</x:v>
      </x:c>
      <x:c r="E15" s="9">
        <x:v>3</x:v>
      </x:c>
      <x:c r="F15" s="9">
        <x:v>6</x:v>
      </x:c>
      <x:c r="G15" s="11">
        <x:v>1382564</x:v>
      </x:c>
      <x:c r="H15" s="9">
        <x:v>6</x:v>
      </x:c>
      <x:c r="I15" s="9">
        <x:v>3</x:v>
      </x:c>
      <x:c r="J15" s="11">
        <x:v>1382564</x:v>
      </x:c>
      <x:c r="K15" s="1" t="s">
        <x:v>22</x:v>
      </x:c>
      <x:c r="L15" s="1">
        <x:v>2677</x:v>
      </x:c>
    </x:row>
    <x:row r="16" ht="22" customHeight="1">
      <x:c r="A16" s="5">
        <x:v>2020</x:v>
      </x:c>
      <x:c r="B16" s="5" t="s">
        <x:v>25</x:v>
      </x:c>
      <x:c r="C16" s="6" t="s">
        <x:v>26</x:v>
      </x:c>
      <x:c r="D16" s="5" t="s">
        <x:v>96</x:v>
      </x:c>
      <x:c r="E16" s="8">
        <x:v>10</x:v>
      </x:c>
      <x:c r="F16" s="8">
        <x:v>31</x:v>
      </x:c>
      <x:c r="G16" s="10">
        <x:v>5254435</x:v>
      </x:c>
      <x:c r="H16" s="8">
        <x:v>31</x:v>
      </x:c>
      <x:c r="I16" s="8">
        <x:v>10</x:v>
      </x:c>
      <x:c r="J16" s="10">
        <x:v>5254435</x:v>
      </x:c>
      <x:c r="K16" s="5" t="s">
        <x:v>22</x:v>
      </x:c>
      <x:c r="L16" s="5">
        <x:v>2677</x:v>
      </x:c>
    </x:row>
    <x:row r="17" ht="22" customHeight="1">
      <x:c r="A17" s="1">
        <x:v>2020</x:v>
      </x:c>
      <x:c r="B17" s="1" t="s">
        <x:v>25</x:v>
      </x:c>
      <x:c r="C17" s="7" t="s">
        <x:v>26</x:v>
      </x:c>
      <x:c r="D17" s="1" t="s">
        <x:v>97</x:v>
      </x:c>
      <x:c r="E17" s="9">
        <x:v>30</x:v>
      </x:c>
      <x:c r="F17" s="9">
        <x:v>586</x:v>
      </x:c>
      <x:c r="G17" s="11">
        <x:v>55271118</x:v>
      </x:c>
      <x:c r="H17" s="9">
        <x:v>586</x:v>
      </x:c>
      <x:c r="I17" s="9">
        <x:v>30</x:v>
      </x:c>
      <x:c r="J17" s="11">
        <x:v>55271118</x:v>
      </x:c>
      <x:c r="K17" s="1" t="s">
        <x:v>22</x:v>
      </x:c>
      <x:c r="L17" s="1">
        <x:v>2677</x:v>
      </x:c>
    </x:row>
    <x:row r="18" ht="22" customHeight="1">
      <x:c r="A18" s="5">
        <x:v>2020</x:v>
      </x:c>
      <x:c r="B18" s="5" t="s">
        <x:v>27</x:v>
      </x:c>
      <x:c r="C18" s="6" t="s">
        <x:v>28</x:v>
      </x:c>
      <x:c r="D18" s="5" t="s">
        <x:v>94</x:v>
      </x:c>
      <x:c r="E18" s="8">
        <x:v>21</x:v>
      </x:c>
      <x:c r="F18" s="8">
        <x:v>21</x:v>
      </x:c>
      <x:c r="G18" s="10">
        <x:v>6682438</x:v>
      </x:c>
      <x:c r="H18" s="8">
        <x:v>21</x:v>
      </x:c>
      <x:c r="I18" s="8">
        <x:v>21</x:v>
      </x:c>
      <x:c r="J18" s="10">
        <x:v>6682438</x:v>
      </x:c>
      <x:c r="K18" s="5" t="s">
        <x:v>22</x:v>
      </x:c>
      <x:c r="L18" s="5">
        <x:v>2678</x:v>
      </x:c>
    </x:row>
    <x:row r="19" ht="22" customHeight="1">
      <x:c r="A19" s="1">
        <x:v>2020</x:v>
      </x:c>
      <x:c r="B19" s="1" t="s">
        <x:v>27</x:v>
      </x:c>
      <x:c r="C19" s="7" t="s">
        <x:v>28</x:v>
      </x:c>
      <x:c r="D19" s="1" t="s">
        <x:v>95</x:v>
      </x:c>
      <x:c r="E19" s="9">
        <x:v>1</x:v>
      </x:c>
      <x:c r="F19" s="9">
        <x:v>2</x:v>
      </x:c>
      <x:c r="G19" s="11">
        <x:v>135000</x:v>
      </x:c>
      <x:c r="H19" s="9">
        <x:v>2</x:v>
      </x:c>
      <x:c r="I19" s="9">
        <x:v>1</x:v>
      </x:c>
      <x:c r="J19" s="11">
        <x:v>135000</x:v>
      </x:c>
      <x:c r="K19" s="1" t="s">
        <x:v>22</x:v>
      </x:c>
      <x:c r="L19" s="1">
        <x:v>2678</x:v>
      </x:c>
    </x:row>
    <x:row r="20" ht="22" customHeight="1">
      <x:c r="A20" s="5">
        <x:v>2020</x:v>
      </x:c>
      <x:c r="B20" s="5" t="s">
        <x:v>27</x:v>
      </x:c>
      <x:c r="C20" s="6" t="s">
        <x:v>28</x:v>
      </x:c>
      <x:c r="D20" s="5" t="s">
        <x:v>96</x:v>
      </x:c>
      <x:c r="E20" s="8">
        <x:v>0</x:v>
      </x:c>
      <x:c r="F20" s="8">
        <x:v>0</x:v>
      </x:c>
      <x:c r="G20" s="10">
        <x:v>0</x:v>
      </x:c>
      <x:c r="H20" s="8">
        <x:v>0</x:v>
      </x:c>
      <x:c r="I20" s="8">
        <x:v>0</x:v>
      </x:c>
      <x:c r="J20" s="10">
        <x:v>0</x:v>
      </x:c>
      <x:c r="K20" s="5" t="s">
        <x:v>22</x:v>
      </x:c>
      <x:c r="L20" s="5">
        <x:v>2678</x:v>
      </x:c>
    </x:row>
    <x:row r="21" ht="22" customHeight="1">
      <x:c r="A21" s="1">
        <x:v>2020</x:v>
      </x:c>
      <x:c r="B21" s="1" t="s">
        <x:v>27</x:v>
      </x:c>
      <x:c r="C21" s="7" t="s">
        <x:v>28</x:v>
      </x:c>
      <x:c r="D21" s="1" t="s">
        <x:v>97</x:v>
      </x:c>
      <x:c r="E21" s="9">
        <x:v>0</x:v>
      </x:c>
      <x:c r="F21" s="9">
        <x:v>0</x:v>
      </x:c>
      <x:c r="G21" s="11">
        <x:v>0</x:v>
      </x:c>
      <x:c r="H21" s="9">
        <x:v>0</x:v>
      </x:c>
      <x:c r="I21" s="9">
        <x:v>0</x:v>
      </x:c>
      <x:c r="J21" s="11">
        <x:v>0</x:v>
      </x:c>
      <x:c r="K21" s="1" t="s">
        <x:v>22</x:v>
      </x:c>
      <x:c r="L21" s="1">
        <x:v>2678</x:v>
      </x:c>
    </x:row>
    <x:row r="22" ht="22" customHeight="1">
      <x:c r="A22" s="5">
        <x:v>2020</x:v>
      </x:c>
      <x:c r="B22" s="5" t="s">
        <x:v>29</x:v>
      </x:c>
      <x:c r="C22" s="6" t="s">
        <x:v>30</x:v>
      </x:c>
      <x:c r="D22" s="5" t="s">
        <x:v>94</x:v>
      </x:c>
      <x:c r="E22" s="8">
        <x:v>9</x:v>
      </x:c>
      <x:c r="F22" s="8">
        <x:v>9</x:v>
      </x:c>
      <x:c r="G22" s="10">
        <x:v>2258152</x:v>
      </x:c>
      <x:c r="H22" s="8">
        <x:v>4</x:v>
      </x:c>
      <x:c r="I22" s="8">
        <x:v>4</x:v>
      </x:c>
      <x:c r="J22" s="10">
        <x:v>764369</x:v>
      </x:c>
      <x:c r="K22" s="5" t="s">
        <x:v>22</x:v>
      </x:c>
      <x:c r="L22" s="5">
        <x:v>2679</x:v>
      </x:c>
    </x:row>
    <x:row r="23" ht="22" customHeight="1">
      <x:c r="A23" s="1">
        <x:v>2020</x:v>
      </x:c>
      <x:c r="B23" s="1" t="s">
        <x:v>29</x:v>
      </x:c>
      <x:c r="C23" s="7" t="s">
        <x:v>30</x:v>
      </x:c>
      <x:c r="D23" s="1" t="s">
        <x:v>95</x:v>
      </x:c>
      <x:c r="E23" s="9">
        <x:v>0</x:v>
      </x:c>
      <x:c r="F23" s="9">
        <x:v>0</x:v>
      </x:c>
      <x:c r="G23" s="11">
        <x:v>0</x:v>
      </x:c>
      <x:c r="H23" s="9">
        <x:v>0</x:v>
      </x:c>
      <x:c r="I23" s="9">
        <x:v>0</x:v>
      </x:c>
      <x:c r="J23" s="11">
        <x:v>0</x:v>
      </x:c>
      <x:c r="K23" s="1" t="s">
        <x:v>22</x:v>
      </x:c>
      <x:c r="L23" s="1">
        <x:v>2679</x:v>
      </x:c>
    </x:row>
    <x:row r="24" ht="22" customHeight="1">
      <x:c r="A24" s="5">
        <x:v>2020</x:v>
      </x:c>
      <x:c r="B24" s="5" t="s">
        <x:v>29</x:v>
      </x:c>
      <x:c r="C24" s="6" t="s">
        <x:v>30</x:v>
      </x:c>
      <x:c r="D24" s="5" t="s">
        <x:v>96</x:v>
      </x:c>
      <x:c r="E24" s="8">
        <x:v>0</x:v>
      </x:c>
      <x:c r="F24" s="8">
        <x:v>0</x:v>
      </x:c>
      <x:c r="G24" s="10">
        <x:v>0</x:v>
      </x:c>
      <x:c r="H24" s="8">
        <x:v>0</x:v>
      </x:c>
      <x:c r="I24" s="8">
        <x:v>0</x:v>
      </x:c>
      <x:c r="J24" s="10">
        <x:v>0</x:v>
      </x:c>
      <x:c r="K24" s="5" t="s">
        <x:v>22</x:v>
      </x:c>
      <x:c r="L24" s="5">
        <x:v>2679</x:v>
      </x:c>
    </x:row>
    <x:row r="25" ht="22" customHeight="1">
      <x:c r="A25" s="1">
        <x:v>2020</x:v>
      </x:c>
      <x:c r="B25" s="1" t="s">
        <x:v>29</x:v>
      </x:c>
      <x:c r="C25" s="7" t="s">
        <x:v>30</x:v>
      </x:c>
      <x:c r="D25" s="1" t="s">
        <x:v>97</x:v>
      </x:c>
      <x:c r="E25" s="9">
        <x:v>0</x:v>
      </x:c>
      <x:c r="F25" s="9">
        <x:v>0</x:v>
      </x:c>
      <x:c r="G25" s="11">
        <x:v>0</x:v>
      </x:c>
      <x:c r="H25" s="9">
        <x:v>0</x:v>
      </x:c>
      <x:c r="I25" s="9">
        <x:v>0</x:v>
      </x:c>
      <x:c r="J25" s="11">
        <x:v>0</x:v>
      </x:c>
      <x:c r="K25" s="1" t="s">
        <x:v>22</x:v>
      </x:c>
      <x:c r="L25" s="1">
        <x:v>2679</x:v>
      </x:c>
    </x:row>
    <x:row r="26" ht="22" customHeight="1">
      <x:c r="A26" s="5">
        <x:v>2020</x:v>
      </x:c>
      <x:c r="B26" s="5" t="s">
        <x:v>31</x:v>
      </x:c>
      <x:c r="C26" s="6" t="s">
        <x:v>32</x:v>
      </x:c>
      <x:c r="D26" s="5" t="s">
        <x:v>94</x:v>
      </x:c>
      <x:c r="E26" s="8">
        <x:v>1946</x:v>
      </x:c>
      <x:c r="F26" s="8">
        <x:v>1946</x:v>
      </x:c>
      <x:c r="G26" s="10">
        <x:v>551229504</x:v>
      </x:c>
      <x:c r="H26" s="8">
        <x:v>1946</x:v>
      </x:c>
      <x:c r="I26" s="8">
        <x:v>1946</x:v>
      </x:c>
      <x:c r="J26" s="10">
        <x:v>551229504</x:v>
      </x:c>
      <x:c r="K26" s="5" t="s">
        <x:v>22</x:v>
      </x:c>
      <x:c r="L26" s="5">
        <x:v>2680</x:v>
      </x:c>
    </x:row>
    <x:row r="27" ht="22" customHeight="1">
      <x:c r="A27" s="1">
        <x:v>2020</x:v>
      </x:c>
      <x:c r="B27" s="1" t="s">
        <x:v>31</x:v>
      </x:c>
      <x:c r="C27" s="7" t="s">
        <x:v>32</x:v>
      </x:c>
      <x:c r="D27" s="1" t="s">
        <x:v>95</x:v>
      </x:c>
      <x:c r="E27" s="9">
        <x:v>6</x:v>
      </x:c>
      <x:c r="F27" s="9">
        <x:v>12</x:v>
      </x:c>
      <x:c r="G27" s="11">
        <x:v>2966474</x:v>
      </x:c>
      <x:c r="H27" s="9">
        <x:v>12</x:v>
      </x:c>
      <x:c r="I27" s="9">
        <x:v>6</x:v>
      </x:c>
      <x:c r="J27" s="11">
        <x:v>2966474</x:v>
      </x:c>
      <x:c r="K27" s="1" t="s">
        <x:v>22</x:v>
      </x:c>
      <x:c r="L27" s="1">
        <x:v>2680</x:v>
      </x:c>
    </x:row>
    <x:row r="28" ht="22" customHeight="1">
      <x:c r="A28" s="5">
        <x:v>2020</x:v>
      </x:c>
      <x:c r="B28" s="5" t="s">
        <x:v>31</x:v>
      </x:c>
      <x:c r="C28" s="6" t="s">
        <x:v>32</x:v>
      </x:c>
      <x:c r="D28" s="5" t="s">
        <x:v>96</x:v>
      </x:c>
      <x:c r="E28" s="8">
        <x:v>8</x:v>
      </x:c>
      <x:c r="F28" s="8">
        <x:v>25</x:v>
      </x:c>
      <x:c r="G28" s="10">
        <x:v>4539029</x:v>
      </x:c>
      <x:c r="H28" s="8">
        <x:v>25</x:v>
      </x:c>
      <x:c r="I28" s="8">
        <x:v>8</x:v>
      </x:c>
      <x:c r="J28" s="10">
        <x:v>4539029</x:v>
      </x:c>
      <x:c r="K28" s="5" t="s">
        <x:v>22</x:v>
      </x:c>
      <x:c r="L28" s="5">
        <x:v>2680</x:v>
      </x:c>
    </x:row>
    <x:row r="29" ht="22" customHeight="1">
      <x:c r="A29" s="1">
        <x:v>2020</x:v>
      </x:c>
      <x:c r="B29" s="1" t="s">
        <x:v>31</x:v>
      </x:c>
      <x:c r="C29" s="7" t="s">
        <x:v>32</x:v>
      </x:c>
      <x:c r="D29" s="1" t="s">
        <x:v>97</x:v>
      </x:c>
      <x:c r="E29" s="9">
        <x:v>14</x:v>
      </x:c>
      <x:c r="F29" s="9">
        <x:v>434</x:v>
      </x:c>
      <x:c r="G29" s="11">
        <x:v>44501920</x:v>
      </x:c>
      <x:c r="H29" s="9">
        <x:v>434</x:v>
      </x:c>
      <x:c r="I29" s="9">
        <x:v>14</x:v>
      </x:c>
      <x:c r="J29" s="11">
        <x:v>44501920</x:v>
      </x:c>
      <x:c r="K29" s="1" t="s">
        <x:v>22</x:v>
      </x:c>
      <x:c r="L29" s="1">
        <x:v>2680</x:v>
      </x:c>
    </x:row>
    <x:row r="30" ht="22" customHeight="1">
      <x:c r="A30" s="5">
        <x:v>2020</x:v>
      </x:c>
      <x:c r="B30" s="5" t="s">
        <x:v>33</x:v>
      </x:c>
      <x:c r="C30" s="6" t="s">
        <x:v>34</x:v>
      </x:c>
      <x:c r="D30" s="5" t="s">
        <x:v>94</x:v>
      </x:c>
      <x:c r="E30" s="8">
        <x:v>101</x:v>
      </x:c>
      <x:c r="F30" s="8">
        <x:v>101</x:v>
      </x:c>
      <x:c r="G30" s="10">
        <x:v>23819750</x:v>
      </x:c>
      <x:c r="H30" s="8">
        <x:v>54</x:v>
      </x:c>
      <x:c r="I30" s="8">
        <x:v>54</x:v>
      </x:c>
      <x:c r="J30" s="10">
        <x:v>13654909</x:v>
      </x:c>
      <x:c r="K30" s="5" t="s">
        <x:v>22</x:v>
      </x:c>
      <x:c r="L30" s="5">
        <x:v>2681</x:v>
      </x:c>
    </x:row>
    <x:row r="31" ht="22" customHeight="1">
      <x:c r="A31" s="1">
        <x:v>2020</x:v>
      </x:c>
      <x:c r="B31" s="1" t="s">
        <x:v>33</x:v>
      </x:c>
      <x:c r="C31" s="7" t="s">
        <x:v>34</x:v>
      </x:c>
      <x:c r="D31" s="1" t="s">
        <x:v>95</x:v>
      </x:c>
      <x:c r="E31" s="9">
        <x:v>0</x:v>
      </x:c>
      <x:c r="F31" s="9">
        <x:v>0</x:v>
      </x:c>
      <x:c r="G31" s="11">
        <x:v>0</x:v>
      </x:c>
      <x:c r="H31" s="9">
        <x:v>0</x:v>
      </x:c>
      <x:c r="I31" s="9">
        <x:v>0</x:v>
      </x:c>
      <x:c r="J31" s="11">
        <x:v>0</x:v>
      </x:c>
      <x:c r="K31" s="1" t="s">
        <x:v>22</x:v>
      </x:c>
      <x:c r="L31" s="1">
        <x:v>2681</x:v>
      </x:c>
    </x:row>
    <x:row r="32" ht="22" customHeight="1">
      <x:c r="A32" s="5">
        <x:v>2020</x:v>
      </x:c>
      <x:c r="B32" s="5" t="s">
        <x:v>33</x:v>
      </x:c>
      <x:c r="C32" s="6" t="s">
        <x:v>34</x:v>
      </x:c>
      <x:c r="D32" s="5" t="s">
        <x:v>96</x:v>
      </x:c>
      <x:c r="E32" s="8">
        <x:v>1</x:v>
      </x:c>
      <x:c r="F32" s="8">
        <x:v>4</x:v>
      </x:c>
      <x:c r="G32" s="10">
        <x:v>285524</x:v>
      </x:c>
      <x:c r="H32" s="8">
        <x:v>0</x:v>
      </x:c>
      <x:c r="I32" s="8">
        <x:v>0</x:v>
      </x:c>
      <x:c r="J32" s="10">
        <x:v>0</x:v>
      </x:c>
      <x:c r="K32" s="5" t="s">
        <x:v>22</x:v>
      </x:c>
      <x:c r="L32" s="5">
        <x:v>2681</x:v>
      </x:c>
    </x:row>
    <x:row r="33" ht="22" customHeight="1">
      <x:c r="A33" s="1">
        <x:v>2020</x:v>
      </x:c>
      <x:c r="B33" s="1" t="s">
        <x:v>33</x:v>
      </x:c>
      <x:c r="C33" s="7" t="s">
        <x:v>34</x:v>
      </x:c>
      <x:c r="D33" s="1" t="s">
        <x:v>97</x:v>
      </x:c>
      <x:c r="E33" s="9">
        <x:v>0</x:v>
      </x:c>
      <x:c r="F33" s="9">
        <x:v>0</x:v>
      </x:c>
      <x:c r="G33" s="11">
        <x:v>0</x:v>
      </x:c>
      <x:c r="H33" s="9">
        <x:v>0</x:v>
      </x:c>
      <x:c r="I33" s="9">
        <x:v>0</x:v>
      </x:c>
      <x:c r="J33" s="11">
        <x:v>0</x:v>
      </x:c>
      <x:c r="K33" s="1" t="s">
        <x:v>22</x:v>
      </x:c>
      <x:c r="L33" s="1">
        <x:v>2681</x:v>
      </x:c>
    </x:row>
    <x:row r="34" ht="22" customHeight="1">
      <x:c r="A34" s="5">
        <x:v>2020</x:v>
      </x:c>
      <x:c r="B34" s="5" t="s">
        <x:v>35</x:v>
      </x:c>
      <x:c r="C34" s="6" t="s">
        <x:v>36</x:v>
      </x:c>
      <x:c r="D34" s="5" t="s">
        <x:v>94</x:v>
      </x:c>
      <x:c r="E34" s="8">
        <x:v>7</x:v>
      </x:c>
      <x:c r="F34" s="8">
        <x:v>7</x:v>
      </x:c>
      <x:c r="G34" s="10">
        <x:v>1628900</x:v>
      </x:c>
      <x:c r="H34" s="8">
        <x:v>0</x:v>
      </x:c>
      <x:c r="I34" s="8">
        <x:v>0</x:v>
      </x:c>
      <x:c r="J34" s="10">
        <x:v>0</x:v>
      </x:c>
      <x:c r="K34" s="5" t="s">
        <x:v>22</x:v>
      </x:c>
      <x:c r="L34" s="5">
        <x:v>2682</x:v>
      </x:c>
    </x:row>
    <x:row r="35" ht="22" customHeight="1">
      <x:c r="A35" s="1">
        <x:v>2020</x:v>
      </x:c>
      <x:c r="B35" s="1" t="s">
        <x:v>35</x:v>
      </x:c>
      <x:c r="C35" s="7" t="s">
        <x:v>36</x:v>
      </x:c>
      <x:c r="D35" s="1" t="s">
        <x:v>95</x:v>
      </x:c>
      <x:c r="E35" s="9">
        <x:v>0</x:v>
      </x:c>
      <x:c r="F35" s="9">
        <x:v>0</x:v>
      </x:c>
      <x:c r="G35" s="11">
        <x:v>0</x:v>
      </x:c>
      <x:c r="H35" s="9">
        <x:v>0</x:v>
      </x:c>
      <x:c r="I35" s="9">
        <x:v>0</x:v>
      </x:c>
      <x:c r="J35" s="11">
        <x:v>0</x:v>
      </x:c>
      <x:c r="K35" s="1" t="s">
        <x:v>22</x:v>
      </x:c>
      <x:c r="L35" s="1">
        <x:v>2682</x:v>
      </x:c>
    </x:row>
    <x:row r="36" ht="22" customHeight="1">
      <x:c r="A36" s="5">
        <x:v>2020</x:v>
      </x:c>
      <x:c r="B36" s="5" t="s">
        <x:v>35</x:v>
      </x:c>
      <x:c r="C36" s="6" t="s">
        <x:v>36</x:v>
      </x:c>
      <x:c r="D36" s="5" t="s">
        <x:v>96</x:v>
      </x:c>
      <x:c r="E36" s="8">
        <x:v>0</x:v>
      </x:c>
      <x:c r="F36" s="8">
        <x:v>0</x:v>
      </x:c>
      <x:c r="G36" s="10">
        <x:v>0</x:v>
      </x:c>
      <x:c r="H36" s="8">
        <x:v>0</x:v>
      </x:c>
      <x:c r="I36" s="8">
        <x:v>0</x:v>
      </x:c>
      <x:c r="J36" s="10">
        <x:v>0</x:v>
      </x:c>
      <x:c r="K36" s="5" t="s">
        <x:v>22</x:v>
      </x:c>
      <x:c r="L36" s="5">
        <x:v>2682</x:v>
      </x:c>
    </x:row>
    <x:row r="37" ht="22" customHeight="1">
      <x:c r="A37" s="1">
        <x:v>2020</x:v>
      </x:c>
      <x:c r="B37" s="1" t="s">
        <x:v>35</x:v>
      </x:c>
      <x:c r="C37" s="7" t="s">
        <x:v>36</x:v>
      </x:c>
      <x:c r="D37" s="1" t="s">
        <x:v>97</x:v>
      </x:c>
      <x:c r="E37" s="9">
        <x:v>0</x:v>
      </x:c>
      <x:c r="F37" s="9">
        <x:v>0</x:v>
      </x:c>
      <x:c r="G37" s="11">
        <x:v>0</x:v>
      </x:c>
      <x:c r="H37" s="9">
        <x:v>0</x:v>
      </x:c>
      <x:c r="I37" s="9">
        <x:v>0</x:v>
      </x:c>
      <x:c r="J37" s="11">
        <x:v>0</x:v>
      </x:c>
      <x:c r="K37" s="1" t="s">
        <x:v>22</x:v>
      </x:c>
      <x:c r="L37" s="1">
        <x:v>2682</x:v>
      </x:c>
    </x:row>
    <x:row r="38" ht="22" customHeight="1">
      <x:c r="A38" s="5">
        <x:v>2020</x:v>
      </x:c>
      <x:c r="B38" s="5" t="s">
        <x:v>37</x:v>
      </x:c>
      <x:c r="C38" s="6" t="s">
        <x:v>38</x:v>
      </x:c>
      <x:c r="D38" s="5" t="s">
        <x:v>94</x:v>
      </x:c>
      <x:c r="E38" s="8">
        <x:v>58</x:v>
      </x:c>
      <x:c r="F38" s="8">
        <x:v>58</x:v>
      </x:c>
      <x:c r="G38" s="10">
        <x:v>12107805</x:v>
      </x:c>
      <x:c r="H38" s="8">
        <x:v>58</x:v>
      </x:c>
      <x:c r="I38" s="8">
        <x:v>58</x:v>
      </x:c>
      <x:c r="J38" s="10">
        <x:v>12107805</x:v>
      </x:c>
      <x:c r="K38" s="5" t="s">
        <x:v>22</x:v>
      </x:c>
      <x:c r="L38" s="5">
        <x:v>2683</x:v>
      </x:c>
    </x:row>
    <x:row r="39" ht="22" customHeight="1">
      <x:c r="A39" s="1">
        <x:v>2020</x:v>
      </x:c>
      <x:c r="B39" s="1" t="s">
        <x:v>37</x:v>
      </x:c>
      <x:c r="C39" s="7" t="s">
        <x:v>38</x:v>
      </x:c>
      <x:c r="D39" s="1" t="s">
        <x:v>95</x:v>
      </x:c>
      <x:c r="E39" s="9">
        <x:v>0</x:v>
      </x:c>
      <x:c r="F39" s="9">
        <x:v>0</x:v>
      </x:c>
      <x:c r="G39" s="11">
        <x:v>0</x:v>
      </x:c>
      <x:c r="H39" s="9">
        <x:v>0</x:v>
      </x:c>
      <x:c r="I39" s="9">
        <x:v>0</x:v>
      </x:c>
      <x:c r="J39" s="11">
        <x:v>0</x:v>
      </x:c>
      <x:c r="K39" s="1" t="s">
        <x:v>22</x:v>
      </x:c>
      <x:c r="L39" s="1">
        <x:v>2683</x:v>
      </x:c>
    </x:row>
    <x:row r="40" ht="22" customHeight="1">
      <x:c r="A40" s="5">
        <x:v>2020</x:v>
      </x:c>
      <x:c r="B40" s="5" t="s">
        <x:v>37</x:v>
      </x:c>
      <x:c r="C40" s="6" t="s">
        <x:v>38</x:v>
      </x:c>
      <x:c r="D40" s="5" t="s">
        <x:v>96</x:v>
      </x:c>
      <x:c r="E40" s="8">
        <x:v>0</x:v>
      </x:c>
      <x:c r="F40" s="8">
        <x:v>0</x:v>
      </x:c>
      <x:c r="G40" s="10">
        <x:v>0</x:v>
      </x:c>
      <x:c r="H40" s="8">
        <x:v>0</x:v>
      </x:c>
      <x:c r="I40" s="8">
        <x:v>0</x:v>
      </x:c>
      <x:c r="J40" s="10">
        <x:v>0</x:v>
      </x:c>
      <x:c r="K40" s="5" t="s">
        <x:v>22</x:v>
      </x:c>
      <x:c r="L40" s="5">
        <x:v>2683</x:v>
      </x:c>
    </x:row>
    <x:row r="41" ht="22" customHeight="1">
      <x:c r="A41" s="1">
        <x:v>2020</x:v>
      </x:c>
      <x:c r="B41" s="1" t="s">
        <x:v>37</x:v>
      </x:c>
      <x:c r="C41" s="7" t="s">
        <x:v>38</x:v>
      </x:c>
      <x:c r="D41" s="1" t="s">
        <x:v>97</x:v>
      </x:c>
      <x:c r="E41" s="9">
        <x:v>0</x:v>
      </x:c>
      <x:c r="F41" s="9">
        <x:v>0</x:v>
      </x:c>
      <x:c r="G41" s="11">
        <x:v>0</x:v>
      </x:c>
      <x:c r="H41" s="9">
        <x:v>0</x:v>
      </x:c>
      <x:c r="I41" s="9">
        <x:v>0</x:v>
      </x:c>
      <x:c r="J41" s="11">
        <x:v>0</x:v>
      </x:c>
      <x:c r="K41" s="1" t="s">
        <x:v>22</x:v>
      </x:c>
      <x:c r="L41" s="1">
        <x:v>2683</x:v>
      </x:c>
    </x:row>
    <x:row r="42" ht="22" customHeight="1">
      <x:c r="A42" s="5">
        <x:v>2020</x:v>
      </x:c>
      <x:c r="B42" s="5" t="s">
        <x:v>39</x:v>
      </x:c>
      <x:c r="C42" s="6" t="s">
        <x:v>40</x:v>
      </x:c>
      <x:c r="D42" s="5" t="s">
        <x:v>94</x:v>
      </x:c>
      <x:c r="E42" s="8">
        <x:v>71</x:v>
      </x:c>
      <x:c r="F42" s="8">
        <x:v>71</x:v>
      </x:c>
      <x:c r="G42" s="10">
        <x:v>16820464</x:v>
      </x:c>
      <x:c r="H42" s="8">
        <x:v>71</x:v>
      </x:c>
      <x:c r="I42" s="8">
        <x:v>71</x:v>
      </x:c>
      <x:c r="J42" s="10">
        <x:v>16820464</x:v>
      </x:c>
      <x:c r="K42" s="5" t="s">
        <x:v>22</x:v>
      </x:c>
      <x:c r="L42" s="5">
        <x:v>2684</x:v>
      </x:c>
    </x:row>
    <x:row r="43" ht="22" customHeight="1">
      <x:c r="A43" s="1">
        <x:v>2020</x:v>
      </x:c>
      <x:c r="B43" s="1" t="s">
        <x:v>39</x:v>
      </x:c>
      <x:c r="C43" s="7" t="s">
        <x:v>40</x:v>
      </x:c>
      <x:c r="D43" s="1" t="s">
        <x:v>95</x:v>
      </x:c>
      <x:c r="E43" s="9">
        <x:v>6</x:v>
      </x:c>
      <x:c r="F43" s="9">
        <x:v>12</x:v>
      </x:c>
      <x:c r="G43" s="11">
        <x:v>1843945</x:v>
      </x:c>
      <x:c r="H43" s="9">
        <x:v>12</x:v>
      </x:c>
      <x:c r="I43" s="9">
        <x:v>6</x:v>
      </x:c>
      <x:c r="J43" s="11">
        <x:v>1843945</x:v>
      </x:c>
      <x:c r="K43" s="1" t="s">
        <x:v>22</x:v>
      </x:c>
      <x:c r="L43" s="1">
        <x:v>2684</x:v>
      </x:c>
    </x:row>
    <x:row r="44" ht="22" customHeight="1">
      <x:c r="A44" s="5">
        <x:v>2020</x:v>
      </x:c>
      <x:c r="B44" s="5" t="s">
        <x:v>39</x:v>
      </x:c>
      <x:c r="C44" s="6" t="s">
        <x:v>40</x:v>
      </x:c>
      <x:c r="D44" s="5" t="s">
        <x:v>96</x:v>
      </x:c>
      <x:c r="E44" s="8">
        <x:v>6</x:v>
      </x:c>
      <x:c r="F44" s="8">
        <x:v>24</x:v>
      </x:c>
      <x:c r="G44" s="10">
        <x:v>4131971</x:v>
      </x:c>
      <x:c r="H44" s="8">
        <x:v>24</x:v>
      </x:c>
      <x:c r="I44" s="8">
        <x:v>6</x:v>
      </x:c>
      <x:c r="J44" s="10">
        <x:v>4131971</x:v>
      </x:c>
      <x:c r="K44" s="5" t="s">
        <x:v>22</x:v>
      </x:c>
      <x:c r="L44" s="5">
        <x:v>2684</x:v>
      </x:c>
    </x:row>
    <x:row r="45" ht="22" customHeight="1">
      <x:c r="A45" s="1">
        <x:v>2020</x:v>
      </x:c>
      <x:c r="B45" s="1" t="s">
        <x:v>39</x:v>
      </x:c>
      <x:c r="C45" s="7" t="s">
        <x:v>40</x:v>
      </x:c>
      <x:c r="D45" s="1" t="s">
        <x:v>97</x:v>
      </x:c>
      <x:c r="E45" s="9">
        <x:v>0</x:v>
      </x:c>
      <x:c r="F45" s="9">
        <x:v>0</x:v>
      </x:c>
      <x:c r="G45" s="11">
        <x:v>0</x:v>
      </x:c>
      <x:c r="H45" s="9">
        <x:v>0</x:v>
      </x:c>
      <x:c r="I45" s="9">
        <x:v>0</x:v>
      </x:c>
      <x:c r="J45" s="11">
        <x:v>0</x:v>
      </x:c>
      <x:c r="K45" s="1" t="s">
        <x:v>22</x:v>
      </x:c>
      <x:c r="L45" s="1">
        <x:v>2684</x:v>
      </x:c>
    </x:row>
    <x:row r="46" ht="22" customHeight="1">
      <x:c r="A46" s="5">
        <x:v>2020</x:v>
      </x:c>
      <x:c r="B46" s="5" t="s">
        <x:v>41</x:v>
      </x:c>
      <x:c r="C46" s="6" t="s">
        <x:v>42</x:v>
      </x:c>
      <x:c r="D46" s="5" t="s">
        <x:v>94</x:v>
      </x:c>
      <x:c r="E46" s="8">
        <x:v>473</x:v>
      </x:c>
      <x:c r="F46" s="8">
        <x:v>473</x:v>
      </x:c>
      <x:c r="G46" s="10">
        <x:v>102854176</x:v>
      </x:c>
      <x:c r="H46" s="8">
        <x:v>203</x:v>
      </x:c>
      <x:c r="I46" s="8">
        <x:v>203</x:v>
      </x:c>
      <x:c r="J46" s="10">
        <x:v>43339166</x:v>
      </x:c>
      <x:c r="K46" s="5" t="s">
        <x:v>22</x:v>
      </x:c>
      <x:c r="L46" s="5">
        <x:v>2685</x:v>
      </x:c>
    </x:row>
    <x:row r="47" ht="22" customHeight="1">
      <x:c r="A47" s="1">
        <x:v>2020</x:v>
      </x:c>
      <x:c r="B47" s="1" t="s">
        <x:v>41</x:v>
      </x:c>
      <x:c r="C47" s="7" t="s">
        <x:v>42</x:v>
      </x:c>
      <x:c r="D47" s="1" t="s">
        <x:v>95</x:v>
      </x:c>
      <x:c r="E47" s="9">
        <x:v>1</x:v>
      </x:c>
      <x:c r="F47" s="9">
        <x:v>2</x:v>
      </x:c>
      <x:c r="G47" s="11">
        <x:v>222769</x:v>
      </x:c>
      <x:c r="H47" s="9">
        <x:v>0</x:v>
      </x:c>
      <x:c r="I47" s="9">
        <x:v>0</x:v>
      </x:c>
      <x:c r="J47" s="11">
        <x:v>0</x:v>
      </x:c>
      <x:c r="K47" s="1" t="s">
        <x:v>22</x:v>
      </x:c>
      <x:c r="L47" s="1">
        <x:v>2685</x:v>
      </x:c>
    </x:row>
    <x:row r="48" ht="22" customHeight="1">
      <x:c r="A48" s="5">
        <x:v>2020</x:v>
      </x:c>
      <x:c r="B48" s="5" t="s">
        <x:v>41</x:v>
      </x:c>
      <x:c r="C48" s="6" t="s">
        <x:v>42</x:v>
      </x:c>
      <x:c r="D48" s="5" t="s">
        <x:v>96</x:v>
      </x:c>
      <x:c r="E48" s="8">
        <x:v>0</x:v>
      </x:c>
      <x:c r="F48" s="8">
        <x:v>0</x:v>
      </x:c>
      <x:c r="G48" s="10">
        <x:v>0</x:v>
      </x:c>
      <x:c r="H48" s="8">
        <x:v>0</x:v>
      </x:c>
      <x:c r="I48" s="8">
        <x:v>0</x:v>
      </x:c>
      <x:c r="J48" s="10">
        <x:v>0</x:v>
      </x:c>
      <x:c r="K48" s="5" t="s">
        <x:v>22</x:v>
      </x:c>
      <x:c r="L48" s="5">
        <x:v>2685</x:v>
      </x:c>
    </x:row>
    <x:row r="49" ht="22" customHeight="1">
      <x:c r="A49" s="1">
        <x:v>2020</x:v>
      </x:c>
      <x:c r="B49" s="1" t="s">
        <x:v>41</x:v>
      </x:c>
      <x:c r="C49" s="7" t="s">
        <x:v>42</x:v>
      </x:c>
      <x:c r="D49" s="1" t="s">
        <x:v>97</x:v>
      </x:c>
      <x:c r="E49" s="9">
        <x:v>1</x:v>
      </x:c>
      <x:c r="F49" s="9">
        <x:v>39</x:v>
      </x:c>
      <x:c r="G49" s="11">
        <x:v>6301541</x:v>
      </x:c>
      <x:c r="H49" s="9">
        <x:v>0</x:v>
      </x:c>
      <x:c r="I49" s="9">
        <x:v>0</x:v>
      </x:c>
      <x:c r="J49" s="11">
        <x:v>0</x:v>
      </x:c>
      <x:c r="K49" s="1" t="s">
        <x:v>22</x:v>
      </x:c>
      <x:c r="L49" s="1">
        <x:v>2685</x:v>
      </x:c>
    </x:row>
    <x:row r="50" ht="22" customHeight="1">
      <x:c r="A50" s="5">
        <x:v>2020</x:v>
      </x:c>
      <x:c r="B50" s="5" t="s">
        <x:v>43</x:v>
      </x:c>
      <x:c r="C50" s="6" t="s">
        <x:v>44</x:v>
      </x:c>
      <x:c r="D50" s="5" t="s">
        <x:v>94</x:v>
      </x:c>
      <x:c r="E50" s="8">
        <x:v>69</x:v>
      </x:c>
      <x:c r="F50" s="8">
        <x:v>69</x:v>
      </x:c>
      <x:c r="G50" s="10">
        <x:v>22027544</x:v>
      </x:c>
      <x:c r="H50" s="8">
        <x:v>53</x:v>
      </x:c>
      <x:c r="I50" s="8">
        <x:v>53</x:v>
      </x:c>
      <x:c r="J50" s="10">
        <x:v>16188959</x:v>
      </x:c>
      <x:c r="K50" s="5" t="s">
        <x:v>22</x:v>
      </x:c>
      <x:c r="L50" s="5">
        <x:v>2686</x:v>
      </x:c>
    </x:row>
    <x:row r="51" ht="22" customHeight="1">
      <x:c r="A51" s="1">
        <x:v>2020</x:v>
      </x:c>
      <x:c r="B51" s="1" t="s">
        <x:v>43</x:v>
      </x:c>
      <x:c r="C51" s="7" t="s">
        <x:v>44</x:v>
      </x:c>
      <x:c r="D51" s="1" t="s">
        <x:v>95</x:v>
      </x:c>
      <x:c r="E51" s="9">
        <x:v>5</x:v>
      </x:c>
      <x:c r="F51" s="9">
        <x:v>10</x:v>
      </x:c>
      <x:c r="G51" s="11">
        <x:v>1779658</x:v>
      </x:c>
      <x:c r="H51" s="9">
        <x:v>10</x:v>
      </x:c>
      <x:c r="I51" s="9">
        <x:v>5</x:v>
      </x:c>
      <x:c r="J51" s="11">
        <x:v>1779658</x:v>
      </x:c>
      <x:c r="K51" s="1" t="s">
        <x:v>22</x:v>
      </x:c>
      <x:c r="L51" s="1">
        <x:v>2686</x:v>
      </x:c>
    </x:row>
    <x:row r="52" ht="22" customHeight="1">
      <x:c r="A52" s="5">
        <x:v>2020</x:v>
      </x:c>
      <x:c r="B52" s="5" t="s">
        <x:v>43</x:v>
      </x:c>
      <x:c r="C52" s="6" t="s">
        <x:v>44</x:v>
      </x:c>
      <x:c r="D52" s="5" t="s">
        <x:v>96</x:v>
      </x:c>
      <x:c r="E52" s="8">
        <x:v>1</x:v>
      </x:c>
      <x:c r="F52" s="8">
        <x:v>4</x:v>
      </x:c>
      <x:c r="G52" s="10">
        <x:v>677699</x:v>
      </x:c>
      <x:c r="H52" s="8">
        <x:v>4</x:v>
      </x:c>
      <x:c r="I52" s="8">
        <x:v>1</x:v>
      </x:c>
      <x:c r="J52" s="10">
        <x:v>677699</x:v>
      </x:c>
      <x:c r="K52" s="5" t="s">
        <x:v>22</x:v>
      </x:c>
      <x:c r="L52" s="5">
        <x:v>2686</x:v>
      </x:c>
    </x:row>
    <x:row r="53" ht="22" customHeight="1">
      <x:c r="A53" s="1">
        <x:v>2020</x:v>
      </x:c>
      <x:c r="B53" s="1" t="s">
        <x:v>43</x:v>
      </x:c>
      <x:c r="C53" s="7" t="s">
        <x:v>44</x:v>
      </x:c>
      <x:c r="D53" s="1" t="s">
        <x:v>97</x:v>
      </x:c>
      <x:c r="E53" s="9">
        <x:v>5</x:v>
      </x:c>
      <x:c r="F53" s="9">
        <x:v>25</x:v>
      </x:c>
      <x:c r="G53" s="11">
        <x:v>4226966</x:v>
      </x:c>
      <x:c r="H53" s="9">
        <x:v>25</x:v>
      </x:c>
      <x:c r="I53" s="9">
        <x:v>5</x:v>
      </x:c>
      <x:c r="J53" s="11">
        <x:v>4226966</x:v>
      </x:c>
      <x:c r="K53" s="1" t="s">
        <x:v>22</x:v>
      </x:c>
      <x:c r="L53" s="1">
        <x:v>2686</x:v>
      </x:c>
    </x:row>
    <x:row r="54" ht="22" customHeight="1">
      <x:c r="A54" s="5">
        <x:v>2020</x:v>
      </x:c>
      <x:c r="B54" s="5" t="s">
        <x:v>45</x:v>
      </x:c>
      <x:c r="C54" s="6" t="s">
        <x:v>46</x:v>
      </x:c>
      <x:c r="D54" s="5" t="s">
        <x:v>94</x:v>
      </x:c>
      <x:c r="E54" s="8">
        <x:v>231</x:v>
      </x:c>
      <x:c r="F54" s="8">
        <x:v>231</x:v>
      </x:c>
      <x:c r="G54" s="10">
        <x:v>59248201</x:v>
      </x:c>
      <x:c r="H54" s="8">
        <x:v>230</x:v>
      </x:c>
      <x:c r="I54" s="8">
        <x:v>230</x:v>
      </x:c>
      <x:c r="J54" s="10">
        <x:v>58965366</x:v>
      </x:c>
      <x:c r="K54" s="5" t="s">
        <x:v>22</x:v>
      </x:c>
      <x:c r="L54" s="5">
        <x:v>2687</x:v>
      </x:c>
    </x:row>
    <x:row r="55" ht="22" customHeight="1">
      <x:c r="A55" s="1">
        <x:v>2020</x:v>
      </x:c>
      <x:c r="B55" s="1" t="s">
        <x:v>45</x:v>
      </x:c>
      <x:c r="C55" s="7" t="s">
        <x:v>46</x:v>
      </x:c>
      <x:c r="D55" s="1" t="s">
        <x:v>95</x:v>
      </x:c>
      <x:c r="E55" s="9">
        <x:v>1</x:v>
      </x:c>
      <x:c r="F55" s="9">
        <x:v>2</x:v>
      </x:c>
      <x:c r="G55" s="11">
        <x:v>298000</x:v>
      </x:c>
      <x:c r="H55" s="9">
        <x:v>2</x:v>
      </x:c>
      <x:c r="I55" s="9">
        <x:v>1</x:v>
      </x:c>
      <x:c r="J55" s="11">
        <x:v>298000</x:v>
      </x:c>
      <x:c r="K55" s="1" t="s">
        <x:v>22</x:v>
      </x:c>
      <x:c r="L55" s="1">
        <x:v>2687</x:v>
      </x:c>
    </x:row>
    <x:row r="56" ht="22" customHeight="1">
      <x:c r="A56" s="5">
        <x:v>2020</x:v>
      </x:c>
      <x:c r="B56" s="5" t="s">
        <x:v>45</x:v>
      </x:c>
      <x:c r="C56" s="6" t="s">
        <x:v>46</x:v>
      </x:c>
      <x:c r="D56" s="5" t="s">
        <x:v>96</x:v>
      </x:c>
      <x:c r="E56" s="8">
        <x:v>1</x:v>
      </x:c>
      <x:c r="F56" s="8">
        <x:v>3</x:v>
      </x:c>
      <x:c r="G56" s="10">
        <x:v>840000</x:v>
      </x:c>
      <x:c r="H56" s="8">
        <x:v>3</x:v>
      </x:c>
      <x:c r="I56" s="8">
        <x:v>1</x:v>
      </x:c>
      <x:c r="J56" s="10">
        <x:v>840000</x:v>
      </x:c>
      <x:c r="K56" s="5" t="s">
        <x:v>22</x:v>
      </x:c>
      <x:c r="L56" s="5">
        <x:v>2687</x:v>
      </x:c>
    </x:row>
    <x:row r="57" ht="22" customHeight="1">
      <x:c r="A57" s="1">
        <x:v>2020</x:v>
      </x:c>
      <x:c r="B57" s="1" t="s">
        <x:v>45</x:v>
      </x:c>
      <x:c r="C57" s="7" t="s">
        <x:v>46</x:v>
      </x:c>
      <x:c r="D57" s="1" t="s">
        <x:v>97</x:v>
      </x:c>
      <x:c r="E57" s="9">
        <x:v>0</x:v>
      </x:c>
      <x:c r="F57" s="9">
        <x:v>0</x:v>
      </x:c>
      <x:c r="G57" s="11">
        <x:v>0</x:v>
      </x:c>
      <x:c r="H57" s="9">
        <x:v>0</x:v>
      </x:c>
      <x:c r="I57" s="9">
        <x:v>0</x:v>
      </x:c>
      <x:c r="J57" s="11">
        <x:v>0</x:v>
      </x:c>
      <x:c r="K57" s="1" t="s">
        <x:v>22</x:v>
      </x:c>
      <x:c r="L57" s="1">
        <x:v>2687</x:v>
      </x:c>
    </x:row>
    <x:row r="58" ht="22" customHeight="1">
      <x:c r="A58" s="5">
        <x:v>2020</x:v>
      </x:c>
      <x:c r="B58" s="5" t="s">
        <x:v>47</x:v>
      </x:c>
      <x:c r="C58" s="6" t="s">
        <x:v>48</x:v>
      </x:c>
      <x:c r="D58" s="5" t="s">
        <x:v>94</x:v>
      </x:c>
      <x:c r="E58" s="8">
        <x:v>55</x:v>
      </x:c>
      <x:c r="F58" s="8">
        <x:v>55</x:v>
      </x:c>
      <x:c r="G58" s="10">
        <x:v>10040841</x:v>
      </x:c>
      <x:c r="H58" s="8">
        <x:v>54</x:v>
      </x:c>
      <x:c r="I58" s="8">
        <x:v>54</x:v>
      </x:c>
      <x:c r="J58" s="10">
        <x:v>9764690</x:v>
      </x:c>
      <x:c r="K58" s="5" t="s">
        <x:v>22</x:v>
      </x:c>
      <x:c r="L58" s="5">
        <x:v>2688</x:v>
      </x:c>
    </x:row>
    <x:row r="59" ht="22" customHeight="1">
      <x:c r="A59" s="1">
        <x:v>2020</x:v>
      </x:c>
      <x:c r="B59" s="1" t="s">
        <x:v>47</x:v>
      </x:c>
      <x:c r="C59" s="7" t="s">
        <x:v>48</x:v>
      </x:c>
      <x:c r="D59" s="1" t="s">
        <x:v>95</x:v>
      </x:c>
      <x:c r="E59" s="9">
        <x:v>2</x:v>
      </x:c>
      <x:c r="F59" s="9">
        <x:v>4</x:v>
      </x:c>
      <x:c r="G59" s="11">
        <x:v>319665</x:v>
      </x:c>
      <x:c r="H59" s="9">
        <x:v>4</x:v>
      </x:c>
      <x:c r="I59" s="9">
        <x:v>2</x:v>
      </x:c>
      <x:c r="J59" s="11">
        <x:v>319665</x:v>
      </x:c>
      <x:c r="K59" s="1" t="s">
        <x:v>22</x:v>
      </x:c>
      <x:c r="L59" s="1">
        <x:v>2688</x:v>
      </x:c>
    </x:row>
    <x:row r="60" ht="22" customHeight="1">
      <x:c r="A60" s="5">
        <x:v>2020</x:v>
      </x:c>
      <x:c r="B60" s="5" t="s">
        <x:v>47</x:v>
      </x:c>
      <x:c r="C60" s="6" t="s">
        <x:v>48</x:v>
      </x:c>
      <x:c r="D60" s="5" t="s">
        <x:v>96</x:v>
      </x:c>
      <x:c r="E60" s="8">
        <x:v>1</x:v>
      </x:c>
      <x:c r="F60" s="8">
        <x:v>4</x:v>
      </x:c>
      <x:c r="G60" s="10">
        <x:v>351360</x:v>
      </x:c>
      <x:c r="H60" s="8">
        <x:v>4</x:v>
      </x:c>
      <x:c r="I60" s="8">
        <x:v>1</x:v>
      </x:c>
      <x:c r="J60" s="10">
        <x:v>351360</x:v>
      </x:c>
      <x:c r="K60" s="5" t="s">
        <x:v>22</x:v>
      </x:c>
      <x:c r="L60" s="5">
        <x:v>2688</x:v>
      </x:c>
    </x:row>
    <x:row r="61" ht="22" customHeight="1">
      <x:c r="A61" s="1">
        <x:v>2020</x:v>
      </x:c>
      <x:c r="B61" s="1" t="s">
        <x:v>47</x:v>
      </x:c>
      <x:c r="C61" s="7" t="s">
        <x:v>48</x:v>
      </x:c>
      <x:c r="D61" s="1" t="s">
        <x:v>97</x:v>
      </x:c>
      <x:c r="E61" s="9">
        <x:v>0</x:v>
      </x:c>
      <x:c r="F61" s="9">
        <x:v>0</x:v>
      </x:c>
      <x:c r="G61" s="11">
        <x:v>0</x:v>
      </x:c>
      <x:c r="H61" s="9">
        <x:v>0</x:v>
      </x:c>
      <x:c r="I61" s="9">
        <x:v>0</x:v>
      </x:c>
      <x:c r="J61" s="11">
        <x:v>0</x:v>
      </x:c>
      <x:c r="K61" s="1" t="s">
        <x:v>22</x:v>
      </x:c>
      <x:c r="L61" s="1">
        <x:v>2688</x:v>
      </x:c>
    </x:row>
    <x:row r="62" ht="22" customHeight="1">
      <x:c r="A62" s="5">
        <x:v>2020</x:v>
      </x:c>
      <x:c r="B62" s="5" t="s">
        <x:v>49</x:v>
      </x:c>
      <x:c r="C62" s="6" t="s">
        <x:v>50</x:v>
      </x:c>
      <x:c r="D62" s="5" t="s">
        <x:v>94</x:v>
      </x:c>
      <x:c r="E62" s="8">
        <x:v>80</x:v>
      </x:c>
      <x:c r="F62" s="8">
        <x:v>80</x:v>
      </x:c>
      <x:c r="G62" s="10">
        <x:v>39896970</x:v>
      </x:c>
      <x:c r="H62" s="8">
        <x:v>80</x:v>
      </x:c>
      <x:c r="I62" s="8">
        <x:v>80</x:v>
      </x:c>
      <x:c r="J62" s="10">
        <x:v>39896970</x:v>
      </x:c>
      <x:c r="K62" s="5" t="s">
        <x:v>22</x:v>
      </x:c>
      <x:c r="L62" s="5">
        <x:v>2689</x:v>
      </x:c>
    </x:row>
    <x:row r="63" ht="22" customHeight="1">
      <x:c r="A63" s="1">
        <x:v>2020</x:v>
      </x:c>
      <x:c r="B63" s="1" t="s">
        <x:v>49</x:v>
      </x:c>
      <x:c r="C63" s="7" t="s">
        <x:v>50</x:v>
      </x:c>
      <x:c r="D63" s="1" t="s">
        <x:v>95</x:v>
      </x:c>
      <x:c r="E63" s="9">
        <x:v>0</x:v>
      </x:c>
      <x:c r="F63" s="9">
        <x:v>0</x:v>
      </x:c>
      <x:c r="G63" s="11">
        <x:v>0</x:v>
      </x:c>
      <x:c r="H63" s="9">
        <x:v>0</x:v>
      </x:c>
      <x:c r="I63" s="9">
        <x:v>0</x:v>
      </x:c>
      <x:c r="J63" s="11">
        <x:v>0</x:v>
      </x:c>
      <x:c r="K63" s="1" t="s">
        <x:v>22</x:v>
      </x:c>
      <x:c r="L63" s="1">
        <x:v>2689</x:v>
      </x:c>
    </x:row>
    <x:row r="64" ht="22" customHeight="1">
      <x:c r="A64" s="5">
        <x:v>2020</x:v>
      </x:c>
      <x:c r="B64" s="5" t="s">
        <x:v>49</x:v>
      </x:c>
      <x:c r="C64" s="6" t="s">
        <x:v>50</x:v>
      </x:c>
      <x:c r="D64" s="5" t="s">
        <x:v>96</x:v>
      </x:c>
      <x:c r="E64" s="8">
        <x:v>7</x:v>
      </x:c>
      <x:c r="F64" s="8">
        <x:v>25</x:v>
      </x:c>
      <x:c r="G64" s="10">
        <x:v>4987728</x:v>
      </x:c>
      <x:c r="H64" s="8">
        <x:v>25</x:v>
      </x:c>
      <x:c r="I64" s="8">
        <x:v>7</x:v>
      </x:c>
      <x:c r="J64" s="10">
        <x:v>4987728</x:v>
      </x:c>
      <x:c r="K64" s="5" t="s">
        <x:v>22</x:v>
      </x:c>
      <x:c r="L64" s="5">
        <x:v>2689</x:v>
      </x:c>
    </x:row>
    <x:row r="65" ht="22" customHeight="1">
      <x:c r="A65" s="1">
        <x:v>2020</x:v>
      </x:c>
      <x:c r="B65" s="1" t="s">
        <x:v>49</x:v>
      </x:c>
      <x:c r="C65" s="7" t="s">
        <x:v>50</x:v>
      </x:c>
      <x:c r="D65" s="1" t="s">
        <x:v>97</x:v>
      </x:c>
      <x:c r="E65" s="9">
        <x:v>0</x:v>
      </x:c>
      <x:c r="F65" s="9">
        <x:v>0</x:v>
      </x:c>
      <x:c r="G65" s="11">
        <x:v>0</x:v>
      </x:c>
      <x:c r="H65" s="9">
        <x:v>0</x:v>
      </x:c>
      <x:c r="I65" s="9">
        <x:v>0</x:v>
      </x:c>
      <x:c r="J65" s="11">
        <x:v>0</x:v>
      </x:c>
      <x:c r="K65" s="1" t="s">
        <x:v>22</x:v>
      </x:c>
      <x:c r="L65" s="1">
        <x:v>2689</x:v>
      </x:c>
    </x:row>
    <x:row r="66" ht="22" customHeight="1">
      <x:c r="A66" s="5">
        <x:v>2020</x:v>
      </x:c>
      <x:c r="B66" s="5" t="s">
        <x:v>51</x:v>
      </x:c>
      <x:c r="C66" s="6" t="s">
        <x:v>52</x:v>
      </x:c>
      <x:c r="D66" s="5" t="s">
        <x:v>94</x:v>
      </x:c>
      <x:c r="E66" s="8">
        <x:v>26</x:v>
      </x:c>
      <x:c r="F66" s="8">
        <x:v>26</x:v>
      </x:c>
      <x:c r="G66" s="10">
        <x:v>4155930</x:v>
      </x:c>
      <x:c r="H66" s="8">
        <x:v>0</x:v>
      </x:c>
      <x:c r="I66" s="8">
        <x:v>0</x:v>
      </x:c>
      <x:c r="J66" s="10">
        <x:v>0</x:v>
      </x:c>
      <x:c r="K66" s="5" t="s">
        <x:v>22</x:v>
      </x:c>
      <x:c r="L66" s="5">
        <x:v>2690</x:v>
      </x:c>
    </x:row>
    <x:row r="67" ht="22" customHeight="1">
      <x:c r="A67" s="1">
        <x:v>2020</x:v>
      </x:c>
      <x:c r="B67" s="1" t="s">
        <x:v>51</x:v>
      </x:c>
      <x:c r="C67" s="7" t="s">
        <x:v>52</x:v>
      </x:c>
      <x:c r="D67" s="1" t="s">
        <x:v>95</x:v>
      </x:c>
      <x:c r="E67" s="9">
        <x:v>0</x:v>
      </x:c>
      <x:c r="F67" s="9">
        <x:v>0</x:v>
      </x:c>
      <x:c r="G67" s="11">
        <x:v>0</x:v>
      </x:c>
      <x:c r="H67" s="9">
        <x:v>0</x:v>
      </x:c>
      <x:c r="I67" s="9">
        <x:v>0</x:v>
      </x:c>
      <x:c r="J67" s="11">
        <x:v>0</x:v>
      </x:c>
      <x:c r="K67" s="1" t="s">
        <x:v>22</x:v>
      </x:c>
      <x:c r="L67" s="1">
        <x:v>2690</x:v>
      </x:c>
    </x:row>
    <x:row r="68" ht="22" customHeight="1">
      <x:c r="A68" s="5">
        <x:v>2020</x:v>
      </x:c>
      <x:c r="B68" s="5" t="s">
        <x:v>51</x:v>
      </x:c>
      <x:c r="C68" s="6" t="s">
        <x:v>52</x:v>
      </x:c>
      <x:c r="D68" s="5" t="s">
        <x:v>96</x:v>
      </x:c>
      <x:c r="E68" s="8">
        <x:v>0</x:v>
      </x:c>
      <x:c r="F68" s="8">
        <x:v>0</x:v>
      </x:c>
      <x:c r="G68" s="10">
        <x:v>0</x:v>
      </x:c>
      <x:c r="H68" s="8">
        <x:v>0</x:v>
      </x:c>
      <x:c r="I68" s="8">
        <x:v>0</x:v>
      </x:c>
      <x:c r="J68" s="10">
        <x:v>0</x:v>
      </x:c>
      <x:c r="K68" s="5" t="s">
        <x:v>22</x:v>
      </x:c>
      <x:c r="L68" s="5">
        <x:v>2690</x:v>
      </x:c>
    </x:row>
    <x:row r="69" ht="22" customHeight="1">
      <x:c r="A69" s="1">
        <x:v>2020</x:v>
      </x:c>
      <x:c r="B69" s="1" t="s">
        <x:v>51</x:v>
      </x:c>
      <x:c r="C69" s="7" t="s">
        <x:v>52</x:v>
      </x:c>
      <x:c r="D69" s="1" t="s">
        <x:v>97</x:v>
      </x:c>
      <x:c r="E69" s="9">
        <x:v>0</x:v>
      </x:c>
      <x:c r="F69" s="9">
        <x:v>0</x:v>
      </x:c>
      <x:c r="G69" s="11">
        <x:v>0</x:v>
      </x:c>
      <x:c r="H69" s="9">
        <x:v>0</x:v>
      </x:c>
      <x:c r="I69" s="9">
        <x:v>0</x:v>
      </x:c>
      <x:c r="J69" s="11">
        <x:v>0</x:v>
      </x:c>
      <x:c r="K69" s="1" t="s">
        <x:v>22</x:v>
      </x:c>
      <x:c r="L69" s="1">
        <x:v>2690</x:v>
      </x:c>
    </x:row>
    <x:row r="70" ht="22" customHeight="1">
      <x:c r="A70" s="5">
        <x:v>2020</x:v>
      </x:c>
      <x:c r="B70" s="5" t="s">
        <x:v>53</x:v>
      </x:c>
      <x:c r="C70" s="6" t="s">
        <x:v>54</x:v>
      </x:c>
      <x:c r="D70" s="5" t="s">
        <x:v>94</x:v>
      </x:c>
      <x:c r="E70" s="8">
        <x:v>53</x:v>
      </x:c>
      <x:c r="F70" s="8">
        <x:v>53</x:v>
      </x:c>
      <x:c r="G70" s="10">
        <x:v>17192563</x:v>
      </x:c>
      <x:c r="H70" s="8">
        <x:v>0</x:v>
      </x:c>
      <x:c r="I70" s="8">
        <x:v>0</x:v>
      </x:c>
      <x:c r="J70" s="10">
        <x:v>0</x:v>
      </x:c>
      <x:c r="K70" s="5" t="s">
        <x:v>22</x:v>
      </x:c>
      <x:c r="L70" s="5">
        <x:v>2691</x:v>
      </x:c>
    </x:row>
    <x:row r="71" ht="22" customHeight="1">
      <x:c r="A71" s="1">
        <x:v>2020</x:v>
      </x:c>
      <x:c r="B71" s="1" t="s">
        <x:v>53</x:v>
      </x:c>
      <x:c r="C71" s="7" t="s">
        <x:v>54</x:v>
      </x:c>
      <x:c r="D71" s="1" t="s">
        <x:v>95</x:v>
      </x:c>
      <x:c r="E71" s="9">
        <x:v>0</x:v>
      </x:c>
      <x:c r="F71" s="9">
        <x:v>0</x:v>
      </x:c>
      <x:c r="G71" s="11">
        <x:v>0</x:v>
      </x:c>
      <x:c r="H71" s="9">
        <x:v>0</x:v>
      </x:c>
      <x:c r="I71" s="9">
        <x:v>0</x:v>
      </x:c>
      <x:c r="J71" s="11">
        <x:v>0</x:v>
      </x:c>
      <x:c r="K71" s="1" t="s">
        <x:v>22</x:v>
      </x:c>
      <x:c r="L71" s="1">
        <x:v>2691</x:v>
      </x:c>
    </x:row>
    <x:row r="72" ht="22" customHeight="1">
      <x:c r="A72" s="5">
        <x:v>2020</x:v>
      </x:c>
      <x:c r="B72" s="5" t="s">
        <x:v>53</x:v>
      </x:c>
      <x:c r="C72" s="6" t="s">
        <x:v>54</x:v>
      </x:c>
      <x:c r="D72" s="5" t="s">
        <x:v>96</x:v>
      </x:c>
      <x:c r="E72" s="8">
        <x:v>0</x:v>
      </x:c>
      <x:c r="F72" s="8">
        <x:v>0</x:v>
      </x:c>
      <x:c r="G72" s="10">
        <x:v>0</x:v>
      </x:c>
      <x:c r="H72" s="8">
        <x:v>0</x:v>
      </x:c>
      <x:c r="I72" s="8">
        <x:v>0</x:v>
      </x:c>
      <x:c r="J72" s="10">
        <x:v>0</x:v>
      </x:c>
      <x:c r="K72" s="5" t="s">
        <x:v>22</x:v>
      </x:c>
      <x:c r="L72" s="5">
        <x:v>2691</x:v>
      </x:c>
    </x:row>
    <x:row r="73" ht="22" customHeight="1">
      <x:c r="A73" s="1">
        <x:v>2020</x:v>
      </x:c>
      <x:c r="B73" s="1" t="s">
        <x:v>53</x:v>
      </x:c>
      <x:c r="C73" s="7" t="s">
        <x:v>54</x:v>
      </x:c>
      <x:c r="D73" s="1" t="s">
        <x:v>97</x:v>
      </x:c>
      <x:c r="E73" s="9">
        <x:v>0</x:v>
      </x:c>
      <x:c r="F73" s="9">
        <x:v>0</x:v>
      </x:c>
      <x:c r="G73" s="11">
        <x:v>0</x:v>
      </x:c>
      <x:c r="H73" s="9">
        <x:v>0</x:v>
      </x:c>
      <x:c r="I73" s="9">
        <x:v>0</x:v>
      </x:c>
      <x:c r="J73" s="11">
        <x:v>0</x:v>
      </x:c>
      <x:c r="K73" s="1" t="s">
        <x:v>22</x:v>
      </x:c>
      <x:c r="L73" s="1">
        <x:v>2691</x:v>
      </x:c>
    </x:row>
    <x:row r="74" ht="22" customHeight="1">
      <x:c r="A74" s="5">
        <x:v>2020</x:v>
      </x:c>
      <x:c r="B74" s="5" t="s">
        <x:v>55</x:v>
      </x:c>
      <x:c r="C74" s="6" t="s">
        <x:v>56</x:v>
      </x:c>
      <x:c r="D74" s="5" t="s">
        <x:v>94</x:v>
      </x:c>
      <x:c r="E74" s="8">
        <x:v>4322</x:v>
      </x:c>
      <x:c r="F74" s="8">
        <x:v>4322</x:v>
      </x:c>
      <x:c r="G74" s="10">
        <x:v>1142261913</x:v>
      </x:c>
      <x:c r="H74" s="8">
        <x:v>3590</x:v>
      </x:c>
      <x:c r="I74" s="8">
        <x:v>3590</x:v>
      </x:c>
      <x:c r="J74" s="10">
        <x:v>967812472</x:v>
      </x:c>
      <x:c r="K74" s="5" t="s">
        <x:v>22</x:v>
      </x:c>
      <x:c r="L74" s="5">
        <x:v>2692</x:v>
      </x:c>
    </x:row>
    <x:row r="75" ht="22" customHeight="1">
      <x:c r="A75" s="1">
        <x:v>2020</x:v>
      </x:c>
      <x:c r="B75" s="1" t="s">
        <x:v>55</x:v>
      </x:c>
      <x:c r="C75" s="7" t="s">
        <x:v>56</x:v>
      </x:c>
      <x:c r="D75" s="1" t="s">
        <x:v>95</x:v>
      </x:c>
      <x:c r="E75" s="9">
        <x:v>137</x:v>
      </x:c>
      <x:c r="F75" s="9">
        <x:v>274</x:v>
      </x:c>
      <x:c r="G75" s="11">
        <x:v>33555896</x:v>
      </x:c>
      <x:c r="H75" s="9">
        <x:v>270</x:v>
      </x:c>
      <x:c r="I75" s="9">
        <x:v>135</x:v>
      </x:c>
      <x:c r="J75" s="11">
        <x:v>32889229</x:v>
      </x:c>
      <x:c r="K75" s="1" t="s">
        <x:v>22</x:v>
      </x:c>
      <x:c r="L75" s="1">
        <x:v>2692</x:v>
      </x:c>
    </x:row>
    <x:row r="76" ht="22" customHeight="1">
      <x:c r="A76" s="5">
        <x:v>2020</x:v>
      </x:c>
      <x:c r="B76" s="5" t="s">
        <x:v>55</x:v>
      </x:c>
      <x:c r="C76" s="6" t="s">
        <x:v>56</x:v>
      </x:c>
      <x:c r="D76" s="5" t="s">
        <x:v>96</x:v>
      </x:c>
      <x:c r="E76" s="8">
        <x:v>70</x:v>
      </x:c>
      <x:c r="F76" s="8">
        <x:v>249</x:v>
      </x:c>
      <x:c r="G76" s="10">
        <x:v>50976958</x:v>
      </x:c>
      <x:c r="H76" s="8">
        <x:v>205</x:v>
      </x:c>
      <x:c r="I76" s="8">
        <x:v>56</x:v>
      </x:c>
      <x:c r="J76" s="10">
        <x:v>43354100</x:v>
      </x:c>
      <x:c r="K76" s="5" t="s">
        <x:v>22</x:v>
      </x:c>
      <x:c r="L76" s="5">
        <x:v>2692</x:v>
      </x:c>
    </x:row>
    <x:row r="77" ht="22" customHeight="1">
      <x:c r="A77" s="1">
        <x:v>2020</x:v>
      </x:c>
      <x:c r="B77" s="1" t="s">
        <x:v>55</x:v>
      </x:c>
      <x:c r="C77" s="7" t="s">
        <x:v>56</x:v>
      </x:c>
      <x:c r="D77" s="1" t="s">
        <x:v>97</x:v>
      </x:c>
      <x:c r="E77" s="9">
        <x:v>109</x:v>
      </x:c>
      <x:c r="F77" s="9">
        <x:v>5256</x:v>
      </x:c>
      <x:c r="G77" s="11">
        <x:v>787238613</x:v>
      </x:c>
      <x:c r="H77" s="9">
        <x:v>4827</x:v>
      </x:c>
      <x:c r="I77" s="9">
        <x:v>98</x:v>
      </x:c>
      <x:c r="J77" s="11">
        <x:v>722430978</x:v>
      </x:c>
      <x:c r="K77" s="1" t="s">
        <x:v>22</x:v>
      </x:c>
      <x:c r="L77" s="1">
        <x:v>2692</x:v>
      </x:c>
    </x:row>
    <x:row r="78" ht="22" customHeight="1">
      <x:c r="A78" s="5">
        <x:v>2020</x:v>
      </x:c>
      <x:c r="B78" s="5" t="s">
        <x:v>57</x:v>
      </x:c>
      <x:c r="C78" s="6" t="s">
        <x:v>58</x:v>
      </x:c>
      <x:c r="D78" s="5" t="s">
        <x:v>94</x:v>
      </x:c>
      <x:c r="E78" s="8">
        <x:v>46</x:v>
      </x:c>
      <x:c r="F78" s="8">
        <x:v>46</x:v>
      </x:c>
      <x:c r="G78" s="10">
        <x:v>7171344</x:v>
      </x:c>
      <x:c r="H78" s="8">
        <x:v>8</x:v>
      </x:c>
      <x:c r="I78" s="8">
        <x:v>8</x:v>
      </x:c>
      <x:c r="J78" s="10">
        <x:v>1371912</x:v>
      </x:c>
      <x:c r="K78" s="5" t="s">
        <x:v>22</x:v>
      </x:c>
      <x:c r="L78" s="5">
        <x:v>2693</x:v>
      </x:c>
    </x:row>
    <x:row r="79" ht="22" customHeight="1">
      <x:c r="A79" s="1">
        <x:v>2020</x:v>
      </x:c>
      <x:c r="B79" s="1" t="s">
        <x:v>57</x:v>
      </x:c>
      <x:c r="C79" s="7" t="s">
        <x:v>58</x:v>
      </x:c>
      <x:c r="D79" s="1" t="s">
        <x:v>95</x:v>
      </x:c>
      <x:c r="E79" s="9">
        <x:v>0</x:v>
      </x:c>
      <x:c r="F79" s="9">
        <x:v>0</x:v>
      </x:c>
      <x:c r="G79" s="11">
        <x:v>0</x:v>
      </x:c>
      <x:c r="H79" s="9">
        <x:v>0</x:v>
      </x:c>
      <x:c r="I79" s="9">
        <x:v>0</x:v>
      </x:c>
      <x:c r="J79" s="11">
        <x:v>0</x:v>
      </x:c>
      <x:c r="K79" s="1" t="s">
        <x:v>22</x:v>
      </x:c>
      <x:c r="L79" s="1">
        <x:v>2693</x:v>
      </x:c>
    </x:row>
    <x:row r="80" ht="22" customHeight="1">
      <x:c r="A80" s="5">
        <x:v>2020</x:v>
      </x:c>
      <x:c r="B80" s="5" t="s">
        <x:v>57</x:v>
      </x:c>
      <x:c r="C80" s="6" t="s">
        <x:v>58</x:v>
      </x:c>
      <x:c r="D80" s="5" t="s">
        <x:v>96</x:v>
      </x:c>
      <x:c r="E80" s="8">
        <x:v>0</x:v>
      </x:c>
      <x:c r="F80" s="8">
        <x:v>0</x:v>
      </x:c>
      <x:c r="G80" s="10">
        <x:v>0</x:v>
      </x:c>
      <x:c r="H80" s="8">
        <x:v>0</x:v>
      </x:c>
      <x:c r="I80" s="8">
        <x:v>0</x:v>
      </x:c>
      <x:c r="J80" s="10">
        <x:v>0</x:v>
      </x:c>
      <x:c r="K80" s="5" t="s">
        <x:v>22</x:v>
      </x:c>
      <x:c r="L80" s="5">
        <x:v>2693</x:v>
      </x:c>
    </x:row>
    <x:row r="81" ht="22" customHeight="1">
      <x:c r="A81" s="1">
        <x:v>2020</x:v>
      </x:c>
      <x:c r="B81" s="1" t="s">
        <x:v>57</x:v>
      </x:c>
      <x:c r="C81" s="7" t="s">
        <x:v>58</x:v>
      </x:c>
      <x:c r="D81" s="1" t="s">
        <x:v>97</x:v>
      </x:c>
      <x:c r="E81" s="9">
        <x:v>0</x:v>
      </x:c>
      <x:c r="F81" s="9">
        <x:v>0</x:v>
      </x:c>
      <x:c r="G81" s="11">
        <x:v>0</x:v>
      </x:c>
      <x:c r="H81" s="9">
        <x:v>0</x:v>
      </x:c>
      <x:c r="I81" s="9">
        <x:v>0</x:v>
      </x:c>
      <x:c r="J81" s="11">
        <x:v>0</x:v>
      </x:c>
      <x:c r="K81" s="1" t="s">
        <x:v>22</x:v>
      </x:c>
      <x:c r="L81" s="1">
        <x:v>2693</x:v>
      </x:c>
    </x:row>
    <x:row r="82" ht="22" customHeight="1">
      <x:c r="A82" s="5">
        <x:v>2020</x:v>
      </x:c>
      <x:c r="B82" s="5" t="s">
        <x:v>59</x:v>
      </x:c>
      <x:c r="C82" s="6" t="s">
        <x:v>60</x:v>
      </x:c>
      <x:c r="D82" s="5" t="s">
        <x:v>94</x:v>
      </x:c>
      <x:c r="E82" s="8">
        <x:v>73</x:v>
      </x:c>
      <x:c r="F82" s="8">
        <x:v>73</x:v>
      </x:c>
      <x:c r="G82" s="10">
        <x:v>14797439</x:v>
      </x:c>
      <x:c r="H82" s="8">
        <x:v>73</x:v>
      </x:c>
      <x:c r="I82" s="8">
        <x:v>73</x:v>
      </x:c>
      <x:c r="J82" s="10">
        <x:v>14797439</x:v>
      </x:c>
      <x:c r="K82" s="5" t="s">
        <x:v>22</x:v>
      </x:c>
      <x:c r="L82" s="5">
        <x:v>2694</x:v>
      </x:c>
    </x:row>
    <x:row r="83" ht="22" customHeight="1">
      <x:c r="A83" s="1">
        <x:v>2020</x:v>
      </x:c>
      <x:c r="B83" s="1" t="s">
        <x:v>59</x:v>
      </x:c>
      <x:c r="C83" s="7" t="s">
        <x:v>60</x:v>
      </x:c>
      <x:c r="D83" s="1" t="s">
        <x:v>95</x:v>
      </x:c>
      <x:c r="E83" s="9">
        <x:v>0</x:v>
      </x:c>
      <x:c r="F83" s="9">
        <x:v>0</x:v>
      </x:c>
      <x:c r="G83" s="11">
        <x:v>0</x:v>
      </x:c>
      <x:c r="H83" s="9">
        <x:v>0</x:v>
      </x:c>
      <x:c r="I83" s="9">
        <x:v>0</x:v>
      </x:c>
      <x:c r="J83" s="11">
        <x:v>0</x:v>
      </x:c>
      <x:c r="K83" s="1" t="s">
        <x:v>22</x:v>
      </x:c>
      <x:c r="L83" s="1">
        <x:v>2694</x:v>
      </x:c>
    </x:row>
    <x:row r="84" ht="22" customHeight="1">
      <x:c r="A84" s="5">
        <x:v>2020</x:v>
      </x:c>
      <x:c r="B84" s="5" t="s">
        <x:v>59</x:v>
      </x:c>
      <x:c r="C84" s="6" t="s">
        <x:v>60</x:v>
      </x:c>
      <x:c r="D84" s="5" t="s">
        <x:v>96</x:v>
      </x:c>
      <x:c r="E84" s="8">
        <x:v>0</x:v>
      </x:c>
      <x:c r="F84" s="8">
        <x:v>0</x:v>
      </x:c>
      <x:c r="G84" s="10">
        <x:v>0</x:v>
      </x:c>
      <x:c r="H84" s="8">
        <x:v>0</x:v>
      </x:c>
      <x:c r="I84" s="8">
        <x:v>0</x:v>
      </x:c>
      <x:c r="J84" s="10">
        <x:v>0</x:v>
      </x:c>
      <x:c r="K84" s="5" t="s">
        <x:v>22</x:v>
      </x:c>
      <x:c r="L84" s="5">
        <x:v>2694</x:v>
      </x:c>
    </x:row>
    <x:row r="85" ht="22" customHeight="1">
      <x:c r="A85" s="1">
        <x:v>2020</x:v>
      </x:c>
      <x:c r="B85" s="1" t="s">
        <x:v>59</x:v>
      </x:c>
      <x:c r="C85" s="7" t="s">
        <x:v>60</x:v>
      </x:c>
      <x:c r="D85" s="1" t="s">
        <x:v>97</x:v>
      </x:c>
      <x:c r="E85" s="9">
        <x:v>0</x:v>
      </x:c>
      <x:c r="F85" s="9">
        <x:v>0</x:v>
      </x:c>
      <x:c r="G85" s="11">
        <x:v>0</x:v>
      </x:c>
      <x:c r="H85" s="9">
        <x:v>0</x:v>
      </x:c>
      <x:c r="I85" s="9">
        <x:v>0</x:v>
      </x:c>
      <x:c r="J85" s="11">
        <x:v>0</x:v>
      </x:c>
      <x:c r="K85" s="1" t="s">
        <x:v>22</x:v>
      </x:c>
      <x:c r="L85" s="1">
        <x:v>2694</x:v>
      </x:c>
    </x:row>
    <x:row r="86" ht="22" customHeight="1">
      <x:c r="A86" s="5">
        <x:v>2020</x:v>
      </x:c>
      <x:c r="B86" s="5" t="s">
        <x:v>61</x:v>
      </x:c>
      <x:c r="C86" s="6" t="s">
        <x:v>62</x:v>
      </x:c>
      <x:c r="D86" s="5" t="s">
        <x:v>94</x:v>
      </x:c>
      <x:c r="E86" s="8">
        <x:v>101</x:v>
      </x:c>
      <x:c r="F86" s="8">
        <x:v>101</x:v>
      </x:c>
      <x:c r="G86" s="10">
        <x:v>24589061</x:v>
      </x:c>
      <x:c r="H86" s="8">
        <x:v>101</x:v>
      </x:c>
      <x:c r="I86" s="8">
        <x:v>101</x:v>
      </x:c>
      <x:c r="J86" s="10">
        <x:v>24589061</x:v>
      </x:c>
      <x:c r="K86" s="5" t="s">
        <x:v>22</x:v>
      </x:c>
      <x:c r="L86" s="5">
        <x:v>2695</x:v>
      </x:c>
    </x:row>
    <x:row r="87" ht="22" customHeight="1">
      <x:c r="A87" s="1">
        <x:v>2020</x:v>
      </x:c>
      <x:c r="B87" s="1" t="s">
        <x:v>61</x:v>
      </x:c>
      <x:c r="C87" s="7" t="s">
        <x:v>62</x:v>
      </x:c>
      <x:c r="D87" s="1" t="s">
        <x:v>95</x:v>
      </x:c>
      <x:c r="E87" s="9">
        <x:v>2</x:v>
      </x:c>
      <x:c r="F87" s="9">
        <x:v>4</x:v>
      </x:c>
      <x:c r="G87" s="11">
        <x:v>526000</x:v>
      </x:c>
      <x:c r="H87" s="9">
        <x:v>4</x:v>
      </x:c>
      <x:c r="I87" s="9">
        <x:v>2</x:v>
      </x:c>
      <x:c r="J87" s="11">
        <x:v>526000</x:v>
      </x:c>
      <x:c r="K87" s="1" t="s">
        <x:v>22</x:v>
      </x:c>
      <x:c r="L87" s="1">
        <x:v>2695</x:v>
      </x:c>
    </x:row>
    <x:row r="88" ht="22" customHeight="1">
      <x:c r="A88" s="5">
        <x:v>2020</x:v>
      </x:c>
      <x:c r="B88" s="5" t="s">
        <x:v>61</x:v>
      </x:c>
      <x:c r="C88" s="6" t="s">
        <x:v>62</x:v>
      </x:c>
      <x:c r="D88" s="5" t="s">
        <x:v>96</x:v>
      </x:c>
      <x:c r="E88" s="8">
        <x:v>0</x:v>
      </x:c>
      <x:c r="F88" s="8">
        <x:v>0</x:v>
      </x:c>
      <x:c r="G88" s="10">
        <x:v>0</x:v>
      </x:c>
      <x:c r="H88" s="8">
        <x:v>0</x:v>
      </x:c>
      <x:c r="I88" s="8">
        <x:v>0</x:v>
      </x:c>
      <x:c r="J88" s="10">
        <x:v>0</x:v>
      </x:c>
      <x:c r="K88" s="5" t="s">
        <x:v>22</x:v>
      </x:c>
      <x:c r="L88" s="5">
        <x:v>2695</x:v>
      </x:c>
    </x:row>
    <x:row r="89" ht="22" customHeight="1">
      <x:c r="A89" s="1">
        <x:v>2020</x:v>
      </x:c>
      <x:c r="B89" s="1" t="s">
        <x:v>61</x:v>
      </x:c>
      <x:c r="C89" s="7" t="s">
        <x:v>62</x:v>
      </x:c>
      <x:c r="D89" s="1" t="s">
        <x:v>97</x:v>
      </x:c>
      <x:c r="E89" s="9">
        <x:v>0</x:v>
      </x:c>
      <x:c r="F89" s="9">
        <x:v>0</x:v>
      </x:c>
      <x:c r="G89" s="11">
        <x:v>0</x:v>
      </x:c>
      <x:c r="H89" s="9">
        <x:v>0</x:v>
      </x:c>
      <x:c r="I89" s="9">
        <x:v>0</x:v>
      </x:c>
      <x:c r="J89" s="11">
        <x:v>0</x:v>
      </x:c>
      <x:c r="K89" s="1" t="s">
        <x:v>22</x:v>
      </x:c>
      <x:c r="L89" s="1">
        <x:v>2695</x:v>
      </x:c>
    </x:row>
    <x:row r="90" ht="22" customHeight="1">
      <x:c r="A90" s="5">
        <x:v>2020</x:v>
      </x:c>
      <x:c r="B90" s="5" t="s">
        <x:v>63</x:v>
      </x:c>
      <x:c r="C90" s="6" t="s">
        <x:v>64</x:v>
      </x:c>
      <x:c r="D90" s="5" t="s">
        <x:v>94</x:v>
      </x:c>
      <x:c r="E90" s="8">
        <x:v>199</x:v>
      </x:c>
      <x:c r="F90" s="8">
        <x:v>199</x:v>
      </x:c>
      <x:c r="G90" s="10">
        <x:v>141399173</x:v>
      </x:c>
      <x:c r="H90" s="8">
        <x:v>93</x:v>
      </x:c>
      <x:c r="I90" s="8">
        <x:v>93</x:v>
      </x:c>
      <x:c r="J90" s="10">
        <x:v>86940944</x:v>
      </x:c>
      <x:c r="K90" s="5" t="s">
        <x:v>22</x:v>
      </x:c>
      <x:c r="L90" s="5">
        <x:v>2696</x:v>
      </x:c>
    </x:row>
    <x:row r="91" ht="22" customHeight="1">
      <x:c r="A91" s="1">
        <x:v>2020</x:v>
      </x:c>
      <x:c r="B91" s="1" t="s">
        <x:v>63</x:v>
      </x:c>
      <x:c r="C91" s="7" t="s">
        <x:v>64</x:v>
      </x:c>
      <x:c r="D91" s="1" t="s">
        <x:v>95</x:v>
      </x:c>
      <x:c r="E91" s="9">
        <x:v>2</x:v>
      </x:c>
      <x:c r="F91" s="9">
        <x:v>4</x:v>
      </x:c>
      <x:c r="G91" s="11">
        <x:v>691450</x:v>
      </x:c>
      <x:c r="H91" s="9">
        <x:v>4</x:v>
      </x:c>
      <x:c r="I91" s="9">
        <x:v>2</x:v>
      </x:c>
      <x:c r="J91" s="11">
        <x:v>691450</x:v>
      </x:c>
      <x:c r="K91" s="1" t="s">
        <x:v>22</x:v>
      </x:c>
      <x:c r="L91" s="1">
        <x:v>2696</x:v>
      </x:c>
    </x:row>
    <x:row r="92" ht="22" customHeight="1">
      <x:c r="A92" s="5">
        <x:v>2020</x:v>
      </x:c>
      <x:c r="B92" s="5" t="s">
        <x:v>63</x:v>
      </x:c>
      <x:c r="C92" s="6" t="s">
        <x:v>64</x:v>
      </x:c>
      <x:c r="D92" s="5" t="s">
        <x:v>96</x:v>
      </x:c>
      <x:c r="E92" s="8">
        <x:v>12</x:v>
      </x:c>
      <x:c r="F92" s="8">
        <x:v>40</x:v>
      </x:c>
      <x:c r="G92" s="10">
        <x:v>7478123</x:v>
      </x:c>
      <x:c r="H92" s="8">
        <x:v>19</x:v>
      </x:c>
      <x:c r="I92" s="8">
        <x:v>5</x:v>
      </x:c>
      <x:c r="J92" s="10">
        <x:v>1587413</x:v>
      </x:c>
      <x:c r="K92" s="5" t="s">
        <x:v>22</x:v>
      </x:c>
      <x:c r="L92" s="5">
        <x:v>2696</x:v>
      </x:c>
    </x:row>
    <x:row r="93" ht="22" customHeight="1">
      <x:c r="A93" s="1">
        <x:v>2020</x:v>
      </x:c>
      <x:c r="B93" s="1" t="s">
        <x:v>63</x:v>
      </x:c>
      <x:c r="C93" s="7" t="s">
        <x:v>64</x:v>
      </x:c>
      <x:c r="D93" s="1" t="s">
        <x:v>97</x:v>
      </x:c>
      <x:c r="E93" s="9">
        <x:v>13</x:v>
      </x:c>
      <x:c r="F93" s="9">
        <x:v>72</x:v>
      </x:c>
      <x:c r="G93" s="11">
        <x:v>12301690</x:v>
      </x:c>
      <x:c r="H93" s="9">
        <x:v>0</x:v>
      </x:c>
      <x:c r="I93" s="9">
        <x:v>0</x:v>
      </x:c>
      <x:c r="J93" s="11">
        <x:v>0</x:v>
      </x:c>
      <x:c r="K93" s="1" t="s">
        <x:v>22</x:v>
      </x:c>
      <x:c r="L93" s="1">
        <x:v>2696</x:v>
      </x:c>
    </x:row>
    <x:row r="94" ht="22" customHeight="1">
      <x:c r="A94" s="5">
        <x:v>2020</x:v>
      </x:c>
      <x:c r="B94" s="5" t="s">
        <x:v>65</x:v>
      </x:c>
      <x:c r="C94" s="6" t="s">
        <x:v>66</x:v>
      </x:c>
      <x:c r="D94" s="5" t="s">
        <x:v>94</x:v>
      </x:c>
      <x:c r="E94" s="8">
        <x:v>881</x:v>
      </x:c>
      <x:c r="F94" s="8">
        <x:v>881</x:v>
      </x:c>
      <x:c r="G94" s="10">
        <x:v>206503680</x:v>
      </x:c>
      <x:c r="H94" s="8">
        <x:v>881</x:v>
      </x:c>
      <x:c r="I94" s="8">
        <x:v>881</x:v>
      </x:c>
      <x:c r="J94" s="10">
        <x:v>206503680</x:v>
      </x:c>
      <x:c r="K94" s="5" t="s">
        <x:v>22</x:v>
      </x:c>
      <x:c r="L94" s="5">
        <x:v>2697</x:v>
      </x:c>
    </x:row>
    <x:row r="95" ht="22" customHeight="1">
      <x:c r="A95" s="1">
        <x:v>2020</x:v>
      </x:c>
      <x:c r="B95" s="1" t="s">
        <x:v>65</x:v>
      </x:c>
      <x:c r="C95" s="7" t="s">
        <x:v>66</x:v>
      </x:c>
      <x:c r="D95" s="1" t="s">
        <x:v>95</x:v>
      </x:c>
      <x:c r="E95" s="9">
        <x:v>3</x:v>
      </x:c>
      <x:c r="F95" s="9">
        <x:v>6</x:v>
      </x:c>
      <x:c r="G95" s="11">
        <x:v>1194810</x:v>
      </x:c>
      <x:c r="H95" s="9">
        <x:v>6</x:v>
      </x:c>
      <x:c r="I95" s="9">
        <x:v>3</x:v>
      </x:c>
      <x:c r="J95" s="11">
        <x:v>1194810</x:v>
      </x:c>
      <x:c r="K95" s="1" t="s">
        <x:v>22</x:v>
      </x:c>
      <x:c r="L95" s="1">
        <x:v>2697</x:v>
      </x:c>
    </x:row>
    <x:row r="96" ht="22" customHeight="1">
      <x:c r="A96" s="5">
        <x:v>2020</x:v>
      </x:c>
      <x:c r="B96" s="5" t="s">
        <x:v>65</x:v>
      </x:c>
      <x:c r="C96" s="6" t="s">
        <x:v>66</x:v>
      </x:c>
      <x:c r="D96" s="5" t="s">
        <x:v>96</x:v>
      </x:c>
      <x:c r="E96" s="8">
        <x:v>3</x:v>
      </x:c>
      <x:c r="F96" s="8">
        <x:v>11</x:v>
      </x:c>
      <x:c r="G96" s="10">
        <x:v>2118308</x:v>
      </x:c>
      <x:c r="H96" s="8">
        <x:v>11</x:v>
      </x:c>
      <x:c r="I96" s="8">
        <x:v>3</x:v>
      </x:c>
      <x:c r="J96" s="10">
        <x:v>2118308</x:v>
      </x:c>
      <x:c r="K96" s="5" t="s">
        <x:v>22</x:v>
      </x:c>
      <x:c r="L96" s="5">
        <x:v>2697</x:v>
      </x:c>
    </x:row>
    <x:row r="97" ht="22" customHeight="1">
      <x:c r="A97" s="1">
        <x:v>2020</x:v>
      </x:c>
      <x:c r="B97" s="1" t="s">
        <x:v>65</x:v>
      </x:c>
      <x:c r="C97" s="7" t="s">
        <x:v>66</x:v>
      </x:c>
      <x:c r="D97" s="1" t="s">
        <x:v>97</x:v>
      </x:c>
      <x:c r="E97" s="9">
        <x:v>3</x:v>
      </x:c>
      <x:c r="F97" s="9">
        <x:v>34</x:v>
      </x:c>
      <x:c r="G97" s="11">
        <x:v>4043059</x:v>
      </x:c>
      <x:c r="H97" s="9">
        <x:v>34</x:v>
      </x:c>
      <x:c r="I97" s="9">
        <x:v>3</x:v>
      </x:c>
      <x:c r="J97" s="11">
        <x:v>4043059</x:v>
      </x:c>
      <x:c r="K97" s="1" t="s">
        <x:v>22</x:v>
      </x:c>
      <x:c r="L97" s="1">
        <x:v>2697</x:v>
      </x:c>
    </x:row>
    <x:row r="98" ht="22" customHeight="1">
      <x:c r="A98" s="5">
        <x:v>2020</x:v>
      </x:c>
      <x:c r="B98" s="5" t="s">
        <x:v>67</x:v>
      </x:c>
      <x:c r="C98" s="6" t="s">
        <x:v>68</x:v>
      </x:c>
      <x:c r="D98" s="5" t="s">
        <x:v>94</x:v>
      </x:c>
      <x:c r="E98" s="8">
        <x:v>59</x:v>
      </x:c>
      <x:c r="F98" s="8">
        <x:v>59</x:v>
      </x:c>
      <x:c r="G98" s="10">
        <x:v>16891102</x:v>
      </x:c>
      <x:c r="H98" s="8">
        <x:v>59</x:v>
      </x:c>
      <x:c r="I98" s="8">
        <x:v>59</x:v>
      </x:c>
      <x:c r="J98" s="10">
        <x:v>16891102</x:v>
      </x:c>
      <x:c r="K98" s="5" t="s">
        <x:v>22</x:v>
      </x:c>
      <x:c r="L98" s="5">
        <x:v>2698</x:v>
      </x:c>
    </x:row>
    <x:row r="99" ht="22" customHeight="1">
      <x:c r="A99" s="1">
        <x:v>2020</x:v>
      </x:c>
      <x:c r="B99" s="1" t="s">
        <x:v>67</x:v>
      </x:c>
      <x:c r="C99" s="7" t="s">
        <x:v>68</x:v>
      </x:c>
      <x:c r="D99" s="1" t="s">
        <x:v>95</x:v>
      </x:c>
      <x:c r="E99" s="9">
        <x:v>0</x:v>
      </x:c>
      <x:c r="F99" s="9">
        <x:v>0</x:v>
      </x:c>
      <x:c r="G99" s="11">
        <x:v>0</x:v>
      </x:c>
      <x:c r="H99" s="9">
        <x:v>0</x:v>
      </x:c>
      <x:c r="I99" s="9">
        <x:v>0</x:v>
      </x:c>
      <x:c r="J99" s="11">
        <x:v>0</x:v>
      </x:c>
      <x:c r="K99" s="1" t="s">
        <x:v>22</x:v>
      </x:c>
      <x:c r="L99" s="1">
        <x:v>2698</x:v>
      </x:c>
    </x:row>
    <x:row r="100" ht="22" customHeight="1">
      <x:c r="A100" s="5">
        <x:v>2020</x:v>
      </x:c>
      <x:c r="B100" s="5" t="s">
        <x:v>67</x:v>
      </x:c>
      <x:c r="C100" s="6" t="s">
        <x:v>68</x:v>
      </x:c>
      <x:c r="D100" s="5" t="s">
        <x:v>96</x:v>
      </x:c>
      <x:c r="E100" s="8">
        <x:v>0</x:v>
      </x:c>
      <x:c r="F100" s="8">
        <x:v>0</x:v>
      </x:c>
      <x:c r="G100" s="10">
        <x:v>0</x:v>
      </x:c>
      <x:c r="H100" s="8">
        <x:v>0</x:v>
      </x:c>
      <x:c r="I100" s="8">
        <x:v>0</x:v>
      </x:c>
      <x:c r="J100" s="10">
        <x:v>0</x:v>
      </x:c>
      <x:c r="K100" s="5" t="s">
        <x:v>22</x:v>
      </x:c>
      <x:c r="L100" s="5">
        <x:v>2698</x:v>
      </x:c>
    </x:row>
    <x:row r="101" ht="22" customHeight="1">
      <x:c r="A101" s="1">
        <x:v>2020</x:v>
      </x:c>
      <x:c r="B101" s="1" t="s">
        <x:v>67</x:v>
      </x:c>
      <x:c r="C101" s="7" t="s">
        <x:v>68</x:v>
      </x:c>
      <x:c r="D101" s="1" t="s">
        <x:v>97</x:v>
      </x:c>
      <x:c r="E101" s="9">
        <x:v>0</x:v>
      </x:c>
      <x:c r="F101" s="9">
        <x:v>0</x:v>
      </x:c>
      <x:c r="G101" s="11">
        <x:v>0</x:v>
      </x:c>
      <x:c r="H101" s="9">
        <x:v>0</x:v>
      </x:c>
      <x:c r="I101" s="9">
        <x:v>0</x:v>
      </x:c>
      <x:c r="J101" s="11">
        <x:v>0</x:v>
      </x:c>
      <x:c r="K101" s="1" t="s">
        <x:v>22</x:v>
      </x:c>
      <x:c r="L101" s="1">
        <x:v>2698</x:v>
      </x:c>
    </x:row>
    <x:row r="102" ht="22" customHeight="1">
      <x:c r="A102" s="5">
        <x:v>2020</x:v>
      </x:c>
      <x:c r="B102" s="5" t="s">
        <x:v>69</x:v>
      </x:c>
      <x:c r="C102" s="6" t="s">
        <x:v>70</x:v>
      </x:c>
      <x:c r="D102" s="5" t="s">
        <x:v>94</x:v>
      </x:c>
      <x:c r="E102" s="8">
        <x:v>6731</x:v>
      </x:c>
      <x:c r="F102" s="8">
        <x:v>6731</x:v>
      </x:c>
      <x:c r="G102" s="10">
        <x:v>1909827180</x:v>
      </x:c>
      <x:c r="H102" s="8">
        <x:v>6612</x:v>
      </x:c>
      <x:c r="I102" s="8">
        <x:v>6612</x:v>
      </x:c>
      <x:c r="J102" s="10">
        <x:v>1862889224</x:v>
      </x:c>
      <x:c r="K102" s="5" t="s">
        <x:v>22</x:v>
      </x:c>
      <x:c r="L102" s="5">
        <x:v>2699</x:v>
      </x:c>
    </x:row>
    <x:row r="103" ht="22" customHeight="1">
      <x:c r="A103" s="1">
        <x:v>2020</x:v>
      </x:c>
      <x:c r="B103" s="1" t="s">
        <x:v>69</x:v>
      </x:c>
      <x:c r="C103" s="7" t="s">
        <x:v>70</x:v>
      </x:c>
      <x:c r="D103" s="1" t="s">
        <x:v>95</x:v>
      </x:c>
      <x:c r="E103" s="9">
        <x:v>19</x:v>
      </x:c>
      <x:c r="F103" s="9">
        <x:v>38</x:v>
      </x:c>
      <x:c r="G103" s="11">
        <x:v>7337426</x:v>
      </x:c>
      <x:c r="H103" s="9">
        <x:v>38</x:v>
      </x:c>
      <x:c r="I103" s="9">
        <x:v>19</x:v>
      </x:c>
      <x:c r="J103" s="11">
        <x:v>7337426</x:v>
      </x:c>
      <x:c r="K103" s="1" t="s">
        <x:v>22</x:v>
      </x:c>
      <x:c r="L103" s="1">
        <x:v>2699</x:v>
      </x:c>
    </x:row>
    <x:row r="104" ht="22" customHeight="1">
      <x:c r="A104" s="5">
        <x:v>2020</x:v>
      </x:c>
      <x:c r="B104" s="5" t="s">
        <x:v>69</x:v>
      </x:c>
      <x:c r="C104" s="6" t="s">
        <x:v>70</x:v>
      </x:c>
      <x:c r="D104" s="5" t="s">
        <x:v>96</x:v>
      </x:c>
      <x:c r="E104" s="8">
        <x:v>105</x:v>
      </x:c>
      <x:c r="F104" s="8">
        <x:v>391</x:v>
      </x:c>
      <x:c r="G104" s="10">
        <x:v>54039911</x:v>
      </x:c>
      <x:c r="H104" s="8">
        <x:v>391</x:v>
      </x:c>
      <x:c r="I104" s="8">
        <x:v>105</x:v>
      </x:c>
      <x:c r="J104" s="10">
        <x:v>54039911</x:v>
      </x:c>
      <x:c r="K104" s="5" t="s">
        <x:v>22</x:v>
      </x:c>
      <x:c r="L104" s="5">
        <x:v>2699</x:v>
      </x:c>
    </x:row>
    <x:row r="105" ht="22" customHeight="1">
      <x:c r="A105" s="1">
        <x:v>2020</x:v>
      </x:c>
      <x:c r="B105" s="1" t="s">
        <x:v>69</x:v>
      </x:c>
      <x:c r="C105" s="7" t="s">
        <x:v>70</x:v>
      </x:c>
      <x:c r="D105" s="1" t="s">
        <x:v>97</x:v>
      </x:c>
      <x:c r="E105" s="9">
        <x:v>71</x:v>
      </x:c>
      <x:c r="F105" s="9">
        <x:v>699</x:v>
      </x:c>
      <x:c r="G105" s="11">
        <x:v>96985999</x:v>
      </x:c>
      <x:c r="H105" s="9">
        <x:v>699</x:v>
      </x:c>
      <x:c r="I105" s="9">
        <x:v>71</x:v>
      </x:c>
      <x:c r="J105" s="11">
        <x:v>96985999</x:v>
      </x:c>
      <x:c r="K105" s="1" t="s">
        <x:v>22</x:v>
      </x:c>
      <x:c r="L105" s="1">
        <x:v>2699</x:v>
      </x:c>
    </x:row>
    <x:row r="106" ht="22" customHeight="1">
      <x:c r="A106" s="5">
        <x:v>2020</x:v>
      </x:c>
      <x:c r="B106" s="5" t="s">
        <x:v>71</x:v>
      </x:c>
      <x:c r="C106" s="6" t="s">
        <x:v>72</x:v>
      </x:c>
      <x:c r="D106" s="5" t="s">
        <x:v>94</x:v>
      </x:c>
      <x:c r="E106" s="8">
        <x:v>496</x:v>
      </x:c>
      <x:c r="F106" s="8">
        <x:v>496</x:v>
      </x:c>
      <x:c r="G106" s="10">
        <x:v>265381247</x:v>
      </x:c>
      <x:c r="H106" s="8">
        <x:v>491</x:v>
      </x:c>
      <x:c r="I106" s="8">
        <x:v>491</x:v>
      </x:c>
      <x:c r="J106" s="10">
        <x:v>263204997</x:v>
      </x:c>
      <x:c r="K106" s="5" t="s">
        <x:v>22</x:v>
      </x:c>
      <x:c r="L106" s="5">
        <x:v>2700</x:v>
      </x:c>
    </x:row>
    <x:row r="107" ht="22" customHeight="1">
      <x:c r="A107" s="1">
        <x:v>2020</x:v>
      </x:c>
      <x:c r="B107" s="1" t="s">
        <x:v>71</x:v>
      </x:c>
      <x:c r="C107" s="7" t="s">
        <x:v>72</x:v>
      </x:c>
      <x:c r="D107" s="1" t="s">
        <x:v>95</x:v>
      </x:c>
      <x:c r="E107" s="9">
        <x:v>0</x:v>
      </x:c>
      <x:c r="F107" s="9">
        <x:v>0</x:v>
      </x:c>
      <x:c r="G107" s="11">
        <x:v>0</x:v>
      </x:c>
      <x:c r="H107" s="9">
        <x:v>0</x:v>
      </x:c>
      <x:c r="I107" s="9">
        <x:v>0</x:v>
      </x:c>
      <x:c r="J107" s="11">
        <x:v>0</x:v>
      </x:c>
      <x:c r="K107" s="1" t="s">
        <x:v>22</x:v>
      </x:c>
      <x:c r="L107" s="1">
        <x:v>2700</x:v>
      </x:c>
    </x:row>
    <x:row r="108" ht="22" customHeight="1">
      <x:c r="A108" s="5">
        <x:v>2020</x:v>
      </x:c>
      <x:c r="B108" s="5" t="s">
        <x:v>71</x:v>
      </x:c>
      <x:c r="C108" s="6" t="s">
        <x:v>72</x:v>
      </x:c>
      <x:c r="D108" s="5" t="s">
        <x:v>96</x:v>
      </x:c>
      <x:c r="E108" s="8">
        <x:v>0</x:v>
      </x:c>
      <x:c r="F108" s="8">
        <x:v>0</x:v>
      </x:c>
      <x:c r="G108" s="10">
        <x:v>0</x:v>
      </x:c>
      <x:c r="H108" s="8">
        <x:v>0</x:v>
      </x:c>
      <x:c r="I108" s="8">
        <x:v>0</x:v>
      </x:c>
      <x:c r="J108" s="10">
        <x:v>0</x:v>
      </x:c>
      <x:c r="K108" s="5" t="s">
        <x:v>22</x:v>
      </x:c>
      <x:c r="L108" s="5">
        <x:v>2700</x:v>
      </x:c>
    </x:row>
    <x:row r="109" ht="22" customHeight="1">
      <x:c r="A109" s="1">
        <x:v>2020</x:v>
      </x:c>
      <x:c r="B109" s="1" t="s">
        <x:v>71</x:v>
      </x:c>
      <x:c r="C109" s="7" t="s">
        <x:v>72</x:v>
      </x:c>
      <x:c r="D109" s="1" t="s">
        <x:v>97</x:v>
      </x:c>
      <x:c r="E109" s="9">
        <x:v>2</x:v>
      </x:c>
      <x:c r="F109" s="9">
        <x:v>21</x:v>
      </x:c>
      <x:c r="G109" s="11">
        <x:v>5183919</x:v>
      </x:c>
      <x:c r="H109" s="9">
        <x:v>21</x:v>
      </x:c>
      <x:c r="I109" s="9">
        <x:v>2</x:v>
      </x:c>
      <x:c r="J109" s="11">
        <x:v>5183919</x:v>
      </x:c>
      <x:c r="K109" s="1" t="s">
        <x:v>22</x:v>
      </x:c>
      <x:c r="L109" s="1">
        <x:v>2700</x:v>
      </x:c>
    </x:row>
    <x:row r="110" ht="22" customHeight="1">
      <x:c r="A110" s="5">
        <x:v>2020</x:v>
      </x:c>
      <x:c r="B110" s="5" t="s">
        <x:v>73</x:v>
      </x:c>
      <x:c r="C110" s="6" t="s">
        <x:v>74</x:v>
      </x:c>
      <x:c r="D110" s="5" t="s">
        <x:v>94</x:v>
      </x:c>
      <x:c r="E110" s="8">
        <x:v>2939</x:v>
      </x:c>
      <x:c r="F110" s="8">
        <x:v>2939</x:v>
      </x:c>
      <x:c r="G110" s="10">
        <x:v>588176094</x:v>
      </x:c>
      <x:c r="H110" s="8">
        <x:v>2484</x:v>
      </x:c>
      <x:c r="I110" s="8">
        <x:v>2484</x:v>
      </x:c>
      <x:c r="J110" s="10">
        <x:v>506090868</x:v>
      </x:c>
      <x:c r="K110" s="5" t="s">
        <x:v>22</x:v>
      </x:c>
      <x:c r="L110" s="5">
        <x:v>2701</x:v>
      </x:c>
    </x:row>
    <x:row r="111" ht="22" customHeight="1">
      <x:c r="A111" s="1">
        <x:v>2020</x:v>
      </x:c>
      <x:c r="B111" s="1" t="s">
        <x:v>73</x:v>
      </x:c>
      <x:c r="C111" s="7" t="s">
        <x:v>74</x:v>
      </x:c>
      <x:c r="D111" s="1" t="s">
        <x:v>95</x:v>
      </x:c>
      <x:c r="E111" s="9">
        <x:v>7</x:v>
      </x:c>
      <x:c r="F111" s="9">
        <x:v>14</x:v>
      </x:c>
      <x:c r="G111" s="11">
        <x:v>2690126</x:v>
      </x:c>
      <x:c r="H111" s="9">
        <x:v>10</x:v>
      </x:c>
      <x:c r="I111" s="9">
        <x:v>5</x:v>
      </x:c>
      <x:c r="J111" s="11">
        <x:v>1936890</x:v>
      </x:c>
      <x:c r="K111" s="1" t="s">
        <x:v>22</x:v>
      </x:c>
      <x:c r="L111" s="1">
        <x:v>2701</x:v>
      </x:c>
    </x:row>
    <x:row r="112" ht="22" customHeight="1">
      <x:c r="A112" s="5">
        <x:v>2020</x:v>
      </x:c>
      <x:c r="B112" s="5" t="s">
        <x:v>73</x:v>
      </x:c>
      <x:c r="C112" s="6" t="s">
        <x:v>74</x:v>
      </x:c>
      <x:c r="D112" s="5" t="s">
        <x:v>96</x:v>
      </x:c>
      <x:c r="E112" s="8">
        <x:v>13</x:v>
      </x:c>
      <x:c r="F112" s="8">
        <x:v>51</x:v>
      </x:c>
      <x:c r="G112" s="10">
        <x:v>9451946</x:v>
      </x:c>
      <x:c r="H112" s="8">
        <x:v>47</x:v>
      </x:c>
      <x:c r="I112" s="8">
        <x:v>12</x:v>
      </x:c>
      <x:c r="J112" s="10">
        <x:v>8649946</x:v>
      </x:c>
      <x:c r="K112" s="5" t="s">
        <x:v>22</x:v>
      </x:c>
      <x:c r="L112" s="5">
        <x:v>2701</x:v>
      </x:c>
    </x:row>
    <x:row r="113" ht="22" customHeight="1">
      <x:c r="A113" s="1">
        <x:v>2020</x:v>
      </x:c>
      <x:c r="B113" s="1" t="s">
        <x:v>73</x:v>
      </x:c>
      <x:c r="C113" s="7" t="s">
        <x:v>74</x:v>
      </x:c>
      <x:c r="D113" s="1" t="s">
        <x:v>97</x:v>
      </x:c>
      <x:c r="E113" s="9">
        <x:v>18</x:v>
      </x:c>
      <x:c r="F113" s="9">
        <x:v>310</x:v>
      </x:c>
      <x:c r="G113" s="11">
        <x:v>41390914</x:v>
      </x:c>
      <x:c r="H113" s="9">
        <x:v>293</x:v>
      </x:c>
      <x:c r="I113" s="9">
        <x:v>16</x:v>
      </x:c>
      <x:c r="J113" s="11">
        <x:v>39329114</x:v>
      </x:c>
      <x:c r="K113" s="1" t="s">
        <x:v>22</x:v>
      </x:c>
      <x:c r="L113" s="1">
        <x:v>2701</x:v>
      </x:c>
    </x:row>
    <x:row r="114" ht="22" customHeight="1">
      <x:c r="A114" s="5">
        <x:v>2020</x:v>
      </x:c>
      <x:c r="B114" s="5" t="s">
        <x:v>75</x:v>
      </x:c>
      <x:c r="C114" s="6" t="s">
        <x:v>76</x:v>
      </x:c>
      <x:c r="D114" s="5" t="s">
        <x:v>94</x:v>
      </x:c>
      <x:c r="E114" s="8">
        <x:v>31</x:v>
      </x:c>
      <x:c r="F114" s="8">
        <x:v>31</x:v>
      </x:c>
      <x:c r="G114" s="10">
        <x:v>7760000</x:v>
      </x:c>
      <x:c r="H114" s="8">
        <x:v>31</x:v>
      </x:c>
      <x:c r="I114" s="8">
        <x:v>31</x:v>
      </x:c>
      <x:c r="J114" s="10">
        <x:v>7760000</x:v>
      </x:c>
      <x:c r="K114" s="5" t="s">
        <x:v>22</x:v>
      </x:c>
      <x:c r="L114" s="5">
        <x:v>2702</x:v>
      </x:c>
    </x:row>
    <x:row r="115" ht="22" customHeight="1">
      <x:c r="A115" s="1">
        <x:v>2020</x:v>
      </x:c>
      <x:c r="B115" s="1" t="s">
        <x:v>75</x:v>
      </x:c>
      <x:c r="C115" s="7" t="s">
        <x:v>76</x:v>
      </x:c>
      <x:c r="D115" s="1" t="s">
        <x:v>95</x:v>
      </x:c>
      <x:c r="E115" s="9">
        <x:v>0</x:v>
      </x:c>
      <x:c r="F115" s="9">
        <x:v>0</x:v>
      </x:c>
      <x:c r="G115" s="11">
        <x:v>0</x:v>
      </x:c>
      <x:c r="H115" s="9">
        <x:v>0</x:v>
      </x:c>
      <x:c r="I115" s="9">
        <x:v>0</x:v>
      </x:c>
      <x:c r="J115" s="11">
        <x:v>0</x:v>
      </x:c>
      <x:c r="K115" s="1" t="s">
        <x:v>22</x:v>
      </x:c>
      <x:c r="L115" s="1">
        <x:v>2702</x:v>
      </x:c>
    </x:row>
    <x:row r="116" ht="22" customHeight="1">
      <x:c r="A116" s="5">
        <x:v>2020</x:v>
      </x:c>
      <x:c r="B116" s="5" t="s">
        <x:v>75</x:v>
      </x:c>
      <x:c r="C116" s="6" t="s">
        <x:v>76</x:v>
      </x:c>
      <x:c r="D116" s="5" t="s">
        <x:v>96</x:v>
      </x:c>
      <x:c r="E116" s="8">
        <x:v>0</x:v>
      </x:c>
      <x:c r="F116" s="8">
        <x:v>0</x:v>
      </x:c>
      <x:c r="G116" s="10">
        <x:v>0</x:v>
      </x:c>
      <x:c r="H116" s="8">
        <x:v>0</x:v>
      </x:c>
      <x:c r="I116" s="8">
        <x:v>0</x:v>
      </x:c>
      <x:c r="J116" s="10">
        <x:v>0</x:v>
      </x:c>
      <x:c r="K116" s="5" t="s">
        <x:v>22</x:v>
      </x:c>
      <x:c r="L116" s="5">
        <x:v>2702</x:v>
      </x:c>
    </x:row>
    <x:row r="117" ht="22" customHeight="1">
      <x:c r="A117" s="1">
        <x:v>2020</x:v>
      </x:c>
      <x:c r="B117" s="1" t="s">
        <x:v>75</x:v>
      </x:c>
      <x:c r="C117" s="7" t="s">
        <x:v>76</x:v>
      </x:c>
      <x:c r="D117" s="1" t="s">
        <x:v>97</x:v>
      </x:c>
      <x:c r="E117" s="9">
        <x:v>0</x:v>
      </x:c>
      <x:c r="F117" s="9">
        <x:v>0</x:v>
      </x:c>
      <x:c r="G117" s="11">
        <x:v>0</x:v>
      </x:c>
      <x:c r="H117" s="9">
        <x:v>0</x:v>
      </x:c>
      <x:c r="I117" s="9">
        <x:v>0</x:v>
      </x:c>
      <x:c r="J117" s="11">
        <x:v>0</x:v>
      </x:c>
      <x:c r="K117" s="1" t="s">
        <x:v>22</x:v>
      </x:c>
      <x:c r="L117" s="1">
        <x:v>2702</x:v>
      </x:c>
    </x:row>
    <x:row r="118" ht="22" customHeight="1">
      <x:c r="A118" s="5">
        <x:v>2020</x:v>
      </x:c>
      <x:c r="B118" s="5" t="s">
        <x:v>77</x:v>
      </x:c>
      <x:c r="C118" s="6" t="s">
        <x:v>78</x:v>
      </x:c>
      <x:c r="D118" s="5" t="s">
        <x:v>94</x:v>
      </x:c>
      <x:c r="E118" s="8">
        <x:v>1817</x:v>
      </x:c>
      <x:c r="F118" s="8">
        <x:v>1817</x:v>
      </x:c>
      <x:c r="G118" s="10">
        <x:v>396175941</x:v>
      </x:c>
      <x:c r="H118" s="8">
        <x:v>1796</x:v>
      </x:c>
      <x:c r="I118" s="8">
        <x:v>1796</x:v>
      </x:c>
      <x:c r="J118" s="10">
        <x:v>390072925</x:v>
      </x:c>
      <x:c r="K118" s="5" t="s">
        <x:v>22</x:v>
      </x:c>
      <x:c r="L118" s="5">
        <x:v>2703</x:v>
      </x:c>
    </x:row>
    <x:row r="119" ht="22" customHeight="1">
      <x:c r="A119" s="1">
        <x:v>2020</x:v>
      </x:c>
      <x:c r="B119" s="1" t="s">
        <x:v>77</x:v>
      </x:c>
      <x:c r="C119" s="7" t="s">
        <x:v>78</x:v>
      </x:c>
      <x:c r="D119" s="1" t="s">
        <x:v>95</x:v>
      </x:c>
      <x:c r="E119" s="9">
        <x:v>5</x:v>
      </x:c>
      <x:c r="F119" s="9">
        <x:v>10</x:v>
      </x:c>
      <x:c r="G119" s="11">
        <x:v>1641946</x:v>
      </x:c>
      <x:c r="H119" s="9">
        <x:v>10</x:v>
      </x:c>
      <x:c r="I119" s="9">
        <x:v>5</x:v>
      </x:c>
      <x:c r="J119" s="11">
        <x:v>1641946</x:v>
      </x:c>
      <x:c r="K119" s="1" t="s">
        <x:v>22</x:v>
      </x:c>
      <x:c r="L119" s="1">
        <x:v>2703</x:v>
      </x:c>
    </x:row>
    <x:row r="120" ht="22" customHeight="1">
      <x:c r="A120" s="5">
        <x:v>2020</x:v>
      </x:c>
      <x:c r="B120" s="5" t="s">
        <x:v>77</x:v>
      </x:c>
      <x:c r="C120" s="6" t="s">
        <x:v>78</x:v>
      </x:c>
      <x:c r="D120" s="5" t="s">
        <x:v>96</x:v>
      </x:c>
      <x:c r="E120" s="8">
        <x:v>32</x:v>
      </x:c>
      <x:c r="F120" s="8">
        <x:v>122</x:v>
      </x:c>
      <x:c r="G120" s="10">
        <x:v>22106617</x:v>
      </x:c>
      <x:c r="H120" s="8">
        <x:v>110</x:v>
      </x:c>
      <x:c r="I120" s="8">
        <x:v>29</x:v>
      </x:c>
      <x:c r="J120" s="10">
        <x:v>19757104</x:v>
      </x:c>
      <x:c r="K120" s="5" t="s">
        <x:v>22</x:v>
      </x:c>
      <x:c r="L120" s="5">
        <x:v>2703</x:v>
      </x:c>
    </x:row>
    <x:row r="121" ht="22" customHeight="1">
      <x:c r="A121" s="1">
        <x:v>2020</x:v>
      </x:c>
      <x:c r="B121" s="1" t="s">
        <x:v>77</x:v>
      </x:c>
      <x:c r="C121" s="7" t="s">
        <x:v>78</x:v>
      </x:c>
      <x:c r="D121" s="1" t="s">
        <x:v>97</x:v>
      </x:c>
      <x:c r="E121" s="9">
        <x:v>23</x:v>
      </x:c>
      <x:c r="F121" s="9">
        <x:v>458</x:v>
      </x:c>
      <x:c r="G121" s="11">
        <x:v>51123315</x:v>
      </x:c>
      <x:c r="H121" s="9">
        <x:v>421</x:v>
      </x:c>
      <x:c r="I121" s="9">
        <x:v>16</x:v>
      </x:c>
      <x:c r="J121" s="11">
        <x:v>47837027</x:v>
      </x:c>
      <x:c r="K121" s="1" t="s">
        <x:v>22</x:v>
      </x:c>
      <x:c r="L121" s="1">
        <x:v>2703</x:v>
      </x:c>
    </x:row>
    <x:row r="122" ht="22" customHeight="1">
      <x:c r="A122" s="5">
        <x:v>2021</x:v>
      </x:c>
      <x:c r="B122" s="5" t="s">
        <x:v>18</x:v>
      </x:c>
      <x:c r="C122" s="6" t="s">
        <x:v>19</x:v>
      </x:c>
      <x:c r="D122" s="5" t="s">
        <x:v>94</x:v>
      </x:c>
      <x:c r="E122" s="8">
        <x:v>56</x:v>
      </x:c>
      <x:c r="F122" s="8">
        <x:v>56</x:v>
      </x:c>
      <x:c r="G122" s="10">
        <x:v>18177394</x:v>
      </x:c>
      <x:c r="H122" s="8">
        <x:v>56</x:v>
      </x:c>
      <x:c r="I122" s="8">
        <x:v>56</x:v>
      </x:c>
      <x:c r="J122" s="10">
        <x:v>18177394</x:v>
      </x:c>
      <x:c r="K122" s="5" t="s">
        <x:v>80</x:v>
      </x:c>
      <x:c r="L122" s="5">
        <x:v>2675</x:v>
      </x:c>
    </x:row>
    <x:row r="123" ht="22" customHeight="1">
      <x:c r="A123" s="1">
        <x:v>2021</x:v>
      </x:c>
      <x:c r="B123" s="1" t="s">
        <x:v>18</x:v>
      </x:c>
      <x:c r="C123" s="7" t="s">
        <x:v>19</x:v>
      </x:c>
      <x:c r="D123" s="1" t="s">
        <x:v>95</x:v>
      </x:c>
      <x:c r="E123" s="9">
        <x:v>1</x:v>
      </x:c>
      <x:c r="F123" s="9">
        <x:v>2</x:v>
      </x:c>
      <x:c r="G123" s="11">
        <x:v>273259</x:v>
      </x:c>
      <x:c r="H123" s="9">
        <x:v>2</x:v>
      </x:c>
      <x:c r="I123" s="9">
        <x:v>1</x:v>
      </x:c>
      <x:c r="J123" s="11">
        <x:v>273259</x:v>
      </x:c>
      <x:c r="K123" s="1" t="s">
        <x:v>80</x:v>
      </x:c>
      <x:c r="L123" s="1">
        <x:v>2675</x:v>
      </x:c>
    </x:row>
    <x:row r="124" ht="22" customHeight="1">
      <x:c r="A124" s="5">
        <x:v>2021</x:v>
      </x:c>
      <x:c r="B124" s="5" t="s">
        <x:v>18</x:v>
      </x:c>
      <x:c r="C124" s="6" t="s">
        <x:v>19</x:v>
      </x:c>
      <x:c r="D124" s="5" t="s">
        <x:v>96</x:v>
      </x:c>
      <x:c r="E124" s="8">
        <x:v>1</x:v>
      </x:c>
      <x:c r="F124" s="8">
        <x:v>4</x:v>
      </x:c>
      <x:c r="G124" s="10">
        <x:v>451143</x:v>
      </x:c>
      <x:c r="H124" s="8">
        <x:v>4</x:v>
      </x:c>
      <x:c r="I124" s="8">
        <x:v>1</x:v>
      </x:c>
      <x:c r="J124" s="10">
        <x:v>451143</x:v>
      </x:c>
      <x:c r="K124" s="5" t="s">
        <x:v>80</x:v>
      </x:c>
      <x:c r="L124" s="5">
        <x:v>2675</x:v>
      </x:c>
    </x:row>
    <x:row r="125" ht="22" customHeight="1">
      <x:c r="A125" s="1">
        <x:v>2021</x:v>
      </x:c>
      <x:c r="B125" s="1" t="s">
        <x:v>18</x:v>
      </x:c>
      <x:c r="C125" s="7" t="s">
        <x:v>19</x:v>
      </x:c>
      <x:c r="D125" s="1" t="s">
        <x:v>97</x:v>
      </x:c>
      <x:c r="E125" s="9">
        <x:v>0</x:v>
      </x:c>
      <x:c r="F125" s="9">
        <x:v>0</x:v>
      </x:c>
      <x:c r="G125" s="11">
        <x:v>0</x:v>
      </x:c>
      <x:c r="H125" s="9">
        <x:v>0</x:v>
      </x:c>
      <x:c r="I125" s="9">
        <x:v>0</x:v>
      </x:c>
      <x:c r="J125" s="11">
        <x:v>0</x:v>
      </x:c>
      <x:c r="K125" s="1" t="s">
        <x:v>80</x:v>
      </x:c>
      <x:c r="L125" s="1">
        <x:v>2675</x:v>
      </x:c>
    </x:row>
    <x:row r="126" ht="22" customHeight="1">
      <x:c r="A126" s="5">
        <x:v>2021</x:v>
      </x:c>
      <x:c r="B126" s="5" t="s">
        <x:v>23</x:v>
      </x:c>
      <x:c r="C126" s="6" t="s">
        <x:v>24</x:v>
      </x:c>
      <x:c r="D126" s="5" t="s">
        <x:v>94</x:v>
      </x:c>
      <x:c r="E126" s="8">
        <x:v>468</x:v>
      </x:c>
      <x:c r="F126" s="8">
        <x:v>468</x:v>
      </x:c>
      <x:c r="G126" s="10">
        <x:v>116108126</x:v>
      </x:c>
      <x:c r="H126" s="8">
        <x:v>370</x:v>
      </x:c>
      <x:c r="I126" s="8">
        <x:v>370</x:v>
      </x:c>
      <x:c r="J126" s="10">
        <x:v>92245732</x:v>
      </x:c>
      <x:c r="K126" s="5" t="s">
        <x:v>80</x:v>
      </x:c>
      <x:c r="L126" s="5">
        <x:v>2676</x:v>
      </x:c>
    </x:row>
    <x:row r="127" ht="22" customHeight="1">
      <x:c r="A127" s="1">
        <x:v>2021</x:v>
      </x:c>
      <x:c r="B127" s="1" t="s">
        <x:v>23</x:v>
      </x:c>
      <x:c r="C127" s="7" t="s">
        <x:v>24</x:v>
      </x:c>
      <x:c r="D127" s="1" t="s">
        <x:v>95</x:v>
      </x:c>
      <x:c r="E127" s="9">
        <x:v>1</x:v>
      </x:c>
      <x:c r="F127" s="9">
        <x:v>2</x:v>
      </x:c>
      <x:c r="G127" s="11">
        <x:v>322000</x:v>
      </x:c>
      <x:c r="H127" s="9">
        <x:v>2</x:v>
      </x:c>
      <x:c r="I127" s="9">
        <x:v>1</x:v>
      </x:c>
      <x:c r="J127" s="11">
        <x:v>322000</x:v>
      </x:c>
      <x:c r="K127" s="1" t="s">
        <x:v>80</x:v>
      </x:c>
      <x:c r="L127" s="1">
        <x:v>2676</x:v>
      </x:c>
    </x:row>
    <x:row r="128" ht="22" customHeight="1">
      <x:c r="A128" s="5">
        <x:v>2021</x:v>
      </x:c>
      <x:c r="B128" s="5" t="s">
        <x:v>23</x:v>
      </x:c>
      <x:c r="C128" s="6" t="s">
        <x:v>24</x:v>
      </x:c>
      <x:c r="D128" s="5" t="s">
        <x:v>96</x:v>
      </x:c>
      <x:c r="E128" s="8">
        <x:v>11</x:v>
      </x:c>
      <x:c r="F128" s="8">
        <x:v>43</x:v>
      </x:c>
      <x:c r="G128" s="10">
        <x:v>4730000</x:v>
      </x:c>
      <x:c r="H128" s="8">
        <x:v>43</x:v>
      </x:c>
      <x:c r="I128" s="8">
        <x:v>11</x:v>
      </x:c>
      <x:c r="J128" s="10">
        <x:v>4730000</x:v>
      </x:c>
      <x:c r="K128" s="5" t="s">
        <x:v>80</x:v>
      </x:c>
      <x:c r="L128" s="5">
        <x:v>2676</x:v>
      </x:c>
    </x:row>
    <x:row r="129" ht="22" customHeight="1">
      <x:c r="A129" s="1">
        <x:v>2021</x:v>
      </x:c>
      <x:c r="B129" s="1" t="s">
        <x:v>23</x:v>
      </x:c>
      <x:c r="C129" s="7" t="s">
        <x:v>24</x:v>
      </x:c>
      <x:c r="D129" s="1" t="s">
        <x:v>97</x:v>
      </x:c>
      <x:c r="E129" s="9">
        <x:v>25</x:v>
      </x:c>
      <x:c r="F129" s="9">
        <x:v>368</x:v>
      </x:c>
      <x:c r="G129" s="11">
        <x:v>29750000</x:v>
      </x:c>
      <x:c r="H129" s="9">
        <x:v>368</x:v>
      </x:c>
      <x:c r="I129" s="9">
        <x:v>25</x:v>
      </x:c>
      <x:c r="J129" s="11">
        <x:v>29750000</x:v>
      </x:c>
      <x:c r="K129" s="1" t="s">
        <x:v>80</x:v>
      </x:c>
      <x:c r="L129" s="1">
        <x:v>2676</x:v>
      </x:c>
    </x:row>
    <x:row r="130" ht="22" customHeight="1">
      <x:c r="A130" s="5">
        <x:v>2021</x:v>
      </x:c>
      <x:c r="B130" s="5" t="s">
        <x:v>25</x:v>
      </x:c>
      <x:c r="C130" s="6" t="s">
        <x:v>26</x:v>
      </x:c>
      <x:c r="D130" s="5" t="s">
        <x:v>94</x:v>
      </x:c>
      <x:c r="E130" s="8">
        <x:v>902</x:v>
      </x:c>
      <x:c r="F130" s="8">
        <x:v>902</x:v>
      </x:c>
      <x:c r="G130" s="10">
        <x:v>286464637</x:v>
      </x:c>
      <x:c r="H130" s="8">
        <x:v>902</x:v>
      </x:c>
      <x:c r="I130" s="8">
        <x:v>902</x:v>
      </x:c>
      <x:c r="J130" s="10">
        <x:v>286464637</x:v>
      </x:c>
      <x:c r="K130" s="5" t="s">
        <x:v>80</x:v>
      </x:c>
      <x:c r="L130" s="5">
        <x:v>2677</x:v>
      </x:c>
    </x:row>
    <x:row r="131" ht="22" customHeight="1">
      <x:c r="A131" s="1">
        <x:v>2021</x:v>
      </x:c>
      <x:c r="B131" s="1" t="s">
        <x:v>25</x:v>
      </x:c>
      <x:c r="C131" s="7" t="s">
        <x:v>26</x:v>
      </x:c>
      <x:c r="D131" s="1" t="s">
        <x:v>95</x:v>
      </x:c>
      <x:c r="E131" s="9">
        <x:v>0</x:v>
      </x:c>
      <x:c r="F131" s="9">
        <x:v>0</x:v>
      </x:c>
      <x:c r="G131" s="11">
        <x:v>0</x:v>
      </x:c>
      <x:c r="H131" s="9">
        <x:v>0</x:v>
      </x:c>
      <x:c r="I131" s="9">
        <x:v>0</x:v>
      </x:c>
      <x:c r="J131" s="11">
        <x:v>0</x:v>
      </x:c>
      <x:c r="K131" s="1" t="s">
        <x:v>80</x:v>
      </x:c>
      <x:c r="L131" s="1">
        <x:v>2677</x:v>
      </x:c>
    </x:row>
    <x:row r="132" ht="22" customHeight="1">
      <x:c r="A132" s="5">
        <x:v>2021</x:v>
      </x:c>
      <x:c r="B132" s="5" t="s">
        <x:v>25</x:v>
      </x:c>
      <x:c r="C132" s="6" t="s">
        <x:v>26</x:v>
      </x:c>
      <x:c r="D132" s="5" t="s">
        <x:v>96</x:v>
      </x:c>
      <x:c r="E132" s="8">
        <x:v>9</x:v>
      </x:c>
      <x:c r="F132" s="8">
        <x:v>35</x:v>
      </x:c>
      <x:c r="G132" s="10">
        <x:v>8365514</x:v>
      </x:c>
      <x:c r="H132" s="8">
        <x:v>35</x:v>
      </x:c>
      <x:c r="I132" s="8">
        <x:v>9</x:v>
      </x:c>
      <x:c r="J132" s="10">
        <x:v>8365514</x:v>
      </x:c>
      <x:c r="K132" s="5" t="s">
        <x:v>80</x:v>
      </x:c>
      <x:c r="L132" s="5">
        <x:v>2677</x:v>
      </x:c>
    </x:row>
    <x:row r="133" ht="22" customHeight="1">
      <x:c r="A133" s="1">
        <x:v>2021</x:v>
      </x:c>
      <x:c r="B133" s="1" t="s">
        <x:v>25</x:v>
      </x:c>
      <x:c r="C133" s="7" t="s">
        <x:v>26</x:v>
      </x:c>
      <x:c r="D133" s="1" t="s">
        <x:v>97</x:v>
      </x:c>
      <x:c r="E133" s="9">
        <x:v>24</x:v>
      </x:c>
      <x:c r="F133" s="9">
        <x:v>200</x:v>
      </x:c>
      <x:c r="G133" s="11">
        <x:v>27730316</x:v>
      </x:c>
      <x:c r="H133" s="9">
        <x:v>200</x:v>
      </x:c>
      <x:c r="I133" s="9">
        <x:v>24</x:v>
      </x:c>
      <x:c r="J133" s="11">
        <x:v>27730316</x:v>
      </x:c>
      <x:c r="K133" s="1" t="s">
        <x:v>80</x:v>
      </x:c>
      <x:c r="L133" s="1">
        <x:v>2677</x:v>
      </x:c>
    </x:row>
    <x:row r="134" ht="22" customHeight="1">
      <x:c r="A134" s="5">
        <x:v>2021</x:v>
      </x:c>
      <x:c r="B134" s="5" t="s">
        <x:v>27</x:v>
      </x:c>
      <x:c r="C134" s="6" t="s">
        <x:v>28</x:v>
      </x:c>
      <x:c r="D134" s="5" t="s">
        <x:v>94</x:v>
      </x:c>
      <x:c r="E134" s="8">
        <x:v>42</x:v>
      </x:c>
      <x:c r="F134" s="8">
        <x:v>42</x:v>
      </x:c>
      <x:c r="G134" s="10">
        <x:v>12847746</x:v>
      </x:c>
      <x:c r="H134" s="8">
        <x:v>42</x:v>
      </x:c>
      <x:c r="I134" s="8">
        <x:v>42</x:v>
      </x:c>
      <x:c r="J134" s="10">
        <x:v>12847746</x:v>
      </x:c>
      <x:c r="K134" s="5" t="s">
        <x:v>80</x:v>
      </x:c>
      <x:c r="L134" s="5">
        <x:v>2678</x:v>
      </x:c>
    </x:row>
    <x:row r="135" ht="22" customHeight="1">
      <x:c r="A135" s="1">
        <x:v>2021</x:v>
      </x:c>
      <x:c r="B135" s="1" t="s">
        <x:v>27</x:v>
      </x:c>
      <x:c r="C135" s="7" t="s">
        <x:v>28</x:v>
      </x:c>
      <x:c r="D135" s="1" t="s">
        <x:v>95</x:v>
      </x:c>
      <x:c r="E135" s="9">
        <x:v>0</x:v>
      </x:c>
      <x:c r="F135" s="9">
        <x:v>0</x:v>
      </x:c>
      <x:c r="G135" s="11">
        <x:v>0</x:v>
      </x:c>
      <x:c r="H135" s="9">
        <x:v>0</x:v>
      </x:c>
      <x:c r="I135" s="9">
        <x:v>0</x:v>
      </x:c>
      <x:c r="J135" s="11">
        <x:v>0</x:v>
      </x:c>
      <x:c r="K135" s="1" t="s">
        <x:v>80</x:v>
      </x:c>
      <x:c r="L135" s="1">
        <x:v>2678</x:v>
      </x:c>
    </x:row>
    <x:row r="136" ht="22" customHeight="1">
      <x:c r="A136" s="5">
        <x:v>2021</x:v>
      </x:c>
      <x:c r="B136" s="5" t="s">
        <x:v>27</x:v>
      </x:c>
      <x:c r="C136" s="6" t="s">
        <x:v>28</x:v>
      </x:c>
      <x:c r="D136" s="5" t="s">
        <x:v>96</x:v>
      </x:c>
      <x:c r="E136" s="8">
        <x:v>0</x:v>
      </x:c>
      <x:c r="F136" s="8">
        <x:v>0</x:v>
      </x:c>
      <x:c r="G136" s="10">
        <x:v>0</x:v>
      </x:c>
      <x:c r="H136" s="8">
        <x:v>0</x:v>
      </x:c>
      <x:c r="I136" s="8">
        <x:v>0</x:v>
      </x:c>
      <x:c r="J136" s="10">
        <x:v>0</x:v>
      </x:c>
      <x:c r="K136" s="5" t="s">
        <x:v>80</x:v>
      </x:c>
      <x:c r="L136" s="5">
        <x:v>2678</x:v>
      </x:c>
    </x:row>
    <x:row r="137" ht="22" customHeight="1">
      <x:c r="A137" s="1">
        <x:v>2021</x:v>
      </x:c>
      <x:c r="B137" s="1" t="s">
        <x:v>27</x:v>
      </x:c>
      <x:c r="C137" s="7" t="s">
        <x:v>28</x:v>
      </x:c>
      <x:c r="D137" s="1" t="s">
        <x:v>97</x:v>
      </x:c>
      <x:c r="E137" s="9">
        <x:v>0</x:v>
      </x:c>
      <x:c r="F137" s="9">
        <x:v>0</x:v>
      </x:c>
      <x:c r="G137" s="11">
        <x:v>0</x:v>
      </x:c>
      <x:c r="H137" s="9">
        <x:v>0</x:v>
      </x:c>
      <x:c r="I137" s="9">
        <x:v>0</x:v>
      </x:c>
      <x:c r="J137" s="11">
        <x:v>0</x:v>
      </x:c>
      <x:c r="K137" s="1" t="s">
        <x:v>80</x:v>
      </x:c>
      <x:c r="L137" s="1">
        <x:v>2678</x:v>
      </x:c>
    </x:row>
    <x:row r="138" ht="22" customHeight="1">
      <x:c r="A138" s="5">
        <x:v>2021</x:v>
      </x:c>
      <x:c r="B138" s="5" t="s">
        <x:v>29</x:v>
      </x:c>
      <x:c r="C138" s="6" t="s">
        <x:v>30</x:v>
      </x:c>
      <x:c r="D138" s="5" t="s">
        <x:v>94</x:v>
      </x:c>
      <x:c r="E138" s="8">
        <x:v>17</x:v>
      </x:c>
      <x:c r="F138" s="8">
        <x:v>17</x:v>
      </x:c>
      <x:c r="G138" s="10">
        <x:v>5072265</x:v>
      </x:c>
      <x:c r="H138" s="8">
        <x:v>11</x:v>
      </x:c>
      <x:c r="I138" s="8">
        <x:v>11</x:v>
      </x:c>
      <x:c r="J138" s="10">
        <x:v>3307886</x:v>
      </x:c>
      <x:c r="K138" s="5" t="s">
        <x:v>80</x:v>
      </x:c>
      <x:c r="L138" s="5">
        <x:v>2679</x:v>
      </x:c>
    </x:row>
    <x:row r="139" ht="22" customHeight="1">
      <x:c r="A139" s="1">
        <x:v>2021</x:v>
      </x:c>
      <x:c r="B139" s="1" t="s">
        <x:v>29</x:v>
      </x:c>
      <x:c r="C139" s="7" t="s">
        <x:v>30</x:v>
      </x:c>
      <x:c r="D139" s="1" t="s">
        <x:v>95</x:v>
      </x:c>
      <x:c r="E139" s="9">
        <x:v>0</x:v>
      </x:c>
      <x:c r="F139" s="9">
        <x:v>0</x:v>
      </x:c>
      <x:c r="G139" s="11">
        <x:v>0</x:v>
      </x:c>
      <x:c r="H139" s="9">
        <x:v>0</x:v>
      </x:c>
      <x:c r="I139" s="9">
        <x:v>0</x:v>
      </x:c>
      <x:c r="J139" s="11">
        <x:v>0</x:v>
      </x:c>
      <x:c r="K139" s="1" t="s">
        <x:v>80</x:v>
      </x:c>
      <x:c r="L139" s="1">
        <x:v>2679</x:v>
      </x:c>
    </x:row>
    <x:row r="140" ht="22" customHeight="1">
      <x:c r="A140" s="5">
        <x:v>2021</x:v>
      </x:c>
      <x:c r="B140" s="5" t="s">
        <x:v>29</x:v>
      </x:c>
      <x:c r="C140" s="6" t="s">
        <x:v>30</x:v>
      </x:c>
      <x:c r="D140" s="5" t="s">
        <x:v>96</x:v>
      </x:c>
      <x:c r="E140" s="8">
        <x:v>0</x:v>
      </x:c>
      <x:c r="F140" s="8">
        <x:v>0</x:v>
      </x:c>
      <x:c r="G140" s="10">
        <x:v>0</x:v>
      </x:c>
      <x:c r="H140" s="8">
        <x:v>0</x:v>
      </x:c>
      <x:c r="I140" s="8">
        <x:v>0</x:v>
      </x:c>
      <x:c r="J140" s="10">
        <x:v>0</x:v>
      </x:c>
      <x:c r="K140" s="5" t="s">
        <x:v>80</x:v>
      </x:c>
      <x:c r="L140" s="5">
        <x:v>2679</x:v>
      </x:c>
    </x:row>
    <x:row r="141" ht="22" customHeight="1">
      <x:c r="A141" s="1">
        <x:v>2021</x:v>
      </x:c>
      <x:c r="B141" s="1" t="s">
        <x:v>29</x:v>
      </x:c>
      <x:c r="C141" s="7" t="s">
        <x:v>30</x:v>
      </x:c>
      <x:c r="D141" s="1" t="s">
        <x:v>97</x:v>
      </x:c>
      <x:c r="E141" s="9">
        <x:v>0</x:v>
      </x:c>
      <x:c r="F141" s="9">
        <x:v>0</x:v>
      </x:c>
      <x:c r="G141" s="11">
        <x:v>0</x:v>
      </x:c>
      <x:c r="H141" s="9">
        <x:v>0</x:v>
      </x:c>
      <x:c r="I141" s="9">
        <x:v>0</x:v>
      </x:c>
      <x:c r="J141" s="11">
        <x:v>0</x:v>
      </x:c>
      <x:c r="K141" s="1" t="s">
        <x:v>80</x:v>
      </x:c>
      <x:c r="L141" s="1">
        <x:v>2679</x:v>
      </x:c>
    </x:row>
    <x:row r="142" ht="22" customHeight="1">
      <x:c r="A142" s="5">
        <x:v>2021</x:v>
      </x:c>
      <x:c r="B142" s="5" t="s">
        <x:v>31</x:v>
      </x:c>
      <x:c r="C142" s="6" t="s">
        <x:v>32</x:v>
      </x:c>
      <x:c r="D142" s="5" t="s">
        <x:v>94</x:v>
      </x:c>
      <x:c r="E142" s="8">
        <x:v>2004</x:v>
      </x:c>
      <x:c r="F142" s="8">
        <x:v>2004</x:v>
      </x:c>
      <x:c r="G142" s="10">
        <x:v>556622561</x:v>
      </x:c>
      <x:c r="H142" s="8">
        <x:v>2004</x:v>
      </x:c>
      <x:c r="I142" s="8">
        <x:v>2004</x:v>
      </x:c>
      <x:c r="J142" s="10">
        <x:v>556622561</x:v>
      </x:c>
      <x:c r="K142" s="5" t="s">
        <x:v>80</x:v>
      </x:c>
      <x:c r="L142" s="5">
        <x:v>2680</x:v>
      </x:c>
    </x:row>
    <x:row r="143" ht="22" customHeight="1">
      <x:c r="A143" s="1">
        <x:v>2021</x:v>
      </x:c>
      <x:c r="B143" s="1" t="s">
        <x:v>31</x:v>
      </x:c>
      <x:c r="C143" s="7" t="s">
        <x:v>32</x:v>
      </x:c>
      <x:c r="D143" s="1" t="s">
        <x:v>95</x:v>
      </x:c>
      <x:c r="E143" s="9">
        <x:v>1</x:v>
      </x:c>
      <x:c r="F143" s="9">
        <x:v>2</x:v>
      </x:c>
      <x:c r="G143" s="11">
        <x:v>494625</x:v>
      </x:c>
      <x:c r="H143" s="9">
        <x:v>2</x:v>
      </x:c>
      <x:c r="I143" s="9">
        <x:v>1</x:v>
      </x:c>
      <x:c r="J143" s="11">
        <x:v>494625</x:v>
      </x:c>
      <x:c r="K143" s="1" t="s">
        <x:v>80</x:v>
      </x:c>
      <x:c r="L143" s="1">
        <x:v>2680</x:v>
      </x:c>
    </x:row>
    <x:row r="144" ht="22" customHeight="1">
      <x:c r="A144" s="5">
        <x:v>2021</x:v>
      </x:c>
      <x:c r="B144" s="5" t="s">
        <x:v>31</x:v>
      </x:c>
      <x:c r="C144" s="6" t="s">
        <x:v>32</x:v>
      </x:c>
      <x:c r="D144" s="5" t="s">
        <x:v>96</x:v>
      </x:c>
      <x:c r="E144" s="8">
        <x:v>1</x:v>
      </x:c>
      <x:c r="F144" s="8">
        <x:v>4</x:v>
      </x:c>
      <x:c r="G144" s="10">
        <x:v>380000</x:v>
      </x:c>
      <x:c r="H144" s="8">
        <x:v>4</x:v>
      </x:c>
      <x:c r="I144" s="8">
        <x:v>1</x:v>
      </x:c>
      <x:c r="J144" s="10">
        <x:v>380000</x:v>
      </x:c>
      <x:c r="K144" s="5" t="s">
        <x:v>80</x:v>
      </x:c>
      <x:c r="L144" s="5">
        <x:v>2680</x:v>
      </x:c>
    </x:row>
    <x:row r="145" ht="22" customHeight="1">
      <x:c r="A145" s="1">
        <x:v>2021</x:v>
      </x:c>
      <x:c r="B145" s="1" t="s">
        <x:v>31</x:v>
      </x:c>
      <x:c r="C145" s="7" t="s">
        <x:v>32</x:v>
      </x:c>
      <x:c r="D145" s="1" t="s">
        <x:v>97</x:v>
      </x:c>
      <x:c r="E145" s="9">
        <x:v>45</x:v>
      </x:c>
      <x:c r="F145" s="9">
        <x:v>1802</x:v>
      </x:c>
      <x:c r="G145" s="11">
        <x:v>261002511</x:v>
      </x:c>
      <x:c r="H145" s="9">
        <x:v>1802</x:v>
      </x:c>
      <x:c r="I145" s="9">
        <x:v>45</x:v>
      </x:c>
      <x:c r="J145" s="11">
        <x:v>261002511</x:v>
      </x:c>
      <x:c r="K145" s="1" t="s">
        <x:v>80</x:v>
      </x:c>
      <x:c r="L145" s="1">
        <x:v>2680</x:v>
      </x:c>
    </x:row>
    <x:row r="146" ht="22" customHeight="1">
      <x:c r="A146" s="5">
        <x:v>2021</x:v>
      </x:c>
      <x:c r="B146" s="5" t="s">
        <x:v>33</x:v>
      </x:c>
      <x:c r="C146" s="6" t="s">
        <x:v>34</x:v>
      </x:c>
      <x:c r="D146" s="5" t="s">
        <x:v>94</x:v>
      </x:c>
      <x:c r="E146" s="8">
        <x:v>130</x:v>
      </x:c>
      <x:c r="F146" s="8">
        <x:v>130</x:v>
      </x:c>
      <x:c r="G146" s="10">
        <x:v>33379488</x:v>
      </x:c>
      <x:c r="H146" s="8">
        <x:v>70</x:v>
      </x:c>
      <x:c r="I146" s="8">
        <x:v>70</x:v>
      </x:c>
      <x:c r="J146" s="10">
        <x:v>20403095</x:v>
      </x:c>
      <x:c r="K146" s="5" t="s">
        <x:v>80</x:v>
      </x:c>
      <x:c r="L146" s="5">
        <x:v>2681</x:v>
      </x:c>
    </x:row>
    <x:row r="147" ht="22" customHeight="1">
      <x:c r="A147" s="1">
        <x:v>2021</x:v>
      </x:c>
      <x:c r="B147" s="1" t="s">
        <x:v>33</x:v>
      </x:c>
      <x:c r="C147" s="7" t="s">
        <x:v>34</x:v>
      </x:c>
      <x:c r="D147" s="1" t="s">
        <x:v>95</x:v>
      </x:c>
      <x:c r="E147" s="9">
        <x:v>1</x:v>
      </x:c>
      <x:c r="F147" s="9">
        <x:v>2</x:v>
      </x:c>
      <x:c r="G147" s="11">
        <x:v>415110</x:v>
      </x:c>
      <x:c r="H147" s="9">
        <x:v>2</x:v>
      </x:c>
      <x:c r="I147" s="9">
        <x:v>1</x:v>
      </x:c>
      <x:c r="J147" s="11">
        <x:v>415110</x:v>
      </x:c>
      <x:c r="K147" s="1" t="s">
        <x:v>80</x:v>
      </x:c>
      <x:c r="L147" s="1">
        <x:v>2681</x:v>
      </x:c>
    </x:row>
    <x:row r="148" ht="22" customHeight="1">
      <x:c r="A148" s="5">
        <x:v>2021</x:v>
      </x:c>
      <x:c r="B148" s="5" t="s">
        <x:v>33</x:v>
      </x:c>
      <x:c r="C148" s="6" t="s">
        <x:v>34</x:v>
      </x:c>
      <x:c r="D148" s="5" t="s">
        <x:v>96</x:v>
      </x:c>
      <x:c r="E148" s="8">
        <x:v>1</x:v>
      </x:c>
      <x:c r="F148" s="8">
        <x:v>4</x:v>
      </x:c>
      <x:c r="G148" s="10">
        <x:v>285524</x:v>
      </x:c>
      <x:c r="H148" s="8">
        <x:v>0</x:v>
      </x:c>
      <x:c r="I148" s="8">
        <x:v>0</x:v>
      </x:c>
      <x:c r="J148" s="10">
        <x:v>0</x:v>
      </x:c>
      <x:c r="K148" s="5" t="s">
        <x:v>80</x:v>
      </x:c>
      <x:c r="L148" s="5">
        <x:v>2681</x:v>
      </x:c>
    </x:row>
    <x:row r="149" ht="22" customHeight="1">
      <x:c r="A149" s="1">
        <x:v>2021</x:v>
      </x:c>
      <x:c r="B149" s="1" t="s">
        <x:v>33</x:v>
      </x:c>
      <x:c r="C149" s="7" t="s">
        <x:v>34</x:v>
      </x:c>
      <x:c r="D149" s="1" t="s">
        <x:v>97</x:v>
      </x:c>
      <x:c r="E149" s="9">
        <x:v>0</x:v>
      </x:c>
      <x:c r="F149" s="9">
        <x:v>0</x:v>
      </x:c>
      <x:c r="G149" s="11">
        <x:v>0</x:v>
      </x:c>
      <x:c r="H149" s="9">
        <x:v>0</x:v>
      </x:c>
      <x:c r="I149" s="9">
        <x:v>0</x:v>
      </x:c>
      <x:c r="J149" s="11">
        <x:v>0</x:v>
      </x:c>
      <x:c r="K149" s="1" t="s">
        <x:v>80</x:v>
      </x:c>
      <x:c r="L149" s="1">
        <x:v>2681</x:v>
      </x:c>
    </x:row>
    <x:row r="150" ht="22" customHeight="1">
      <x:c r="A150" s="5">
        <x:v>2021</x:v>
      </x:c>
      <x:c r="B150" s="5" t="s">
        <x:v>35</x:v>
      </x:c>
      <x:c r="C150" s="6" t="s">
        <x:v>36</x:v>
      </x:c>
      <x:c r="D150" s="5" t="s">
        <x:v>94</x:v>
      </x:c>
      <x:c r="E150" s="8">
        <x:v>14</x:v>
      </x:c>
      <x:c r="F150" s="8">
        <x:v>14</x:v>
      </x:c>
      <x:c r="G150" s="10">
        <x:v>2746330</x:v>
      </x:c>
      <x:c r="H150" s="8">
        <x:v>14</x:v>
      </x:c>
      <x:c r="I150" s="8">
        <x:v>14</x:v>
      </x:c>
      <x:c r="J150" s="10">
        <x:v>2746330</x:v>
      </x:c>
      <x:c r="K150" s="5" t="s">
        <x:v>80</x:v>
      </x:c>
      <x:c r="L150" s="5">
        <x:v>2682</x:v>
      </x:c>
    </x:row>
    <x:row r="151" ht="22" customHeight="1">
      <x:c r="A151" s="1">
        <x:v>2021</x:v>
      </x:c>
      <x:c r="B151" s="1" t="s">
        <x:v>35</x:v>
      </x:c>
      <x:c r="C151" s="7" t="s">
        <x:v>36</x:v>
      </x:c>
      <x:c r="D151" s="1" t="s">
        <x:v>95</x:v>
      </x:c>
      <x:c r="E151" s="9">
        <x:v>0</x:v>
      </x:c>
      <x:c r="F151" s="9">
        <x:v>0</x:v>
      </x:c>
      <x:c r="G151" s="11">
        <x:v>0</x:v>
      </x:c>
      <x:c r="H151" s="9">
        <x:v>0</x:v>
      </x:c>
      <x:c r="I151" s="9">
        <x:v>0</x:v>
      </x:c>
      <x:c r="J151" s="11">
        <x:v>0</x:v>
      </x:c>
      <x:c r="K151" s="1" t="s">
        <x:v>80</x:v>
      </x:c>
      <x:c r="L151" s="1">
        <x:v>2682</x:v>
      </x:c>
    </x:row>
    <x:row r="152" ht="22" customHeight="1">
      <x:c r="A152" s="5">
        <x:v>2021</x:v>
      </x:c>
      <x:c r="B152" s="5" t="s">
        <x:v>35</x:v>
      </x:c>
      <x:c r="C152" s="6" t="s">
        <x:v>36</x:v>
      </x:c>
      <x:c r="D152" s="5" t="s">
        <x:v>96</x:v>
      </x:c>
      <x:c r="E152" s="8">
        <x:v>0</x:v>
      </x:c>
      <x:c r="F152" s="8">
        <x:v>0</x:v>
      </x:c>
      <x:c r="G152" s="10">
        <x:v>0</x:v>
      </x:c>
      <x:c r="H152" s="8">
        <x:v>0</x:v>
      </x:c>
      <x:c r="I152" s="8">
        <x:v>0</x:v>
      </x:c>
      <x:c r="J152" s="10">
        <x:v>0</x:v>
      </x:c>
      <x:c r="K152" s="5" t="s">
        <x:v>80</x:v>
      </x:c>
      <x:c r="L152" s="5">
        <x:v>2682</x:v>
      </x:c>
    </x:row>
    <x:row r="153" ht="22" customHeight="1">
      <x:c r="A153" s="1">
        <x:v>2021</x:v>
      </x:c>
      <x:c r="B153" s="1" t="s">
        <x:v>35</x:v>
      </x:c>
      <x:c r="C153" s="7" t="s">
        <x:v>36</x:v>
      </x:c>
      <x:c r="D153" s="1" t="s">
        <x:v>97</x:v>
      </x:c>
      <x:c r="E153" s="9">
        <x:v>0</x:v>
      </x:c>
      <x:c r="F153" s="9">
        <x:v>0</x:v>
      </x:c>
      <x:c r="G153" s="11">
        <x:v>0</x:v>
      </x:c>
      <x:c r="H153" s="9">
        <x:v>0</x:v>
      </x:c>
      <x:c r="I153" s="9">
        <x:v>0</x:v>
      </x:c>
      <x:c r="J153" s="11">
        <x:v>0</x:v>
      </x:c>
      <x:c r="K153" s="1" t="s">
        <x:v>80</x:v>
      </x:c>
      <x:c r="L153" s="1">
        <x:v>2682</x:v>
      </x:c>
    </x:row>
    <x:row r="154" ht="22" customHeight="1">
      <x:c r="A154" s="5">
        <x:v>2021</x:v>
      </x:c>
      <x:c r="B154" s="5" t="s">
        <x:v>37</x:v>
      </x:c>
      <x:c r="C154" s="6" t="s">
        <x:v>38</x:v>
      </x:c>
      <x:c r="D154" s="5" t="s">
        <x:v>94</x:v>
      </x:c>
      <x:c r="E154" s="8">
        <x:v>76</x:v>
      </x:c>
      <x:c r="F154" s="8">
        <x:v>76</x:v>
      </x:c>
      <x:c r="G154" s="10">
        <x:v>17370698</x:v>
      </x:c>
      <x:c r="H154" s="8">
        <x:v>76</x:v>
      </x:c>
      <x:c r="I154" s="8">
        <x:v>76</x:v>
      </x:c>
      <x:c r="J154" s="10">
        <x:v>17370698</x:v>
      </x:c>
      <x:c r="K154" s="5" t="s">
        <x:v>80</x:v>
      </x:c>
      <x:c r="L154" s="5">
        <x:v>2683</x:v>
      </x:c>
    </x:row>
    <x:row r="155" ht="22" customHeight="1">
      <x:c r="A155" s="1">
        <x:v>2021</x:v>
      </x:c>
      <x:c r="B155" s="1" t="s">
        <x:v>37</x:v>
      </x:c>
      <x:c r="C155" s="7" t="s">
        <x:v>38</x:v>
      </x:c>
      <x:c r="D155" s="1" t="s">
        <x:v>95</x:v>
      </x:c>
      <x:c r="E155" s="9">
        <x:v>0</x:v>
      </x:c>
      <x:c r="F155" s="9">
        <x:v>0</x:v>
      </x:c>
      <x:c r="G155" s="11">
        <x:v>0</x:v>
      </x:c>
      <x:c r="H155" s="9">
        <x:v>0</x:v>
      </x:c>
      <x:c r="I155" s="9">
        <x:v>0</x:v>
      </x:c>
      <x:c r="J155" s="11">
        <x:v>0</x:v>
      </x:c>
      <x:c r="K155" s="1" t="s">
        <x:v>80</x:v>
      </x:c>
      <x:c r="L155" s="1">
        <x:v>2683</x:v>
      </x:c>
    </x:row>
    <x:row r="156" ht="22" customHeight="1">
      <x:c r="A156" s="5">
        <x:v>2021</x:v>
      </x:c>
      <x:c r="B156" s="5" t="s">
        <x:v>37</x:v>
      </x:c>
      <x:c r="C156" s="6" t="s">
        <x:v>38</x:v>
      </x:c>
      <x:c r="D156" s="5" t="s">
        <x:v>96</x:v>
      </x:c>
      <x:c r="E156" s="8">
        <x:v>0</x:v>
      </x:c>
      <x:c r="F156" s="8">
        <x:v>0</x:v>
      </x:c>
      <x:c r="G156" s="10">
        <x:v>0</x:v>
      </x:c>
      <x:c r="H156" s="8">
        <x:v>0</x:v>
      </x:c>
      <x:c r="I156" s="8">
        <x:v>0</x:v>
      </x:c>
      <x:c r="J156" s="10">
        <x:v>0</x:v>
      </x:c>
      <x:c r="K156" s="5" t="s">
        <x:v>80</x:v>
      </x:c>
      <x:c r="L156" s="5">
        <x:v>2683</x:v>
      </x:c>
    </x:row>
    <x:row r="157" ht="22" customHeight="1">
      <x:c r="A157" s="1">
        <x:v>2021</x:v>
      </x:c>
      <x:c r="B157" s="1" t="s">
        <x:v>37</x:v>
      </x:c>
      <x:c r="C157" s="7" t="s">
        <x:v>38</x:v>
      </x:c>
      <x:c r="D157" s="1" t="s">
        <x:v>97</x:v>
      </x:c>
      <x:c r="E157" s="9">
        <x:v>0</x:v>
      </x:c>
      <x:c r="F157" s="9">
        <x:v>0</x:v>
      </x:c>
      <x:c r="G157" s="11">
        <x:v>0</x:v>
      </x:c>
      <x:c r="H157" s="9">
        <x:v>0</x:v>
      </x:c>
      <x:c r="I157" s="9">
        <x:v>0</x:v>
      </x:c>
      <x:c r="J157" s="11">
        <x:v>0</x:v>
      </x:c>
      <x:c r="K157" s="1" t="s">
        <x:v>80</x:v>
      </x:c>
      <x:c r="L157" s="1">
        <x:v>2683</x:v>
      </x:c>
    </x:row>
    <x:row r="158" ht="22" customHeight="1">
      <x:c r="A158" s="5">
        <x:v>2021</x:v>
      </x:c>
      <x:c r="B158" s="5" t="s">
        <x:v>39</x:v>
      </x:c>
      <x:c r="C158" s="6" t="s">
        <x:v>40</x:v>
      </x:c>
      <x:c r="D158" s="5" t="s">
        <x:v>94</x:v>
      </x:c>
      <x:c r="E158" s="8">
        <x:v>81</x:v>
      </x:c>
      <x:c r="F158" s="8">
        <x:v>81</x:v>
      </x:c>
      <x:c r="G158" s="10">
        <x:v>21846924</x:v>
      </x:c>
      <x:c r="H158" s="8">
        <x:v>81</x:v>
      </x:c>
      <x:c r="I158" s="8">
        <x:v>81</x:v>
      </x:c>
      <x:c r="J158" s="10">
        <x:v>21846924</x:v>
      </x:c>
      <x:c r="K158" s="5" t="s">
        <x:v>80</x:v>
      </x:c>
      <x:c r="L158" s="5">
        <x:v>2684</x:v>
      </x:c>
    </x:row>
    <x:row r="159" ht="22" customHeight="1">
      <x:c r="A159" s="1">
        <x:v>2021</x:v>
      </x:c>
      <x:c r="B159" s="1" t="s">
        <x:v>39</x:v>
      </x:c>
      <x:c r="C159" s="7" t="s">
        <x:v>40</x:v>
      </x:c>
      <x:c r="D159" s="1" t="s">
        <x:v>95</x:v>
      </x:c>
      <x:c r="E159" s="9">
        <x:v>3</x:v>
      </x:c>
      <x:c r="F159" s="9">
        <x:v>6</x:v>
      </x:c>
      <x:c r="G159" s="11">
        <x:v>1532052</x:v>
      </x:c>
      <x:c r="H159" s="9">
        <x:v>6</x:v>
      </x:c>
      <x:c r="I159" s="9">
        <x:v>3</x:v>
      </x:c>
      <x:c r="J159" s="11">
        <x:v>1532052</x:v>
      </x:c>
      <x:c r="K159" s="1" t="s">
        <x:v>80</x:v>
      </x:c>
      <x:c r="L159" s="1">
        <x:v>2684</x:v>
      </x:c>
    </x:row>
    <x:row r="160" ht="22" customHeight="1">
      <x:c r="A160" s="5">
        <x:v>2021</x:v>
      </x:c>
      <x:c r="B160" s="5" t="s">
        <x:v>39</x:v>
      </x:c>
      <x:c r="C160" s="6" t="s">
        <x:v>40</x:v>
      </x:c>
      <x:c r="D160" s="5" t="s">
        <x:v>96</x:v>
      </x:c>
      <x:c r="E160" s="8">
        <x:v>0</x:v>
      </x:c>
      <x:c r="F160" s="8">
        <x:v>0</x:v>
      </x:c>
      <x:c r="G160" s="10">
        <x:v>0</x:v>
      </x:c>
      <x:c r="H160" s="8">
        <x:v>0</x:v>
      </x:c>
      <x:c r="I160" s="8">
        <x:v>0</x:v>
      </x:c>
      <x:c r="J160" s="10">
        <x:v>0</x:v>
      </x:c>
      <x:c r="K160" s="5" t="s">
        <x:v>80</x:v>
      </x:c>
      <x:c r="L160" s="5">
        <x:v>2684</x:v>
      </x:c>
    </x:row>
    <x:row r="161" ht="22" customHeight="1">
      <x:c r="A161" s="1">
        <x:v>2021</x:v>
      </x:c>
      <x:c r="B161" s="1" t="s">
        <x:v>39</x:v>
      </x:c>
      <x:c r="C161" s="7" t="s">
        <x:v>40</x:v>
      </x:c>
      <x:c r="D161" s="1" t="s">
        <x:v>97</x:v>
      </x:c>
      <x:c r="E161" s="9">
        <x:v>1</x:v>
      </x:c>
      <x:c r="F161" s="9">
        <x:v>6</x:v>
      </x:c>
      <x:c r="G161" s="11">
        <x:v>1385234</x:v>
      </x:c>
      <x:c r="H161" s="9">
        <x:v>6</x:v>
      </x:c>
      <x:c r="I161" s="9">
        <x:v>1</x:v>
      </x:c>
      <x:c r="J161" s="11">
        <x:v>1385234</x:v>
      </x:c>
      <x:c r="K161" s="1" t="s">
        <x:v>80</x:v>
      </x:c>
      <x:c r="L161" s="1">
        <x:v>2684</x:v>
      </x:c>
    </x:row>
    <x:row r="162" ht="22" customHeight="1">
      <x:c r="A162" s="5">
        <x:v>2021</x:v>
      </x:c>
      <x:c r="B162" s="5" t="s">
        <x:v>41</x:v>
      </x:c>
      <x:c r="C162" s="6" t="s">
        <x:v>42</x:v>
      </x:c>
      <x:c r="D162" s="5" t="s">
        <x:v>94</x:v>
      </x:c>
      <x:c r="E162" s="8">
        <x:v>552</x:v>
      </x:c>
      <x:c r="F162" s="8">
        <x:v>552</x:v>
      </x:c>
      <x:c r="G162" s="10">
        <x:v>150680400</x:v>
      </x:c>
      <x:c r="H162" s="8">
        <x:v>552</x:v>
      </x:c>
      <x:c r="I162" s="8">
        <x:v>552</x:v>
      </x:c>
      <x:c r="J162" s="10">
        <x:v>150680400</x:v>
      </x:c>
      <x:c r="K162" s="5" t="s">
        <x:v>80</x:v>
      </x:c>
      <x:c r="L162" s="5">
        <x:v>2685</x:v>
      </x:c>
    </x:row>
    <x:row r="163" ht="22" customHeight="1">
      <x:c r="A163" s="1">
        <x:v>2021</x:v>
      </x:c>
      <x:c r="B163" s="1" t="s">
        <x:v>41</x:v>
      </x:c>
      <x:c r="C163" s="7" t="s">
        <x:v>42</x:v>
      </x:c>
      <x:c r="D163" s="1" t="s">
        <x:v>95</x:v>
      </x:c>
      <x:c r="E163" s="9">
        <x:v>55</x:v>
      </x:c>
      <x:c r="F163" s="9">
        <x:v>110</x:v>
      </x:c>
      <x:c r="G163" s="11">
        <x:v>9291606</x:v>
      </x:c>
      <x:c r="H163" s="9">
        <x:v>110</x:v>
      </x:c>
      <x:c r="I163" s="9">
        <x:v>55</x:v>
      </x:c>
      <x:c r="J163" s="11">
        <x:v>9291606</x:v>
      </x:c>
      <x:c r="K163" s="1" t="s">
        <x:v>80</x:v>
      </x:c>
      <x:c r="L163" s="1">
        <x:v>2685</x:v>
      </x:c>
    </x:row>
    <x:row r="164" ht="22" customHeight="1">
      <x:c r="A164" s="5">
        <x:v>2021</x:v>
      </x:c>
      <x:c r="B164" s="5" t="s">
        <x:v>41</x:v>
      </x:c>
      <x:c r="C164" s="6" t="s">
        <x:v>42</x:v>
      </x:c>
      <x:c r="D164" s="5" t="s">
        <x:v>96</x:v>
      </x:c>
      <x:c r="E164" s="8">
        <x:v>38</x:v>
      </x:c>
      <x:c r="F164" s="8">
        <x:v>114</x:v>
      </x:c>
      <x:c r="G164" s="10">
        <x:v>20884943</x:v>
      </x:c>
      <x:c r="H164" s="8">
        <x:v>114</x:v>
      </x:c>
      <x:c r="I164" s="8">
        <x:v>38</x:v>
      </x:c>
      <x:c r="J164" s="10">
        <x:v>20884943</x:v>
      </x:c>
      <x:c r="K164" s="5" t="s">
        <x:v>80</x:v>
      </x:c>
      <x:c r="L164" s="5">
        <x:v>2685</x:v>
      </x:c>
    </x:row>
    <x:row r="165" ht="22" customHeight="1">
      <x:c r="A165" s="1">
        <x:v>2021</x:v>
      </x:c>
      <x:c r="B165" s="1" t="s">
        <x:v>41</x:v>
      </x:c>
      <x:c r="C165" s="7" t="s">
        <x:v>42</x:v>
      </x:c>
      <x:c r="D165" s="1" t="s">
        <x:v>97</x:v>
      </x:c>
      <x:c r="E165" s="9">
        <x:v>19</x:v>
      </x:c>
      <x:c r="F165" s="9">
        <x:v>115</x:v>
      </x:c>
      <x:c r="G165" s="11">
        <x:v>20896953</x:v>
      </x:c>
      <x:c r="H165" s="9">
        <x:v>115</x:v>
      </x:c>
      <x:c r="I165" s="9">
        <x:v>19</x:v>
      </x:c>
      <x:c r="J165" s="11">
        <x:v>20896953</x:v>
      </x:c>
      <x:c r="K165" s="1" t="s">
        <x:v>80</x:v>
      </x:c>
      <x:c r="L165" s="1">
        <x:v>2685</x:v>
      </x:c>
    </x:row>
    <x:row r="166" ht="22" customHeight="1">
      <x:c r="A166" s="5">
        <x:v>2021</x:v>
      </x:c>
      <x:c r="B166" s="5" t="s">
        <x:v>43</x:v>
      </x:c>
      <x:c r="C166" s="6" t="s">
        <x:v>44</x:v>
      </x:c>
      <x:c r="D166" s="5" t="s">
        <x:v>94</x:v>
      </x:c>
      <x:c r="E166" s="8">
        <x:v>112</x:v>
      </x:c>
      <x:c r="F166" s="8">
        <x:v>112</x:v>
      </x:c>
      <x:c r="G166" s="10">
        <x:v>33499210</x:v>
      </x:c>
      <x:c r="H166" s="8">
        <x:v>95</x:v>
      </x:c>
      <x:c r="I166" s="8">
        <x:v>95</x:v>
      </x:c>
      <x:c r="J166" s="10">
        <x:v>27262273</x:v>
      </x:c>
      <x:c r="K166" s="5" t="s">
        <x:v>80</x:v>
      </x:c>
      <x:c r="L166" s="5">
        <x:v>2686</x:v>
      </x:c>
    </x:row>
    <x:row r="167" ht="22" customHeight="1">
      <x:c r="A167" s="1">
        <x:v>2021</x:v>
      </x:c>
      <x:c r="B167" s="1" t="s">
        <x:v>43</x:v>
      </x:c>
      <x:c r="C167" s="7" t="s">
        <x:v>44</x:v>
      </x:c>
      <x:c r="D167" s="1" t="s">
        <x:v>95</x:v>
      </x:c>
      <x:c r="E167" s="9">
        <x:v>2</x:v>
      </x:c>
      <x:c r="F167" s="9">
        <x:v>4</x:v>
      </x:c>
      <x:c r="G167" s="11">
        <x:v>848000</x:v>
      </x:c>
      <x:c r="H167" s="9">
        <x:v>4</x:v>
      </x:c>
      <x:c r="I167" s="9">
        <x:v>2</x:v>
      </x:c>
      <x:c r="J167" s="11">
        <x:v>848000</x:v>
      </x:c>
      <x:c r="K167" s="1" t="s">
        <x:v>80</x:v>
      </x:c>
      <x:c r="L167" s="1">
        <x:v>2686</x:v>
      </x:c>
    </x:row>
    <x:row r="168" ht="22" customHeight="1">
      <x:c r="A168" s="5">
        <x:v>2021</x:v>
      </x:c>
      <x:c r="B168" s="5" t="s">
        <x:v>43</x:v>
      </x:c>
      <x:c r="C168" s="6" t="s">
        <x:v>44</x:v>
      </x:c>
      <x:c r="D168" s="5" t="s">
        <x:v>96</x:v>
      </x:c>
      <x:c r="E168" s="8">
        <x:v>4</x:v>
      </x:c>
      <x:c r="F168" s="8">
        <x:v>14</x:v>
      </x:c>
      <x:c r="G168" s="10">
        <x:v>2590688</x:v>
      </x:c>
      <x:c r="H168" s="8">
        <x:v>14</x:v>
      </x:c>
      <x:c r="I168" s="8">
        <x:v>4</x:v>
      </x:c>
      <x:c r="J168" s="10">
        <x:v>2590688</x:v>
      </x:c>
      <x:c r="K168" s="5" t="s">
        <x:v>80</x:v>
      </x:c>
      <x:c r="L168" s="5">
        <x:v>2686</x:v>
      </x:c>
    </x:row>
    <x:row r="169" ht="22" customHeight="1">
      <x:c r="A169" s="1">
        <x:v>2021</x:v>
      </x:c>
      <x:c r="B169" s="1" t="s">
        <x:v>43</x:v>
      </x:c>
      <x:c r="C169" s="7" t="s">
        <x:v>44</x:v>
      </x:c>
      <x:c r="D169" s="1" t="s">
        <x:v>97</x:v>
      </x:c>
      <x:c r="E169" s="9">
        <x:v>1</x:v>
      </x:c>
      <x:c r="F169" s="9">
        <x:v>5</x:v>
      </x:c>
      <x:c r="G169" s="11">
        <x:v>917435</x:v>
      </x:c>
      <x:c r="H169" s="9">
        <x:v>5</x:v>
      </x:c>
      <x:c r="I169" s="9">
        <x:v>1</x:v>
      </x:c>
      <x:c r="J169" s="11">
        <x:v>917435</x:v>
      </x:c>
      <x:c r="K169" s="1" t="s">
        <x:v>80</x:v>
      </x:c>
      <x:c r="L169" s="1">
        <x:v>2686</x:v>
      </x:c>
    </x:row>
    <x:row r="170" ht="22" customHeight="1">
      <x:c r="A170" s="5">
        <x:v>2021</x:v>
      </x:c>
      <x:c r="B170" s="5" t="s">
        <x:v>45</x:v>
      </x:c>
      <x:c r="C170" s="6" t="s">
        <x:v>46</x:v>
      </x:c>
      <x:c r="D170" s="5" t="s">
        <x:v>94</x:v>
      </x:c>
      <x:c r="E170" s="8">
        <x:v>327</x:v>
      </x:c>
      <x:c r="F170" s="8">
        <x:v>327</x:v>
      </x:c>
      <x:c r="G170" s="10">
        <x:v>63463688</x:v>
      </x:c>
      <x:c r="H170" s="8">
        <x:v>112</x:v>
      </x:c>
      <x:c r="I170" s="8">
        <x:v>112</x:v>
      </x:c>
      <x:c r="J170" s="10">
        <x:v>14125512</x:v>
      </x:c>
      <x:c r="K170" s="5" t="s">
        <x:v>80</x:v>
      </x:c>
      <x:c r="L170" s="5">
        <x:v>2687</x:v>
      </x:c>
    </x:row>
    <x:row r="171" ht="22" customHeight="1">
      <x:c r="A171" s="1">
        <x:v>2021</x:v>
      </x:c>
      <x:c r="B171" s="1" t="s">
        <x:v>45</x:v>
      </x:c>
      <x:c r="C171" s="7" t="s">
        <x:v>46</x:v>
      </x:c>
      <x:c r="D171" s="1" t="s">
        <x:v>95</x:v>
      </x:c>
      <x:c r="E171" s="9">
        <x:v>0</x:v>
      </x:c>
      <x:c r="F171" s="9">
        <x:v>0</x:v>
      </x:c>
      <x:c r="G171" s="11">
        <x:v>0</x:v>
      </x:c>
      <x:c r="H171" s="9">
        <x:v>0</x:v>
      </x:c>
      <x:c r="I171" s="9">
        <x:v>0</x:v>
      </x:c>
      <x:c r="J171" s="11">
        <x:v>0</x:v>
      </x:c>
      <x:c r="K171" s="1" t="s">
        <x:v>80</x:v>
      </x:c>
      <x:c r="L171" s="1">
        <x:v>2687</x:v>
      </x:c>
    </x:row>
    <x:row r="172" ht="22" customHeight="1">
      <x:c r="A172" s="5">
        <x:v>2021</x:v>
      </x:c>
      <x:c r="B172" s="5" t="s">
        <x:v>45</x:v>
      </x:c>
      <x:c r="C172" s="6" t="s">
        <x:v>46</x:v>
      </x:c>
      <x:c r="D172" s="5" t="s">
        <x:v>96</x:v>
      </x:c>
      <x:c r="E172" s="8">
        <x:v>3</x:v>
      </x:c>
      <x:c r="F172" s="8">
        <x:v>11</x:v>
      </x:c>
      <x:c r="G172" s="10">
        <x:v>1690000</x:v>
      </x:c>
      <x:c r="H172" s="8">
        <x:v>8</x:v>
      </x:c>
      <x:c r="I172" s="8">
        <x:v>2</x:v>
      </x:c>
      <x:c r="J172" s="10">
        <x:v>850000</x:v>
      </x:c>
      <x:c r="K172" s="5" t="s">
        <x:v>80</x:v>
      </x:c>
      <x:c r="L172" s="5">
        <x:v>2687</x:v>
      </x:c>
    </x:row>
    <x:row r="173" ht="22" customHeight="1">
      <x:c r="A173" s="1">
        <x:v>2021</x:v>
      </x:c>
      <x:c r="B173" s="1" t="s">
        <x:v>45</x:v>
      </x:c>
      <x:c r="C173" s="7" t="s">
        <x:v>46</x:v>
      </x:c>
      <x:c r="D173" s="1" t="s">
        <x:v>97</x:v>
      </x:c>
      <x:c r="E173" s="9">
        <x:v>0</x:v>
      </x:c>
      <x:c r="F173" s="9">
        <x:v>0</x:v>
      </x:c>
      <x:c r="G173" s="11">
        <x:v>0</x:v>
      </x:c>
      <x:c r="H173" s="9">
        <x:v>0</x:v>
      </x:c>
      <x:c r="I173" s="9">
        <x:v>0</x:v>
      </x:c>
      <x:c r="J173" s="11">
        <x:v>0</x:v>
      </x:c>
      <x:c r="K173" s="1" t="s">
        <x:v>80</x:v>
      </x:c>
      <x:c r="L173" s="1">
        <x:v>2687</x:v>
      </x:c>
    </x:row>
    <x:row r="174" ht="22" customHeight="1">
      <x:c r="A174" s="5">
        <x:v>2021</x:v>
      </x:c>
      <x:c r="B174" s="5" t="s">
        <x:v>47</x:v>
      </x:c>
      <x:c r="C174" s="6" t="s">
        <x:v>48</x:v>
      </x:c>
      <x:c r="D174" s="5" t="s">
        <x:v>94</x:v>
      </x:c>
      <x:c r="E174" s="8">
        <x:v>49</x:v>
      </x:c>
      <x:c r="F174" s="8">
        <x:v>49</x:v>
      </x:c>
      <x:c r="G174" s="10">
        <x:v>10512485</x:v>
      </x:c>
      <x:c r="H174" s="8">
        <x:v>45</x:v>
      </x:c>
      <x:c r="I174" s="8">
        <x:v>45</x:v>
      </x:c>
      <x:c r="J174" s="10">
        <x:v>9345832</x:v>
      </x:c>
      <x:c r="K174" s="5" t="s">
        <x:v>80</x:v>
      </x:c>
      <x:c r="L174" s="5">
        <x:v>2688</x:v>
      </x:c>
    </x:row>
    <x:row r="175" ht="22" customHeight="1">
      <x:c r="A175" s="1">
        <x:v>2021</x:v>
      </x:c>
      <x:c r="B175" s="1" t="s">
        <x:v>47</x:v>
      </x:c>
      <x:c r="C175" s="7" t="s">
        <x:v>48</x:v>
      </x:c>
      <x:c r="D175" s="1" t="s">
        <x:v>95</x:v>
      </x:c>
      <x:c r="E175" s="9">
        <x:v>0</x:v>
      </x:c>
      <x:c r="F175" s="9">
        <x:v>0</x:v>
      </x:c>
      <x:c r="G175" s="11">
        <x:v>0</x:v>
      </x:c>
      <x:c r="H175" s="9">
        <x:v>0</x:v>
      </x:c>
      <x:c r="I175" s="9">
        <x:v>0</x:v>
      </x:c>
      <x:c r="J175" s="11">
        <x:v>0</x:v>
      </x:c>
      <x:c r="K175" s="1" t="s">
        <x:v>80</x:v>
      </x:c>
      <x:c r="L175" s="1">
        <x:v>2688</x:v>
      </x:c>
    </x:row>
    <x:row r="176" ht="22" customHeight="1">
      <x:c r="A176" s="5">
        <x:v>2021</x:v>
      </x:c>
      <x:c r="B176" s="5" t="s">
        <x:v>47</x:v>
      </x:c>
      <x:c r="C176" s="6" t="s">
        <x:v>48</x:v>
      </x:c>
      <x:c r="D176" s="5" t="s">
        <x:v>96</x:v>
      </x:c>
      <x:c r="E176" s="8">
        <x:v>1</x:v>
      </x:c>
      <x:c r="F176" s="8">
        <x:v>4</x:v>
      </x:c>
      <x:c r="G176" s="10">
        <x:v>351360</x:v>
      </x:c>
      <x:c r="H176" s="8">
        <x:v>4</x:v>
      </x:c>
      <x:c r="I176" s="8">
        <x:v>1</x:v>
      </x:c>
      <x:c r="J176" s="10">
        <x:v>351360</x:v>
      </x:c>
      <x:c r="K176" s="5" t="s">
        <x:v>80</x:v>
      </x:c>
      <x:c r="L176" s="5">
        <x:v>2688</x:v>
      </x:c>
    </x:row>
    <x:row r="177" ht="22" customHeight="1">
      <x:c r="A177" s="1">
        <x:v>2021</x:v>
      </x:c>
      <x:c r="B177" s="1" t="s">
        <x:v>47</x:v>
      </x:c>
      <x:c r="C177" s="7" t="s">
        <x:v>48</x:v>
      </x:c>
      <x:c r="D177" s="1" t="s">
        <x:v>97</x:v>
      </x:c>
      <x:c r="E177" s="9">
        <x:v>0</x:v>
      </x:c>
      <x:c r="F177" s="9">
        <x:v>0</x:v>
      </x:c>
      <x:c r="G177" s="11">
        <x:v>0</x:v>
      </x:c>
      <x:c r="H177" s="9">
        <x:v>0</x:v>
      </x:c>
      <x:c r="I177" s="9">
        <x:v>0</x:v>
      </x:c>
      <x:c r="J177" s="11">
        <x:v>0</x:v>
      </x:c>
      <x:c r="K177" s="1" t="s">
        <x:v>80</x:v>
      </x:c>
      <x:c r="L177" s="1">
        <x:v>2688</x:v>
      </x:c>
    </x:row>
    <x:row r="178" ht="22" customHeight="1">
      <x:c r="A178" s="5">
        <x:v>2021</x:v>
      </x:c>
      <x:c r="B178" s="5" t="s">
        <x:v>49</x:v>
      </x:c>
      <x:c r="C178" s="6" t="s">
        <x:v>50</x:v>
      </x:c>
      <x:c r="D178" s="5" t="s">
        <x:v>94</x:v>
      </x:c>
      <x:c r="E178" s="8">
        <x:v>98</x:v>
      </x:c>
      <x:c r="F178" s="8">
        <x:v>98</x:v>
      </x:c>
      <x:c r="G178" s="10">
        <x:v>47435580</x:v>
      </x:c>
      <x:c r="H178" s="8">
        <x:v>98</x:v>
      </x:c>
      <x:c r="I178" s="8">
        <x:v>98</x:v>
      </x:c>
      <x:c r="J178" s="10">
        <x:v>47435580</x:v>
      </x:c>
      <x:c r="K178" s="5" t="s">
        <x:v>80</x:v>
      </x:c>
      <x:c r="L178" s="5">
        <x:v>2689</x:v>
      </x:c>
    </x:row>
    <x:row r="179" ht="22" customHeight="1">
      <x:c r="A179" s="1">
        <x:v>2021</x:v>
      </x:c>
      <x:c r="B179" s="1" t="s">
        <x:v>49</x:v>
      </x:c>
      <x:c r="C179" s="7" t="s">
        <x:v>50</x:v>
      </x:c>
      <x:c r="D179" s="1" t="s">
        <x:v>95</x:v>
      </x:c>
      <x:c r="E179" s="9">
        <x:v>2</x:v>
      </x:c>
      <x:c r="F179" s="9">
        <x:v>4</x:v>
      </x:c>
      <x:c r="G179" s="11">
        <x:v>763642</x:v>
      </x:c>
      <x:c r="H179" s="9">
        <x:v>4</x:v>
      </x:c>
      <x:c r="I179" s="9">
        <x:v>2</x:v>
      </x:c>
      <x:c r="J179" s="11">
        <x:v>763642</x:v>
      </x:c>
      <x:c r="K179" s="1" t="s">
        <x:v>80</x:v>
      </x:c>
      <x:c r="L179" s="1">
        <x:v>2689</x:v>
      </x:c>
    </x:row>
    <x:row r="180" ht="22" customHeight="1">
      <x:c r="A180" s="5">
        <x:v>2021</x:v>
      </x:c>
      <x:c r="B180" s="5" t="s">
        <x:v>49</x:v>
      </x:c>
      <x:c r="C180" s="6" t="s">
        <x:v>50</x:v>
      </x:c>
      <x:c r="D180" s="5" t="s">
        <x:v>96</x:v>
      </x:c>
      <x:c r="E180" s="8">
        <x:v>10</x:v>
      </x:c>
      <x:c r="F180" s="8">
        <x:v>36</x:v>
      </x:c>
      <x:c r="G180" s="10">
        <x:v>7149178</x:v>
      </x:c>
      <x:c r="H180" s="8">
        <x:v>36</x:v>
      </x:c>
      <x:c r="I180" s="8">
        <x:v>10</x:v>
      </x:c>
      <x:c r="J180" s="10">
        <x:v>7149178</x:v>
      </x:c>
      <x:c r="K180" s="5" t="s">
        <x:v>80</x:v>
      </x:c>
      <x:c r="L180" s="5">
        <x:v>2689</x:v>
      </x:c>
    </x:row>
    <x:row r="181" ht="22" customHeight="1">
      <x:c r="A181" s="1">
        <x:v>2021</x:v>
      </x:c>
      <x:c r="B181" s="1" t="s">
        <x:v>49</x:v>
      </x:c>
      <x:c r="C181" s="7" t="s">
        <x:v>50</x:v>
      </x:c>
      <x:c r="D181" s="1" t="s">
        <x:v>97</x:v>
      </x:c>
      <x:c r="E181" s="9">
        <x:v>3</x:v>
      </x:c>
      <x:c r="F181" s="9">
        <x:v>15</x:v>
      </x:c>
      <x:c r="G181" s="11">
        <x:v>2769655</x:v>
      </x:c>
      <x:c r="H181" s="9">
        <x:v>15</x:v>
      </x:c>
      <x:c r="I181" s="9">
        <x:v>3</x:v>
      </x:c>
      <x:c r="J181" s="11">
        <x:v>2769655</x:v>
      </x:c>
      <x:c r="K181" s="1" t="s">
        <x:v>80</x:v>
      </x:c>
      <x:c r="L181" s="1">
        <x:v>2689</x:v>
      </x:c>
    </x:row>
    <x:row r="182" ht="22" customHeight="1">
      <x:c r="A182" s="5">
        <x:v>2021</x:v>
      </x:c>
      <x:c r="B182" s="5" t="s">
        <x:v>51</x:v>
      </x:c>
      <x:c r="C182" s="6" t="s">
        <x:v>52</x:v>
      </x:c>
      <x:c r="D182" s="5" t="s">
        <x:v>94</x:v>
      </x:c>
      <x:c r="E182" s="8">
        <x:v>33</x:v>
      </x:c>
      <x:c r="F182" s="8">
        <x:v>33</x:v>
      </x:c>
      <x:c r="G182" s="10">
        <x:v>5258556</x:v>
      </x:c>
      <x:c r="H182" s="8">
        <x:v>0</x:v>
      </x:c>
      <x:c r="I182" s="8">
        <x:v>0</x:v>
      </x:c>
      <x:c r="J182" s="10">
        <x:v>0</x:v>
      </x:c>
      <x:c r="K182" s="5" t="s">
        <x:v>80</x:v>
      </x:c>
      <x:c r="L182" s="5">
        <x:v>2690</x:v>
      </x:c>
    </x:row>
    <x:row r="183" ht="22" customHeight="1">
      <x:c r="A183" s="1">
        <x:v>2021</x:v>
      </x:c>
      <x:c r="B183" s="1" t="s">
        <x:v>51</x:v>
      </x:c>
      <x:c r="C183" s="7" t="s">
        <x:v>52</x:v>
      </x:c>
      <x:c r="D183" s="1" t="s">
        <x:v>95</x:v>
      </x:c>
      <x:c r="E183" s="9">
        <x:v>0</x:v>
      </x:c>
      <x:c r="F183" s="9">
        <x:v>0</x:v>
      </x:c>
      <x:c r="G183" s="11">
        <x:v>0</x:v>
      </x:c>
      <x:c r="H183" s="9">
        <x:v>0</x:v>
      </x:c>
      <x:c r="I183" s="9">
        <x:v>0</x:v>
      </x:c>
      <x:c r="J183" s="11">
        <x:v>0</x:v>
      </x:c>
      <x:c r="K183" s="1" t="s">
        <x:v>80</x:v>
      </x:c>
      <x:c r="L183" s="1">
        <x:v>2690</x:v>
      </x:c>
    </x:row>
    <x:row r="184" ht="22" customHeight="1">
      <x:c r="A184" s="5">
        <x:v>2021</x:v>
      </x:c>
      <x:c r="B184" s="5" t="s">
        <x:v>51</x:v>
      </x:c>
      <x:c r="C184" s="6" t="s">
        <x:v>52</x:v>
      </x:c>
      <x:c r="D184" s="5" t="s">
        <x:v>96</x:v>
      </x:c>
      <x:c r="E184" s="8">
        <x:v>0</x:v>
      </x:c>
      <x:c r="F184" s="8">
        <x:v>0</x:v>
      </x:c>
      <x:c r="G184" s="10">
        <x:v>0</x:v>
      </x:c>
      <x:c r="H184" s="8">
        <x:v>0</x:v>
      </x:c>
      <x:c r="I184" s="8">
        <x:v>0</x:v>
      </x:c>
      <x:c r="J184" s="10">
        <x:v>0</x:v>
      </x:c>
      <x:c r="K184" s="5" t="s">
        <x:v>80</x:v>
      </x:c>
      <x:c r="L184" s="5">
        <x:v>2690</x:v>
      </x:c>
    </x:row>
    <x:row r="185" ht="22" customHeight="1">
      <x:c r="A185" s="1">
        <x:v>2021</x:v>
      </x:c>
      <x:c r="B185" s="1" t="s">
        <x:v>51</x:v>
      </x:c>
      <x:c r="C185" s="7" t="s">
        <x:v>52</x:v>
      </x:c>
      <x:c r="D185" s="1" t="s">
        <x:v>97</x:v>
      </x:c>
      <x:c r="E185" s="9">
        <x:v>0</x:v>
      </x:c>
      <x:c r="F185" s="9">
        <x:v>0</x:v>
      </x:c>
      <x:c r="G185" s="11">
        <x:v>0</x:v>
      </x:c>
      <x:c r="H185" s="9">
        <x:v>0</x:v>
      </x:c>
      <x:c r="I185" s="9">
        <x:v>0</x:v>
      </x:c>
      <x:c r="J185" s="11">
        <x:v>0</x:v>
      </x:c>
      <x:c r="K185" s="1" t="s">
        <x:v>80</x:v>
      </x:c>
      <x:c r="L185" s="1">
        <x:v>2690</x:v>
      </x:c>
    </x:row>
    <x:row r="186" ht="22" customHeight="1">
      <x:c r="A186" s="5">
        <x:v>2021</x:v>
      </x:c>
      <x:c r="B186" s="5" t="s">
        <x:v>53</x:v>
      </x:c>
      <x:c r="C186" s="6" t="s">
        <x:v>54</x:v>
      </x:c>
      <x:c r="D186" s="5" t="s">
        <x:v>94</x:v>
      </x:c>
      <x:c r="E186" s="8">
        <x:v>68</x:v>
      </x:c>
      <x:c r="F186" s="8">
        <x:v>68</x:v>
      </x:c>
      <x:c r="G186" s="10">
        <x:v>22067697</x:v>
      </x:c>
      <x:c r="H186" s="8">
        <x:v>0</x:v>
      </x:c>
      <x:c r="I186" s="8">
        <x:v>0</x:v>
      </x:c>
      <x:c r="J186" s="10">
        <x:v>0</x:v>
      </x:c>
      <x:c r="K186" s="5" t="s">
        <x:v>80</x:v>
      </x:c>
      <x:c r="L186" s="5">
        <x:v>2691</x:v>
      </x:c>
    </x:row>
    <x:row r="187" ht="22" customHeight="1">
      <x:c r="A187" s="1">
        <x:v>2021</x:v>
      </x:c>
      <x:c r="B187" s="1" t="s">
        <x:v>53</x:v>
      </x:c>
      <x:c r="C187" s="7" t="s">
        <x:v>54</x:v>
      </x:c>
      <x:c r="D187" s="1" t="s">
        <x:v>95</x:v>
      </x:c>
      <x:c r="E187" s="9">
        <x:v>0</x:v>
      </x:c>
      <x:c r="F187" s="9">
        <x:v>0</x:v>
      </x:c>
      <x:c r="G187" s="11">
        <x:v>0</x:v>
      </x:c>
      <x:c r="H187" s="9">
        <x:v>0</x:v>
      </x:c>
      <x:c r="I187" s="9">
        <x:v>0</x:v>
      </x:c>
      <x:c r="J187" s="11">
        <x:v>0</x:v>
      </x:c>
      <x:c r="K187" s="1" t="s">
        <x:v>80</x:v>
      </x:c>
      <x:c r="L187" s="1">
        <x:v>2691</x:v>
      </x:c>
    </x:row>
    <x:row r="188" ht="22" customHeight="1">
      <x:c r="A188" s="5">
        <x:v>2021</x:v>
      </x:c>
      <x:c r="B188" s="5" t="s">
        <x:v>53</x:v>
      </x:c>
      <x:c r="C188" s="6" t="s">
        <x:v>54</x:v>
      </x:c>
      <x:c r="D188" s="5" t="s">
        <x:v>96</x:v>
      </x:c>
      <x:c r="E188" s="8">
        <x:v>0</x:v>
      </x:c>
      <x:c r="F188" s="8">
        <x:v>0</x:v>
      </x:c>
      <x:c r="G188" s="10">
        <x:v>0</x:v>
      </x:c>
      <x:c r="H188" s="8">
        <x:v>0</x:v>
      </x:c>
      <x:c r="I188" s="8">
        <x:v>0</x:v>
      </x:c>
      <x:c r="J188" s="10">
        <x:v>0</x:v>
      </x:c>
      <x:c r="K188" s="5" t="s">
        <x:v>80</x:v>
      </x:c>
      <x:c r="L188" s="5">
        <x:v>2691</x:v>
      </x:c>
    </x:row>
    <x:row r="189" ht="22" customHeight="1">
      <x:c r="A189" s="1">
        <x:v>2021</x:v>
      </x:c>
      <x:c r="B189" s="1" t="s">
        <x:v>53</x:v>
      </x:c>
      <x:c r="C189" s="7" t="s">
        <x:v>54</x:v>
      </x:c>
      <x:c r="D189" s="1" t="s">
        <x:v>97</x:v>
      </x:c>
      <x:c r="E189" s="9">
        <x:v>0</x:v>
      </x:c>
      <x:c r="F189" s="9">
        <x:v>0</x:v>
      </x:c>
      <x:c r="G189" s="11">
        <x:v>0</x:v>
      </x:c>
      <x:c r="H189" s="9">
        <x:v>0</x:v>
      </x:c>
      <x:c r="I189" s="9">
        <x:v>0</x:v>
      </x:c>
      <x:c r="J189" s="11">
        <x:v>0</x:v>
      </x:c>
      <x:c r="K189" s="1" t="s">
        <x:v>80</x:v>
      </x:c>
      <x:c r="L189" s="1">
        <x:v>2691</x:v>
      </x:c>
    </x:row>
    <x:row r="190" ht="22" customHeight="1">
      <x:c r="A190" s="5">
        <x:v>2021</x:v>
      </x:c>
      <x:c r="B190" s="5" t="s">
        <x:v>55</x:v>
      </x:c>
      <x:c r="C190" s="6" t="s">
        <x:v>56</x:v>
      </x:c>
      <x:c r="D190" s="5" t="s">
        <x:v>94</x:v>
      </x:c>
      <x:c r="E190" s="8">
        <x:v>4350</x:v>
      </x:c>
      <x:c r="F190" s="8">
        <x:v>4350</x:v>
      </x:c>
      <x:c r="G190" s="10">
        <x:v>1160717215</x:v>
      </x:c>
      <x:c r="H190" s="8">
        <x:v>4019</x:v>
      </x:c>
      <x:c r="I190" s="8">
        <x:v>4019</x:v>
      </x:c>
      <x:c r="J190" s="10">
        <x:v>1069817946</x:v>
      </x:c>
      <x:c r="K190" s="5" t="s">
        <x:v>80</x:v>
      </x:c>
      <x:c r="L190" s="5">
        <x:v>2692</x:v>
      </x:c>
    </x:row>
    <x:row r="191" ht="22" customHeight="1">
      <x:c r="A191" s="1">
        <x:v>2021</x:v>
      </x:c>
      <x:c r="B191" s="1" t="s">
        <x:v>55</x:v>
      </x:c>
      <x:c r="C191" s="7" t="s">
        <x:v>56</x:v>
      </x:c>
      <x:c r="D191" s="1" t="s">
        <x:v>95</x:v>
      </x:c>
      <x:c r="E191" s="9">
        <x:v>94</x:v>
      </x:c>
      <x:c r="F191" s="9">
        <x:v>188</x:v>
      </x:c>
      <x:c r="G191" s="11">
        <x:v>24394915</x:v>
      </x:c>
      <x:c r="H191" s="9">
        <x:v>144</x:v>
      </x:c>
      <x:c r="I191" s="9">
        <x:v>72</x:v>
      </x:c>
      <x:c r="J191" s="11">
        <x:v>20881027</x:v>
      </x:c>
      <x:c r="K191" s="1" t="s">
        <x:v>80</x:v>
      </x:c>
      <x:c r="L191" s="1">
        <x:v>2692</x:v>
      </x:c>
    </x:row>
    <x:row r="192" ht="22" customHeight="1">
      <x:c r="A192" s="5">
        <x:v>2021</x:v>
      </x:c>
      <x:c r="B192" s="5" t="s">
        <x:v>55</x:v>
      </x:c>
      <x:c r="C192" s="6" t="s">
        <x:v>56</x:v>
      </x:c>
      <x:c r="D192" s="5" t="s">
        <x:v>96</x:v>
      </x:c>
      <x:c r="E192" s="8">
        <x:v>74</x:v>
      </x:c>
      <x:c r="F192" s="8">
        <x:v>260</x:v>
      </x:c>
      <x:c r="G192" s="10">
        <x:v>45270202</x:v>
      </x:c>
      <x:c r="H192" s="8">
        <x:v>192</x:v>
      </x:c>
      <x:c r="I192" s="8">
        <x:v>53</x:v>
      </x:c>
      <x:c r="J192" s="10">
        <x:v>32936226</x:v>
      </x:c>
      <x:c r="K192" s="5" t="s">
        <x:v>80</x:v>
      </x:c>
      <x:c r="L192" s="5">
        <x:v>2692</x:v>
      </x:c>
    </x:row>
    <x:row r="193" ht="22" customHeight="1">
      <x:c r="A193" s="1">
        <x:v>2021</x:v>
      </x:c>
      <x:c r="B193" s="1" t="s">
        <x:v>55</x:v>
      </x:c>
      <x:c r="C193" s="7" t="s">
        <x:v>56</x:v>
      </x:c>
      <x:c r="D193" s="1" t="s">
        <x:v>97</x:v>
      </x:c>
      <x:c r="E193" s="9">
        <x:v>124</x:v>
      </x:c>
      <x:c r="F193" s="9">
        <x:v>5851</x:v>
      </x:c>
      <x:c r="G193" s="11">
        <x:v>894908953</x:v>
      </x:c>
      <x:c r="H193" s="9">
        <x:v>2320</x:v>
      </x:c>
      <x:c r="I193" s="9">
        <x:v>73</x:v>
      </x:c>
      <x:c r="J193" s="11">
        <x:v>416851950</x:v>
      </x:c>
      <x:c r="K193" s="1" t="s">
        <x:v>80</x:v>
      </x:c>
      <x:c r="L193" s="1">
        <x:v>2692</x:v>
      </x:c>
    </x:row>
    <x:row r="194" ht="22" customHeight="1">
      <x:c r="A194" s="5">
        <x:v>2021</x:v>
      </x:c>
      <x:c r="B194" s="5" t="s">
        <x:v>57</x:v>
      </x:c>
      <x:c r="C194" s="6" t="s">
        <x:v>58</x:v>
      </x:c>
      <x:c r="D194" s="5" t="s">
        <x:v>94</x:v>
      </x:c>
      <x:c r="E194" s="8">
        <x:v>161</x:v>
      </x:c>
      <x:c r="F194" s="8">
        <x:v>161</x:v>
      </x:c>
      <x:c r="G194" s="10">
        <x:v>48658403</x:v>
      </x:c>
      <x:c r="H194" s="8">
        <x:v>161</x:v>
      </x:c>
      <x:c r="I194" s="8">
        <x:v>161</x:v>
      </x:c>
      <x:c r="J194" s="10">
        <x:v>48658403</x:v>
      </x:c>
      <x:c r="K194" s="5" t="s">
        <x:v>80</x:v>
      </x:c>
      <x:c r="L194" s="5">
        <x:v>2693</x:v>
      </x:c>
    </x:row>
    <x:row r="195" ht="22" customHeight="1">
      <x:c r="A195" s="1">
        <x:v>2021</x:v>
      </x:c>
      <x:c r="B195" s="1" t="s">
        <x:v>57</x:v>
      </x:c>
      <x:c r="C195" s="7" t="s">
        <x:v>58</x:v>
      </x:c>
      <x:c r="D195" s="1" t="s">
        <x:v>95</x:v>
      </x:c>
      <x:c r="E195" s="9">
        <x:v>0</x:v>
      </x:c>
      <x:c r="F195" s="9">
        <x:v>0</x:v>
      </x:c>
      <x:c r="G195" s="11">
        <x:v>0</x:v>
      </x:c>
      <x:c r="H195" s="9">
        <x:v>0</x:v>
      </x:c>
      <x:c r="I195" s="9">
        <x:v>0</x:v>
      </x:c>
      <x:c r="J195" s="11">
        <x:v>0</x:v>
      </x:c>
      <x:c r="K195" s="1" t="s">
        <x:v>80</x:v>
      </x:c>
      <x:c r="L195" s="1">
        <x:v>2693</x:v>
      </x:c>
    </x:row>
    <x:row r="196" ht="22" customHeight="1">
      <x:c r="A196" s="5">
        <x:v>2021</x:v>
      </x:c>
      <x:c r="B196" s="5" t="s">
        <x:v>57</x:v>
      </x:c>
      <x:c r="C196" s="6" t="s">
        <x:v>58</x:v>
      </x:c>
      <x:c r="D196" s="5" t="s">
        <x:v>96</x:v>
      </x:c>
      <x:c r="E196" s="8">
        <x:v>0</x:v>
      </x:c>
      <x:c r="F196" s="8">
        <x:v>0</x:v>
      </x:c>
      <x:c r="G196" s="10">
        <x:v>0</x:v>
      </x:c>
      <x:c r="H196" s="8">
        <x:v>0</x:v>
      </x:c>
      <x:c r="I196" s="8">
        <x:v>0</x:v>
      </x:c>
      <x:c r="J196" s="10">
        <x:v>0</x:v>
      </x:c>
      <x:c r="K196" s="5" t="s">
        <x:v>80</x:v>
      </x:c>
      <x:c r="L196" s="5">
        <x:v>2693</x:v>
      </x:c>
    </x:row>
    <x:row r="197" ht="22" customHeight="1">
      <x:c r="A197" s="1">
        <x:v>2021</x:v>
      </x:c>
      <x:c r="B197" s="1" t="s">
        <x:v>57</x:v>
      </x:c>
      <x:c r="C197" s="7" t="s">
        <x:v>58</x:v>
      </x:c>
      <x:c r="D197" s="1" t="s">
        <x:v>97</x:v>
      </x:c>
      <x:c r="E197" s="9">
        <x:v>0</x:v>
      </x:c>
      <x:c r="F197" s="9">
        <x:v>0</x:v>
      </x:c>
      <x:c r="G197" s="11">
        <x:v>0</x:v>
      </x:c>
      <x:c r="H197" s="9">
        <x:v>0</x:v>
      </x:c>
      <x:c r="I197" s="9">
        <x:v>0</x:v>
      </x:c>
      <x:c r="J197" s="11">
        <x:v>0</x:v>
      </x:c>
      <x:c r="K197" s="1" t="s">
        <x:v>80</x:v>
      </x:c>
      <x:c r="L197" s="1">
        <x:v>2693</x:v>
      </x:c>
    </x:row>
    <x:row r="198" ht="22" customHeight="1">
      <x:c r="A198" s="5">
        <x:v>2021</x:v>
      </x:c>
      <x:c r="B198" s="5" t="s">
        <x:v>59</x:v>
      </x:c>
      <x:c r="C198" s="6" t="s">
        <x:v>60</x:v>
      </x:c>
      <x:c r="D198" s="5" t="s">
        <x:v>94</x:v>
      </x:c>
      <x:c r="E198" s="8">
        <x:v>227</x:v>
      </x:c>
      <x:c r="F198" s="8">
        <x:v>227</x:v>
      </x:c>
      <x:c r="G198" s="10">
        <x:v>40905899</x:v>
      </x:c>
      <x:c r="H198" s="8">
        <x:v>227</x:v>
      </x:c>
      <x:c r="I198" s="8">
        <x:v>227</x:v>
      </x:c>
      <x:c r="J198" s="10">
        <x:v>40905899</x:v>
      </x:c>
      <x:c r="K198" s="5" t="s">
        <x:v>80</x:v>
      </x:c>
      <x:c r="L198" s="5">
        <x:v>2694</x:v>
      </x:c>
    </x:row>
    <x:row r="199" ht="22" customHeight="1">
      <x:c r="A199" s="1">
        <x:v>2021</x:v>
      </x:c>
      <x:c r="B199" s="1" t="s">
        <x:v>59</x:v>
      </x:c>
      <x:c r="C199" s="7" t="s">
        <x:v>60</x:v>
      </x:c>
      <x:c r="D199" s="1" t="s">
        <x:v>95</x:v>
      </x:c>
      <x:c r="E199" s="9">
        <x:v>0</x:v>
      </x:c>
      <x:c r="F199" s="9">
        <x:v>0</x:v>
      </x:c>
      <x:c r="G199" s="11">
        <x:v>0</x:v>
      </x:c>
      <x:c r="H199" s="9">
        <x:v>0</x:v>
      </x:c>
      <x:c r="I199" s="9">
        <x:v>0</x:v>
      </x:c>
      <x:c r="J199" s="11">
        <x:v>0</x:v>
      </x:c>
      <x:c r="K199" s="1" t="s">
        <x:v>80</x:v>
      </x:c>
      <x:c r="L199" s="1">
        <x:v>2694</x:v>
      </x:c>
    </x:row>
    <x:row r="200" ht="22" customHeight="1">
      <x:c r="A200" s="5">
        <x:v>2021</x:v>
      </x:c>
      <x:c r="B200" s="5" t="s">
        <x:v>59</x:v>
      </x:c>
      <x:c r="C200" s="6" t="s">
        <x:v>60</x:v>
      </x:c>
      <x:c r="D200" s="5" t="s">
        <x:v>96</x:v>
      </x:c>
      <x:c r="E200" s="8">
        <x:v>0</x:v>
      </x:c>
      <x:c r="F200" s="8">
        <x:v>0</x:v>
      </x:c>
      <x:c r="G200" s="10">
        <x:v>0</x:v>
      </x:c>
      <x:c r="H200" s="8">
        <x:v>0</x:v>
      </x:c>
      <x:c r="I200" s="8">
        <x:v>0</x:v>
      </x:c>
      <x:c r="J200" s="10">
        <x:v>0</x:v>
      </x:c>
      <x:c r="K200" s="5" t="s">
        <x:v>80</x:v>
      </x:c>
      <x:c r="L200" s="5">
        <x:v>2694</x:v>
      </x:c>
    </x:row>
    <x:row r="201" ht="22" customHeight="1">
      <x:c r="A201" s="1">
        <x:v>2021</x:v>
      </x:c>
      <x:c r="B201" s="1" t="s">
        <x:v>59</x:v>
      </x:c>
      <x:c r="C201" s="7" t="s">
        <x:v>60</x:v>
      </x:c>
      <x:c r="D201" s="1" t="s">
        <x:v>97</x:v>
      </x:c>
      <x:c r="E201" s="9">
        <x:v>0</x:v>
      </x:c>
      <x:c r="F201" s="9">
        <x:v>0</x:v>
      </x:c>
      <x:c r="G201" s="11">
        <x:v>0</x:v>
      </x:c>
      <x:c r="H201" s="9">
        <x:v>0</x:v>
      </x:c>
      <x:c r="I201" s="9">
        <x:v>0</x:v>
      </x:c>
      <x:c r="J201" s="11">
        <x:v>0</x:v>
      </x:c>
      <x:c r="K201" s="1" t="s">
        <x:v>80</x:v>
      </x:c>
      <x:c r="L201" s="1">
        <x:v>2694</x:v>
      </x:c>
    </x:row>
    <x:row r="202" ht="22" customHeight="1">
      <x:c r="A202" s="5">
        <x:v>2021</x:v>
      </x:c>
      <x:c r="B202" s="5" t="s">
        <x:v>61</x:v>
      </x:c>
      <x:c r="C202" s="6" t="s">
        <x:v>62</x:v>
      </x:c>
      <x:c r="D202" s="5" t="s">
        <x:v>94</x:v>
      </x:c>
      <x:c r="E202" s="8">
        <x:v>66</x:v>
      </x:c>
      <x:c r="F202" s="8">
        <x:v>66</x:v>
      </x:c>
      <x:c r="G202" s="10">
        <x:v>18290709</x:v>
      </x:c>
      <x:c r="H202" s="8">
        <x:v>66</x:v>
      </x:c>
      <x:c r="I202" s="8">
        <x:v>66</x:v>
      </x:c>
      <x:c r="J202" s="10">
        <x:v>18290709</x:v>
      </x:c>
      <x:c r="K202" s="5" t="s">
        <x:v>80</x:v>
      </x:c>
      <x:c r="L202" s="5">
        <x:v>2695</x:v>
      </x:c>
    </x:row>
    <x:row r="203" ht="22" customHeight="1">
      <x:c r="A203" s="1">
        <x:v>2021</x:v>
      </x:c>
      <x:c r="B203" s="1" t="s">
        <x:v>61</x:v>
      </x:c>
      <x:c r="C203" s="7" t="s">
        <x:v>62</x:v>
      </x:c>
      <x:c r="D203" s="1" t="s">
        <x:v>95</x:v>
      </x:c>
      <x:c r="E203" s="9">
        <x:v>1</x:v>
      </x:c>
      <x:c r="F203" s="9">
        <x:v>2</x:v>
      </x:c>
      <x:c r="G203" s="11">
        <x:v>290000</x:v>
      </x:c>
      <x:c r="H203" s="9">
        <x:v>2</x:v>
      </x:c>
      <x:c r="I203" s="9">
        <x:v>1</x:v>
      </x:c>
      <x:c r="J203" s="11">
        <x:v>290000</x:v>
      </x:c>
      <x:c r="K203" s="1" t="s">
        <x:v>80</x:v>
      </x:c>
      <x:c r="L203" s="1">
        <x:v>2695</x:v>
      </x:c>
    </x:row>
    <x:row r="204" ht="22" customHeight="1">
      <x:c r="A204" s="5">
        <x:v>2021</x:v>
      </x:c>
      <x:c r="B204" s="5" t="s">
        <x:v>61</x:v>
      </x:c>
      <x:c r="C204" s="6" t="s">
        <x:v>62</x:v>
      </x:c>
      <x:c r="D204" s="5" t="s">
        <x:v>96</x:v>
      </x:c>
      <x:c r="E204" s="8">
        <x:v>0</x:v>
      </x:c>
      <x:c r="F204" s="8">
        <x:v>0</x:v>
      </x:c>
      <x:c r="G204" s="10">
        <x:v>0</x:v>
      </x:c>
      <x:c r="H204" s="8">
        <x:v>0</x:v>
      </x:c>
      <x:c r="I204" s="8">
        <x:v>0</x:v>
      </x:c>
      <x:c r="J204" s="10">
        <x:v>0</x:v>
      </x:c>
      <x:c r="K204" s="5" t="s">
        <x:v>80</x:v>
      </x:c>
      <x:c r="L204" s="5">
        <x:v>2695</x:v>
      </x:c>
    </x:row>
    <x:row r="205" ht="22" customHeight="1">
      <x:c r="A205" s="1">
        <x:v>2021</x:v>
      </x:c>
      <x:c r="B205" s="1" t="s">
        <x:v>61</x:v>
      </x:c>
      <x:c r="C205" s="7" t="s">
        <x:v>62</x:v>
      </x:c>
      <x:c r="D205" s="1" t="s">
        <x:v>97</x:v>
      </x:c>
      <x:c r="E205" s="9">
        <x:v>1</x:v>
      </x:c>
      <x:c r="F205" s="9">
        <x:v>120</x:v>
      </x:c>
      <x:c r="G205" s="11">
        <x:v>22000000</x:v>
      </x:c>
      <x:c r="H205" s="9">
        <x:v>120</x:v>
      </x:c>
      <x:c r="I205" s="9">
        <x:v>1</x:v>
      </x:c>
      <x:c r="J205" s="11">
        <x:v>22000000</x:v>
      </x:c>
      <x:c r="K205" s="1" t="s">
        <x:v>80</x:v>
      </x:c>
      <x:c r="L205" s="1">
        <x:v>2695</x:v>
      </x:c>
    </x:row>
    <x:row r="206" ht="22" customHeight="1">
      <x:c r="A206" s="5">
        <x:v>2021</x:v>
      </x:c>
      <x:c r="B206" s="5" t="s">
        <x:v>63</x:v>
      </x:c>
      <x:c r="C206" s="6" t="s">
        <x:v>64</x:v>
      </x:c>
      <x:c r="D206" s="5" t="s">
        <x:v>94</x:v>
      </x:c>
      <x:c r="E206" s="8">
        <x:v>286</x:v>
      </x:c>
      <x:c r="F206" s="8">
        <x:v>286</x:v>
      </x:c>
      <x:c r="G206" s="10">
        <x:v>190879582</x:v>
      </x:c>
      <x:c r="H206" s="8">
        <x:v>139</x:v>
      </x:c>
      <x:c r="I206" s="8">
        <x:v>139</x:v>
      </x:c>
      <x:c r="J206" s="10">
        <x:v>115357322</x:v>
      </x:c>
      <x:c r="K206" s="5" t="s">
        <x:v>80</x:v>
      </x:c>
      <x:c r="L206" s="5">
        <x:v>2696</x:v>
      </x:c>
    </x:row>
    <x:row r="207" ht="22" customHeight="1">
      <x:c r="A207" s="1">
        <x:v>2021</x:v>
      </x:c>
      <x:c r="B207" s="1" t="s">
        <x:v>63</x:v>
      </x:c>
      <x:c r="C207" s="7" t="s">
        <x:v>64</x:v>
      </x:c>
      <x:c r="D207" s="1" t="s">
        <x:v>95</x:v>
      </x:c>
      <x:c r="E207" s="9">
        <x:v>0</x:v>
      </x:c>
      <x:c r="F207" s="9">
        <x:v>0</x:v>
      </x:c>
      <x:c r="G207" s="11">
        <x:v>0</x:v>
      </x:c>
      <x:c r="H207" s="9">
        <x:v>0</x:v>
      </x:c>
      <x:c r="I207" s="9">
        <x:v>0</x:v>
      </x:c>
      <x:c r="J207" s="11">
        <x:v>0</x:v>
      </x:c>
      <x:c r="K207" s="1" t="s">
        <x:v>80</x:v>
      </x:c>
      <x:c r="L207" s="1">
        <x:v>2696</x:v>
      </x:c>
    </x:row>
    <x:row r="208" ht="22" customHeight="1">
      <x:c r="A208" s="5">
        <x:v>2021</x:v>
      </x:c>
      <x:c r="B208" s="5" t="s">
        <x:v>63</x:v>
      </x:c>
      <x:c r="C208" s="6" t="s">
        <x:v>64</x:v>
      </x:c>
      <x:c r="D208" s="5" t="s">
        <x:v>96</x:v>
      </x:c>
      <x:c r="E208" s="8">
        <x:v>10</x:v>
      </x:c>
      <x:c r="F208" s="8">
        <x:v>30</x:v>
      </x:c>
      <x:c r="G208" s="10">
        <x:v>8415300</x:v>
      </x:c>
      <x:c r="H208" s="8">
        <x:v>0</x:v>
      </x:c>
      <x:c r="I208" s="8">
        <x:v>0</x:v>
      </x:c>
      <x:c r="J208" s="10">
        <x:v>0</x:v>
      </x:c>
      <x:c r="K208" s="5" t="s">
        <x:v>80</x:v>
      </x:c>
      <x:c r="L208" s="5">
        <x:v>2696</x:v>
      </x:c>
    </x:row>
    <x:row r="209" ht="22" customHeight="1">
      <x:c r="A209" s="1">
        <x:v>2021</x:v>
      </x:c>
      <x:c r="B209" s="1" t="s">
        <x:v>63</x:v>
      </x:c>
      <x:c r="C209" s="7" t="s">
        <x:v>64</x:v>
      </x:c>
      <x:c r="D209" s="1" t="s">
        <x:v>97</x:v>
      </x:c>
      <x:c r="E209" s="9">
        <x:v>22</x:v>
      </x:c>
      <x:c r="F209" s="9">
        <x:v>123</x:v>
      </x:c>
      <x:c r="G209" s="11">
        <x:v>22956462</x:v>
      </x:c>
      <x:c r="H209" s="9">
        <x:v>11</x:v>
      </x:c>
      <x:c r="I209" s="9">
        <x:v>1</x:v>
      </x:c>
      <x:c r="J209" s="11">
        <x:v>3820500</x:v>
      </x:c>
      <x:c r="K209" s="1" t="s">
        <x:v>80</x:v>
      </x:c>
      <x:c r="L209" s="1">
        <x:v>2696</x:v>
      </x:c>
    </x:row>
    <x:row r="210" ht="22" customHeight="1">
      <x:c r="A210" s="5">
        <x:v>2021</x:v>
      </x:c>
      <x:c r="B210" s="5" t="s">
        <x:v>65</x:v>
      </x:c>
      <x:c r="C210" s="6" t="s">
        <x:v>66</x:v>
      </x:c>
      <x:c r="D210" s="5" t="s">
        <x:v>94</x:v>
      </x:c>
      <x:c r="E210" s="8">
        <x:v>988</x:v>
      </x:c>
      <x:c r="F210" s="8">
        <x:v>988</x:v>
      </x:c>
      <x:c r="G210" s="10">
        <x:v>259138696</x:v>
      </x:c>
      <x:c r="H210" s="8">
        <x:v>988</x:v>
      </x:c>
      <x:c r="I210" s="8">
        <x:v>988</x:v>
      </x:c>
      <x:c r="J210" s="10">
        <x:v>259138696</x:v>
      </x:c>
      <x:c r="K210" s="5" t="s">
        <x:v>80</x:v>
      </x:c>
      <x:c r="L210" s="5">
        <x:v>2697</x:v>
      </x:c>
    </x:row>
    <x:row r="211" ht="22" customHeight="1">
      <x:c r="A211" s="1">
        <x:v>2021</x:v>
      </x:c>
      <x:c r="B211" s="1" t="s">
        <x:v>65</x:v>
      </x:c>
      <x:c r="C211" s="7" t="s">
        <x:v>66</x:v>
      </x:c>
      <x:c r="D211" s="1" t="s">
        <x:v>95</x:v>
      </x:c>
      <x:c r="E211" s="9">
        <x:v>1</x:v>
      </x:c>
      <x:c r="F211" s="9">
        <x:v>2</x:v>
      </x:c>
      <x:c r="G211" s="11">
        <x:v>264303</x:v>
      </x:c>
      <x:c r="H211" s="9">
        <x:v>2</x:v>
      </x:c>
      <x:c r="I211" s="9">
        <x:v>1</x:v>
      </x:c>
      <x:c r="J211" s="11">
        <x:v>264303</x:v>
      </x:c>
      <x:c r="K211" s="1" t="s">
        <x:v>80</x:v>
      </x:c>
      <x:c r="L211" s="1">
        <x:v>2697</x:v>
      </x:c>
    </x:row>
    <x:row r="212" ht="22" customHeight="1">
      <x:c r="A212" s="5">
        <x:v>2021</x:v>
      </x:c>
      <x:c r="B212" s="5" t="s">
        <x:v>65</x:v>
      </x:c>
      <x:c r="C212" s="6" t="s">
        <x:v>66</x:v>
      </x:c>
      <x:c r="D212" s="5" t="s">
        <x:v>96</x:v>
      </x:c>
      <x:c r="E212" s="8">
        <x:v>1</x:v>
      </x:c>
      <x:c r="F212" s="8">
        <x:v>3</x:v>
      </x:c>
      <x:c r="G212" s="10">
        <x:v>394636</x:v>
      </x:c>
      <x:c r="H212" s="8">
        <x:v>3</x:v>
      </x:c>
      <x:c r="I212" s="8">
        <x:v>1</x:v>
      </x:c>
      <x:c r="J212" s="10">
        <x:v>394636</x:v>
      </x:c>
      <x:c r="K212" s="5" t="s">
        <x:v>80</x:v>
      </x:c>
      <x:c r="L212" s="5">
        <x:v>2697</x:v>
      </x:c>
    </x:row>
    <x:row r="213" ht="22" customHeight="1">
      <x:c r="A213" s="1">
        <x:v>2021</x:v>
      </x:c>
      <x:c r="B213" s="1" t="s">
        <x:v>65</x:v>
      </x:c>
      <x:c r="C213" s="7" t="s">
        <x:v>66</x:v>
      </x:c>
      <x:c r="D213" s="1" t="s">
        <x:v>97</x:v>
      </x:c>
      <x:c r="E213" s="9">
        <x:v>0</x:v>
      </x:c>
      <x:c r="F213" s="9">
        <x:v>0</x:v>
      </x:c>
      <x:c r="G213" s="11">
        <x:v>0</x:v>
      </x:c>
      <x:c r="H213" s="9">
        <x:v>0</x:v>
      </x:c>
      <x:c r="I213" s="9">
        <x:v>0</x:v>
      </x:c>
      <x:c r="J213" s="11">
        <x:v>0</x:v>
      </x:c>
      <x:c r="K213" s="1" t="s">
        <x:v>80</x:v>
      </x:c>
      <x:c r="L213" s="1">
        <x:v>2697</x:v>
      </x:c>
    </x:row>
    <x:row r="214" ht="22" customHeight="1">
      <x:c r="A214" s="5">
        <x:v>2021</x:v>
      </x:c>
      <x:c r="B214" s="5" t="s">
        <x:v>67</x:v>
      </x:c>
      <x:c r="C214" s="6" t="s">
        <x:v>68</x:v>
      </x:c>
      <x:c r="D214" s="5" t="s">
        <x:v>94</x:v>
      </x:c>
      <x:c r="E214" s="8">
        <x:v>86</x:v>
      </x:c>
      <x:c r="F214" s="8">
        <x:v>86</x:v>
      </x:c>
      <x:c r="G214" s="10">
        <x:v>25614985</x:v>
      </x:c>
      <x:c r="H214" s="8">
        <x:v>86</x:v>
      </x:c>
      <x:c r="I214" s="8">
        <x:v>86</x:v>
      </x:c>
      <x:c r="J214" s="10">
        <x:v>25614985</x:v>
      </x:c>
      <x:c r="K214" s="5" t="s">
        <x:v>80</x:v>
      </x:c>
      <x:c r="L214" s="5">
        <x:v>2698</x:v>
      </x:c>
    </x:row>
    <x:row r="215" ht="22" customHeight="1">
      <x:c r="A215" s="1">
        <x:v>2021</x:v>
      </x:c>
      <x:c r="B215" s="1" t="s">
        <x:v>67</x:v>
      </x:c>
      <x:c r="C215" s="7" t="s">
        <x:v>68</x:v>
      </x:c>
      <x:c r="D215" s="1" t="s">
        <x:v>95</x:v>
      </x:c>
      <x:c r="E215" s="9">
        <x:v>0</x:v>
      </x:c>
      <x:c r="F215" s="9">
        <x:v>0</x:v>
      </x:c>
      <x:c r="G215" s="11">
        <x:v>0</x:v>
      </x:c>
      <x:c r="H215" s="9">
        <x:v>0</x:v>
      </x:c>
      <x:c r="I215" s="9">
        <x:v>0</x:v>
      </x:c>
      <x:c r="J215" s="11">
        <x:v>0</x:v>
      </x:c>
      <x:c r="K215" s="1" t="s">
        <x:v>80</x:v>
      </x:c>
      <x:c r="L215" s="1">
        <x:v>2698</x:v>
      </x:c>
    </x:row>
    <x:row r="216" ht="22" customHeight="1">
      <x:c r="A216" s="5">
        <x:v>2021</x:v>
      </x:c>
      <x:c r="B216" s="5" t="s">
        <x:v>67</x:v>
      </x:c>
      <x:c r="C216" s="6" t="s">
        <x:v>68</x:v>
      </x:c>
      <x:c r="D216" s="5" t="s">
        <x:v>96</x:v>
      </x:c>
      <x:c r="E216" s="8">
        <x:v>0</x:v>
      </x:c>
      <x:c r="F216" s="8">
        <x:v>0</x:v>
      </x:c>
      <x:c r="G216" s="10">
        <x:v>0</x:v>
      </x:c>
      <x:c r="H216" s="8">
        <x:v>0</x:v>
      </x:c>
      <x:c r="I216" s="8">
        <x:v>0</x:v>
      </x:c>
      <x:c r="J216" s="10">
        <x:v>0</x:v>
      </x:c>
      <x:c r="K216" s="5" t="s">
        <x:v>80</x:v>
      </x:c>
      <x:c r="L216" s="5">
        <x:v>2698</x:v>
      </x:c>
    </x:row>
    <x:row r="217" ht="22" customHeight="1">
      <x:c r="A217" s="1">
        <x:v>2021</x:v>
      </x:c>
      <x:c r="B217" s="1" t="s">
        <x:v>67</x:v>
      </x:c>
      <x:c r="C217" s="7" t="s">
        <x:v>68</x:v>
      </x:c>
      <x:c r="D217" s="1" t="s">
        <x:v>97</x:v>
      </x:c>
      <x:c r="E217" s="9">
        <x:v>0</x:v>
      </x:c>
      <x:c r="F217" s="9">
        <x:v>0</x:v>
      </x:c>
      <x:c r="G217" s="11">
        <x:v>0</x:v>
      </x:c>
      <x:c r="H217" s="9">
        <x:v>0</x:v>
      </x:c>
      <x:c r="I217" s="9">
        <x:v>0</x:v>
      </x:c>
      <x:c r="J217" s="11">
        <x:v>0</x:v>
      </x:c>
      <x:c r="K217" s="1" t="s">
        <x:v>80</x:v>
      </x:c>
      <x:c r="L217" s="1">
        <x:v>2698</x:v>
      </x:c>
    </x:row>
    <x:row r="218" ht="22" customHeight="1">
      <x:c r="A218" s="5">
        <x:v>2021</x:v>
      </x:c>
      <x:c r="B218" s="5" t="s">
        <x:v>69</x:v>
      </x:c>
      <x:c r="C218" s="6" t="s">
        <x:v>70</x:v>
      </x:c>
      <x:c r="D218" s="5" t="s">
        <x:v>94</x:v>
      </x:c>
      <x:c r="E218" s="8">
        <x:v>7450</x:v>
      </x:c>
      <x:c r="F218" s="8">
        <x:v>7450</x:v>
      </x:c>
      <x:c r="G218" s="10">
        <x:v>2229217666</x:v>
      </x:c>
      <x:c r="H218" s="8">
        <x:v>7436</x:v>
      </x:c>
      <x:c r="I218" s="8">
        <x:v>7436</x:v>
      </x:c>
      <x:c r="J218" s="10">
        <x:v>2223138334</x:v>
      </x:c>
      <x:c r="K218" s="5" t="s">
        <x:v>80</x:v>
      </x:c>
      <x:c r="L218" s="5">
        <x:v>2699</x:v>
      </x:c>
    </x:row>
    <x:row r="219" ht="22" customHeight="1">
      <x:c r="A219" s="1">
        <x:v>2021</x:v>
      </x:c>
      <x:c r="B219" s="1" t="s">
        <x:v>69</x:v>
      </x:c>
      <x:c r="C219" s="7" t="s">
        <x:v>70</x:v>
      </x:c>
      <x:c r="D219" s="1" t="s">
        <x:v>95</x:v>
      </x:c>
      <x:c r="E219" s="9">
        <x:v>49</x:v>
      </x:c>
      <x:c r="F219" s="9">
        <x:v>98</x:v>
      </x:c>
      <x:c r="G219" s="11">
        <x:v>18793655</x:v>
      </x:c>
      <x:c r="H219" s="9">
        <x:v>98</x:v>
      </x:c>
      <x:c r="I219" s="9">
        <x:v>49</x:v>
      </x:c>
      <x:c r="J219" s="11">
        <x:v>18793655</x:v>
      </x:c>
      <x:c r="K219" s="1" t="s">
        <x:v>80</x:v>
      </x:c>
      <x:c r="L219" s="1">
        <x:v>2699</x:v>
      </x:c>
    </x:row>
    <x:row r="220" ht="22" customHeight="1">
      <x:c r="A220" s="5">
        <x:v>2021</x:v>
      </x:c>
      <x:c r="B220" s="5" t="s">
        <x:v>69</x:v>
      </x:c>
      <x:c r="C220" s="6" t="s">
        <x:v>70</x:v>
      </x:c>
      <x:c r="D220" s="5" t="s">
        <x:v>96</x:v>
      </x:c>
      <x:c r="E220" s="8">
        <x:v>62</x:v>
      </x:c>
      <x:c r="F220" s="8">
        <x:v>232</x:v>
      </x:c>
      <x:c r="G220" s="10">
        <x:v>37031021</x:v>
      </x:c>
      <x:c r="H220" s="8">
        <x:v>232</x:v>
      </x:c>
      <x:c r="I220" s="8">
        <x:v>62</x:v>
      </x:c>
      <x:c r="J220" s="10">
        <x:v>37031021</x:v>
      </x:c>
      <x:c r="K220" s="5" t="s">
        <x:v>80</x:v>
      </x:c>
      <x:c r="L220" s="5">
        <x:v>2699</x:v>
      </x:c>
    </x:row>
    <x:row r="221" ht="22" customHeight="1">
      <x:c r="A221" s="1">
        <x:v>2021</x:v>
      </x:c>
      <x:c r="B221" s="1" t="s">
        <x:v>69</x:v>
      </x:c>
      <x:c r="C221" s="7" t="s">
        <x:v>70</x:v>
      </x:c>
      <x:c r="D221" s="1" t="s">
        <x:v>97</x:v>
      </x:c>
      <x:c r="E221" s="9">
        <x:v>233</x:v>
      </x:c>
      <x:c r="F221" s="9">
        <x:v>3260</x:v>
      </x:c>
      <x:c r="G221" s="11">
        <x:v>448318047</x:v>
      </x:c>
      <x:c r="H221" s="9">
        <x:v>3260</x:v>
      </x:c>
      <x:c r="I221" s="9">
        <x:v>233</x:v>
      </x:c>
      <x:c r="J221" s="11">
        <x:v>448318047</x:v>
      </x:c>
      <x:c r="K221" s="1" t="s">
        <x:v>80</x:v>
      </x:c>
      <x:c r="L221" s="1">
        <x:v>2699</x:v>
      </x:c>
    </x:row>
    <x:row r="222" ht="22" customHeight="1">
      <x:c r="A222" s="5">
        <x:v>2021</x:v>
      </x:c>
      <x:c r="B222" s="5" t="s">
        <x:v>71</x:v>
      </x:c>
      <x:c r="C222" s="6" t="s">
        <x:v>72</x:v>
      </x:c>
      <x:c r="D222" s="5" t="s">
        <x:v>94</x:v>
      </x:c>
      <x:c r="E222" s="8">
        <x:v>894</x:v>
      </x:c>
      <x:c r="F222" s="8">
        <x:v>894</x:v>
      </x:c>
      <x:c r="G222" s="10">
        <x:v>580140193</x:v>
      </x:c>
      <x:c r="H222" s="8">
        <x:v>888</x:v>
      </x:c>
      <x:c r="I222" s="8">
        <x:v>888</x:v>
      </x:c>
      <x:c r="J222" s="10">
        <x:v>577528693</x:v>
      </x:c>
      <x:c r="K222" s="5" t="s">
        <x:v>80</x:v>
      </x:c>
      <x:c r="L222" s="5">
        <x:v>2700</x:v>
      </x:c>
    </x:row>
    <x:row r="223" ht="22" customHeight="1">
      <x:c r="A223" s="1">
        <x:v>2021</x:v>
      </x:c>
      <x:c r="B223" s="1" t="s">
        <x:v>71</x:v>
      </x:c>
      <x:c r="C223" s="7" t="s">
        <x:v>72</x:v>
      </x:c>
      <x:c r="D223" s="1" t="s">
        <x:v>95</x:v>
      </x:c>
      <x:c r="E223" s="9">
        <x:v>4</x:v>
      </x:c>
      <x:c r="F223" s="9">
        <x:v>8</x:v>
      </x:c>
      <x:c r="G223" s="11">
        <x:v>1973680</x:v>
      </x:c>
      <x:c r="H223" s="9">
        <x:v>8</x:v>
      </x:c>
      <x:c r="I223" s="9">
        <x:v>4</x:v>
      </x:c>
      <x:c r="J223" s="11">
        <x:v>1973680</x:v>
      </x:c>
      <x:c r="K223" s="1" t="s">
        <x:v>80</x:v>
      </x:c>
      <x:c r="L223" s="1">
        <x:v>2700</x:v>
      </x:c>
    </x:row>
    <x:row r="224" ht="22" customHeight="1">
      <x:c r="A224" s="5">
        <x:v>2021</x:v>
      </x:c>
      <x:c r="B224" s="5" t="s">
        <x:v>71</x:v>
      </x:c>
      <x:c r="C224" s="6" t="s">
        <x:v>72</x:v>
      </x:c>
      <x:c r="D224" s="5" t="s">
        <x:v>96</x:v>
      </x:c>
      <x:c r="E224" s="8">
        <x:v>0</x:v>
      </x:c>
      <x:c r="F224" s="8">
        <x:v>0</x:v>
      </x:c>
      <x:c r="G224" s="10">
        <x:v>0</x:v>
      </x:c>
      <x:c r="H224" s="8">
        <x:v>0</x:v>
      </x:c>
      <x:c r="I224" s="8">
        <x:v>0</x:v>
      </x:c>
      <x:c r="J224" s="10">
        <x:v>0</x:v>
      </x:c>
      <x:c r="K224" s="5" t="s">
        <x:v>80</x:v>
      </x:c>
      <x:c r="L224" s="5">
        <x:v>2700</x:v>
      </x:c>
    </x:row>
    <x:row r="225" ht="22" customHeight="1">
      <x:c r="A225" s="1">
        <x:v>2021</x:v>
      </x:c>
      <x:c r="B225" s="1" t="s">
        <x:v>71</x:v>
      </x:c>
      <x:c r="C225" s="7" t="s">
        <x:v>72</x:v>
      </x:c>
      <x:c r="D225" s="1" t="s">
        <x:v>97</x:v>
      </x:c>
      <x:c r="E225" s="9">
        <x:v>14</x:v>
      </x:c>
      <x:c r="F225" s="9">
        <x:v>277</x:v>
      </x:c>
      <x:c r="G225" s="11">
        <x:v>43145829</x:v>
      </x:c>
      <x:c r="H225" s="9">
        <x:v>277</x:v>
      </x:c>
      <x:c r="I225" s="9">
        <x:v>14</x:v>
      </x:c>
      <x:c r="J225" s="11">
        <x:v>43145829</x:v>
      </x:c>
      <x:c r="K225" s="1" t="s">
        <x:v>80</x:v>
      </x:c>
      <x:c r="L225" s="1">
        <x:v>2700</x:v>
      </x:c>
    </x:row>
    <x:row r="226" ht="22" customHeight="1">
      <x:c r="A226" s="5">
        <x:v>2021</x:v>
      </x:c>
      <x:c r="B226" s="5" t="s">
        <x:v>73</x:v>
      </x:c>
      <x:c r="C226" s="6" t="s">
        <x:v>74</x:v>
      </x:c>
      <x:c r="D226" s="5" t="s">
        <x:v>94</x:v>
      </x:c>
      <x:c r="E226" s="8">
        <x:v>3218</x:v>
      </x:c>
      <x:c r="F226" s="8">
        <x:v>3218</x:v>
      </x:c>
      <x:c r="G226" s="10">
        <x:v>681326708</x:v>
      </x:c>
      <x:c r="H226" s="8">
        <x:v>2764</x:v>
      </x:c>
      <x:c r="I226" s="8">
        <x:v>2764</x:v>
      </x:c>
      <x:c r="J226" s="10">
        <x:v>609027066</x:v>
      </x:c>
      <x:c r="K226" s="5" t="s">
        <x:v>80</x:v>
      </x:c>
      <x:c r="L226" s="5">
        <x:v>2701</x:v>
      </x:c>
    </x:row>
    <x:row r="227" ht="22" customHeight="1">
      <x:c r="A227" s="1">
        <x:v>2021</x:v>
      </x:c>
      <x:c r="B227" s="1" t="s">
        <x:v>73</x:v>
      </x:c>
      <x:c r="C227" s="7" t="s">
        <x:v>74</x:v>
      </x:c>
      <x:c r="D227" s="1" t="s">
        <x:v>95</x:v>
      </x:c>
      <x:c r="E227" s="9">
        <x:v>22</x:v>
      </x:c>
      <x:c r="F227" s="9">
        <x:v>44</x:v>
      </x:c>
      <x:c r="G227" s="11">
        <x:v>7945465</x:v>
      </x:c>
      <x:c r="H227" s="9">
        <x:v>44</x:v>
      </x:c>
      <x:c r="I227" s="9">
        <x:v>22</x:v>
      </x:c>
      <x:c r="J227" s="11">
        <x:v>7945465</x:v>
      </x:c>
      <x:c r="K227" s="1" t="s">
        <x:v>80</x:v>
      </x:c>
      <x:c r="L227" s="1">
        <x:v>2701</x:v>
      </x:c>
    </x:row>
    <x:row r="228" ht="22" customHeight="1">
      <x:c r="A228" s="5">
        <x:v>2021</x:v>
      </x:c>
      <x:c r="B228" s="5" t="s">
        <x:v>73</x:v>
      </x:c>
      <x:c r="C228" s="6" t="s">
        <x:v>74</x:v>
      </x:c>
      <x:c r="D228" s="5" t="s">
        <x:v>96</x:v>
      </x:c>
      <x:c r="E228" s="8">
        <x:v>8</x:v>
      </x:c>
      <x:c r="F228" s="8">
        <x:v>28</x:v>
      </x:c>
      <x:c r="G228" s="10">
        <x:v>4924104</x:v>
      </x:c>
      <x:c r="H228" s="8">
        <x:v>28</x:v>
      </x:c>
      <x:c r="I228" s="8">
        <x:v>8</x:v>
      </x:c>
      <x:c r="J228" s="10">
        <x:v>4924104</x:v>
      </x:c>
      <x:c r="K228" s="5" t="s">
        <x:v>80</x:v>
      </x:c>
      <x:c r="L228" s="5">
        <x:v>2701</x:v>
      </x:c>
    </x:row>
    <x:row r="229" ht="22" customHeight="1">
      <x:c r="A229" s="1">
        <x:v>2021</x:v>
      </x:c>
      <x:c r="B229" s="1" t="s">
        <x:v>73</x:v>
      </x:c>
      <x:c r="C229" s="7" t="s">
        <x:v>74</x:v>
      </x:c>
      <x:c r="D229" s="1" t="s">
        <x:v>97</x:v>
      </x:c>
      <x:c r="E229" s="9">
        <x:v>25</x:v>
      </x:c>
      <x:c r="F229" s="9">
        <x:v>194</x:v>
      </x:c>
      <x:c r="G229" s="11">
        <x:v>27086970</x:v>
      </x:c>
      <x:c r="H229" s="9">
        <x:v>194</x:v>
      </x:c>
      <x:c r="I229" s="9">
        <x:v>25</x:v>
      </x:c>
      <x:c r="J229" s="11">
        <x:v>27086970</x:v>
      </x:c>
      <x:c r="K229" s="1" t="s">
        <x:v>80</x:v>
      </x:c>
      <x:c r="L229" s="1">
        <x:v>2701</x:v>
      </x:c>
    </x:row>
    <x:row r="230" ht="22" customHeight="1">
      <x:c r="A230" s="5">
        <x:v>2021</x:v>
      </x:c>
      <x:c r="B230" s="5" t="s">
        <x:v>75</x:v>
      </x:c>
      <x:c r="C230" s="6" t="s">
        <x:v>76</x:v>
      </x:c>
      <x:c r="D230" s="5" t="s">
        <x:v>94</x:v>
      </x:c>
      <x:c r="E230" s="8">
        <x:v>33</x:v>
      </x:c>
      <x:c r="F230" s="8">
        <x:v>33</x:v>
      </x:c>
      <x:c r="G230" s="10">
        <x:v>7142861</x:v>
      </x:c>
      <x:c r="H230" s="8">
        <x:v>33</x:v>
      </x:c>
      <x:c r="I230" s="8">
        <x:v>33</x:v>
      </x:c>
      <x:c r="J230" s="10">
        <x:v>7142861</x:v>
      </x:c>
      <x:c r="K230" s="5" t="s">
        <x:v>80</x:v>
      </x:c>
      <x:c r="L230" s="5">
        <x:v>2702</x:v>
      </x:c>
    </x:row>
    <x:row r="231" ht="22" customHeight="1">
      <x:c r="A231" s="1">
        <x:v>2021</x:v>
      </x:c>
      <x:c r="B231" s="1" t="s">
        <x:v>75</x:v>
      </x:c>
      <x:c r="C231" s="7" t="s">
        <x:v>76</x:v>
      </x:c>
      <x:c r="D231" s="1" t="s">
        <x:v>95</x:v>
      </x:c>
      <x:c r="E231" s="9">
        <x:v>1</x:v>
      </x:c>
      <x:c r="F231" s="9">
        <x:v>2</x:v>
      </x:c>
      <x:c r="G231" s="11">
        <x:v>400000</x:v>
      </x:c>
      <x:c r="H231" s="9">
        <x:v>2</x:v>
      </x:c>
      <x:c r="I231" s="9">
        <x:v>1</x:v>
      </x:c>
      <x:c r="J231" s="11">
        <x:v>400000</x:v>
      </x:c>
      <x:c r="K231" s="1" t="s">
        <x:v>80</x:v>
      </x:c>
      <x:c r="L231" s="1">
        <x:v>2702</x:v>
      </x:c>
    </x:row>
    <x:row r="232" ht="22" customHeight="1">
      <x:c r="A232" s="5">
        <x:v>2021</x:v>
      </x:c>
      <x:c r="B232" s="5" t="s">
        <x:v>75</x:v>
      </x:c>
      <x:c r="C232" s="6" t="s">
        <x:v>76</x:v>
      </x:c>
      <x:c r="D232" s="5" t="s">
        <x:v>96</x:v>
      </x:c>
      <x:c r="E232" s="8">
        <x:v>0</x:v>
      </x:c>
      <x:c r="F232" s="8">
        <x:v>0</x:v>
      </x:c>
      <x:c r="G232" s="10">
        <x:v>0</x:v>
      </x:c>
      <x:c r="H232" s="8">
        <x:v>0</x:v>
      </x:c>
      <x:c r="I232" s="8">
        <x:v>0</x:v>
      </x:c>
      <x:c r="J232" s="10">
        <x:v>0</x:v>
      </x:c>
      <x:c r="K232" s="5" t="s">
        <x:v>80</x:v>
      </x:c>
      <x:c r="L232" s="5">
        <x:v>2702</x:v>
      </x:c>
    </x:row>
    <x:row r="233" ht="22" customHeight="1">
      <x:c r="A233" s="1">
        <x:v>2021</x:v>
      </x:c>
      <x:c r="B233" s="1" t="s">
        <x:v>75</x:v>
      </x:c>
      <x:c r="C233" s="7" t="s">
        <x:v>76</x:v>
      </x:c>
      <x:c r="D233" s="1" t="s">
        <x:v>97</x:v>
      </x:c>
      <x:c r="E233" s="9">
        <x:v>0</x:v>
      </x:c>
      <x:c r="F233" s="9">
        <x:v>0</x:v>
      </x:c>
      <x:c r="G233" s="11">
        <x:v>0</x:v>
      </x:c>
      <x:c r="H233" s="9">
        <x:v>0</x:v>
      </x:c>
      <x:c r="I233" s="9">
        <x:v>0</x:v>
      </x:c>
      <x:c r="J233" s="11">
        <x:v>0</x:v>
      </x:c>
      <x:c r="K233" s="1" t="s">
        <x:v>80</x:v>
      </x:c>
      <x:c r="L233" s="1">
        <x:v>2702</x:v>
      </x:c>
    </x:row>
    <x:row r="234" ht="22" customHeight="1">
      <x:c r="A234" s="5">
        <x:v>2021</x:v>
      </x:c>
      <x:c r="B234" s="5" t="s">
        <x:v>77</x:v>
      </x:c>
      <x:c r="C234" s="6" t="s">
        <x:v>78</x:v>
      </x:c>
      <x:c r="D234" s="5" t="s">
        <x:v>94</x:v>
      </x:c>
      <x:c r="E234" s="8">
        <x:v>1635</x:v>
      </x:c>
      <x:c r="F234" s="8">
        <x:v>1635</x:v>
      </x:c>
      <x:c r="G234" s="10">
        <x:v>399437776</x:v>
      </x:c>
      <x:c r="H234" s="8">
        <x:v>1497</x:v>
      </x:c>
      <x:c r="I234" s="8">
        <x:v>1497</x:v>
      </x:c>
      <x:c r="J234" s="10">
        <x:v>362954054</x:v>
      </x:c>
      <x:c r="K234" s="5" t="s">
        <x:v>80</x:v>
      </x:c>
      <x:c r="L234" s="5">
        <x:v>2703</x:v>
      </x:c>
    </x:row>
    <x:row r="235" ht="22" customHeight="1">
      <x:c r="A235" s="1">
        <x:v>2021</x:v>
      </x:c>
      <x:c r="B235" s="1" t="s">
        <x:v>77</x:v>
      </x:c>
      <x:c r="C235" s="7" t="s">
        <x:v>78</x:v>
      </x:c>
      <x:c r="D235" s="1" t="s">
        <x:v>95</x:v>
      </x:c>
      <x:c r="E235" s="9">
        <x:v>2</x:v>
      </x:c>
      <x:c r="F235" s="9">
        <x:v>4</x:v>
      </x:c>
      <x:c r="G235" s="11">
        <x:v>1415544</x:v>
      </x:c>
      <x:c r="H235" s="9">
        <x:v>4</x:v>
      </x:c>
      <x:c r="I235" s="9">
        <x:v>2</x:v>
      </x:c>
      <x:c r="J235" s="11">
        <x:v>1415544</x:v>
      </x:c>
      <x:c r="K235" s="1" t="s">
        <x:v>80</x:v>
      </x:c>
      <x:c r="L235" s="1">
        <x:v>2703</x:v>
      </x:c>
    </x:row>
    <x:row r="236" ht="22" customHeight="1">
      <x:c r="A236" s="5">
        <x:v>2021</x:v>
      </x:c>
      <x:c r="B236" s="5" t="s">
        <x:v>77</x:v>
      </x:c>
      <x:c r="C236" s="6" t="s">
        <x:v>78</x:v>
      </x:c>
      <x:c r="D236" s="5" t="s">
        <x:v>96</x:v>
      </x:c>
      <x:c r="E236" s="8">
        <x:v>17</x:v>
      </x:c>
      <x:c r="F236" s="8">
        <x:v>57</x:v>
      </x:c>
      <x:c r="G236" s="10">
        <x:v>10764276</x:v>
      </x:c>
      <x:c r="H236" s="8">
        <x:v>0</x:v>
      </x:c>
      <x:c r="I236" s="8">
        <x:v>0</x:v>
      </x:c>
      <x:c r="J236" s="10">
        <x:v>0</x:v>
      </x:c>
      <x:c r="K236" s="5" t="s">
        <x:v>80</x:v>
      </x:c>
      <x:c r="L236" s="5">
        <x:v>2703</x:v>
      </x:c>
    </x:row>
    <x:row r="237" ht="22" customHeight="1">
      <x:c r="A237" s="1">
        <x:v>2021</x:v>
      </x:c>
      <x:c r="B237" s="1" t="s">
        <x:v>77</x:v>
      </x:c>
      <x:c r="C237" s="7" t="s">
        <x:v>78</x:v>
      </x:c>
      <x:c r="D237" s="1" t="s">
        <x:v>97</x:v>
      </x:c>
      <x:c r="E237" s="9">
        <x:v>36</x:v>
      </x:c>
      <x:c r="F237" s="9">
        <x:v>940</x:v>
      </x:c>
      <x:c r="G237" s="11">
        <x:v>117037684</x:v>
      </x:c>
      <x:c r="H237" s="9">
        <x:v>884</x:v>
      </x:c>
      <x:c r="I237" s="9">
        <x:v>25</x:v>
      </x:c>
      <x:c r="J237" s="11">
        <x:v>110947218</x:v>
      </x:c>
      <x:c r="K237" s="1" t="s">
        <x:v>80</x:v>
      </x:c>
      <x:c r="L237" s="1">
        <x:v>2703</x:v>
      </x:c>
    </x:row>
    <x:row r="238" ht="22" customHeight="1">
      <x:c r="A238" s="5">
        <x:v>2022</x:v>
      </x:c>
      <x:c r="B238" s="5" t="s">
        <x:v>18</x:v>
      </x:c>
      <x:c r="C238" s="6" t="s">
        <x:v>19</x:v>
      </x:c>
      <x:c r="D238" s="5" t="s">
        <x:v>94</x:v>
      </x:c>
      <x:c r="E238" s="8">
        <x:v>63</x:v>
      </x:c>
      <x:c r="F238" s="8">
        <x:v>63</x:v>
      </x:c>
      <x:c r="G238" s="10">
        <x:v>15183118</x:v>
      </x:c>
      <x:c r="H238" s="8">
        <x:v>63</x:v>
      </x:c>
      <x:c r="I238" s="8">
        <x:v>63</x:v>
      </x:c>
      <x:c r="J238" s="10">
        <x:v>15183118</x:v>
      </x:c>
      <x:c r="K238" s="5" t="s">
        <x:v>81</x:v>
      </x:c>
      <x:c r="L238" s="5">
        <x:v>2674</x:v>
      </x:c>
    </x:row>
    <x:row r="239" ht="22" customHeight="1">
      <x:c r="A239" s="1">
        <x:v>2022</x:v>
      </x:c>
      <x:c r="B239" s="1" t="s">
        <x:v>18</x:v>
      </x:c>
      <x:c r="C239" s="7" t="s">
        <x:v>19</x:v>
      </x:c>
      <x:c r="D239" s="1" t="s">
        <x:v>95</x:v>
      </x:c>
      <x:c r="E239" s="9">
        <x:v>0</x:v>
      </x:c>
      <x:c r="F239" s="9">
        <x:v>0</x:v>
      </x:c>
      <x:c r="G239" s="11">
        <x:v>0</x:v>
      </x:c>
      <x:c r="H239" s="9">
        <x:v>0</x:v>
      </x:c>
      <x:c r="I239" s="9">
        <x:v>0</x:v>
      </x:c>
      <x:c r="J239" s="11">
        <x:v>0</x:v>
      </x:c>
      <x:c r="K239" s="1" t="s">
        <x:v>81</x:v>
      </x:c>
      <x:c r="L239" s="1">
        <x:v>2674</x:v>
      </x:c>
    </x:row>
    <x:row r="240" ht="22" customHeight="1">
      <x:c r="A240" s="5">
        <x:v>2022</x:v>
      </x:c>
      <x:c r="B240" s="5" t="s">
        <x:v>18</x:v>
      </x:c>
      <x:c r="C240" s="6" t="s">
        <x:v>19</x:v>
      </x:c>
      <x:c r="D240" s="5" t="s">
        <x:v>96</x:v>
      </x:c>
      <x:c r="E240" s="8">
        <x:v>0</x:v>
      </x:c>
      <x:c r="F240" s="8">
        <x:v>0</x:v>
      </x:c>
      <x:c r="G240" s="10">
        <x:v>0</x:v>
      </x:c>
      <x:c r="H240" s="8">
        <x:v>0</x:v>
      </x:c>
      <x:c r="I240" s="8">
        <x:v>0</x:v>
      </x:c>
      <x:c r="J240" s="10">
        <x:v>0</x:v>
      </x:c>
      <x:c r="K240" s="5" t="s">
        <x:v>81</x:v>
      </x:c>
      <x:c r="L240" s="5">
        <x:v>2674</x:v>
      </x:c>
    </x:row>
    <x:row r="241" ht="22" customHeight="1">
      <x:c r="A241" s="1">
        <x:v>2022</x:v>
      </x:c>
      <x:c r="B241" s="1" t="s">
        <x:v>18</x:v>
      </x:c>
      <x:c r="C241" s="7" t="s">
        <x:v>19</x:v>
      </x:c>
      <x:c r="D241" s="1" t="s">
        <x:v>97</x:v>
      </x:c>
      <x:c r="E241" s="9">
        <x:v>0</x:v>
      </x:c>
      <x:c r="F241" s="9">
        <x:v>0</x:v>
      </x:c>
      <x:c r="G241" s="11">
        <x:v>0</x:v>
      </x:c>
      <x:c r="H241" s="9">
        <x:v>0</x:v>
      </x:c>
      <x:c r="I241" s="9">
        <x:v>0</x:v>
      </x:c>
      <x:c r="J241" s="11">
        <x:v>0</x:v>
      </x:c>
      <x:c r="K241" s="1" t="s">
        <x:v>81</x:v>
      </x:c>
      <x:c r="L241" s="1">
        <x:v>2674</x:v>
      </x:c>
    </x:row>
    <x:row r="242" ht="22" customHeight="1">
      <x:c r="A242" s="5">
        <x:v>2022</x:v>
      </x:c>
      <x:c r="B242" s="5" t="s">
        <x:v>23</x:v>
      </x:c>
      <x:c r="C242" s="6" t="s">
        <x:v>24</x:v>
      </x:c>
      <x:c r="D242" s="5" t="s">
        <x:v>94</x:v>
      </x:c>
      <x:c r="E242" s="8">
        <x:v>327</x:v>
      </x:c>
      <x:c r="F242" s="8">
        <x:v>327</x:v>
      </x:c>
      <x:c r="G242" s="10">
        <x:v>108537983</x:v>
      </x:c>
      <x:c r="H242" s="8">
        <x:v>260</x:v>
      </x:c>
      <x:c r="I242" s="8">
        <x:v>260</x:v>
      </x:c>
      <x:c r="J242" s="10">
        <x:v>91268725</x:v>
      </x:c>
      <x:c r="K242" s="5" t="s">
        <x:v>81</x:v>
      </x:c>
      <x:c r="L242" s="5">
        <x:v>2675</x:v>
      </x:c>
    </x:row>
    <x:row r="243" ht="22" customHeight="1">
      <x:c r="A243" s="1">
        <x:v>2022</x:v>
      </x:c>
      <x:c r="B243" s="1" t="s">
        <x:v>23</x:v>
      </x:c>
      <x:c r="C243" s="7" t="s">
        <x:v>24</x:v>
      </x:c>
      <x:c r="D243" s="1" t="s">
        <x:v>95</x:v>
      </x:c>
      <x:c r="E243" s="9">
        <x:v>1</x:v>
      </x:c>
      <x:c r="F243" s="9">
        <x:v>2</x:v>
      </x:c>
      <x:c r="G243" s="11">
        <x:v>220000</x:v>
      </x:c>
      <x:c r="H243" s="9">
        <x:v>2</x:v>
      </x:c>
      <x:c r="I243" s="9">
        <x:v>1</x:v>
      </x:c>
      <x:c r="J243" s="11">
        <x:v>220000</x:v>
      </x:c>
      <x:c r="K243" s="1" t="s">
        <x:v>81</x:v>
      </x:c>
      <x:c r="L243" s="1">
        <x:v>2675</x:v>
      </x:c>
    </x:row>
    <x:row r="244" ht="22" customHeight="1">
      <x:c r="A244" s="5">
        <x:v>2022</x:v>
      </x:c>
      <x:c r="B244" s="5" t="s">
        <x:v>23</x:v>
      </x:c>
      <x:c r="C244" s="6" t="s">
        <x:v>24</x:v>
      </x:c>
      <x:c r="D244" s="5" t="s">
        <x:v>96</x:v>
      </x:c>
      <x:c r="E244" s="8">
        <x:v>6</x:v>
      </x:c>
      <x:c r="F244" s="8">
        <x:v>24</x:v>
      </x:c>
      <x:c r="G244" s="10">
        <x:v>4042000</x:v>
      </x:c>
      <x:c r="H244" s="8">
        <x:v>24</x:v>
      </x:c>
      <x:c r="I244" s="8">
        <x:v>6</x:v>
      </x:c>
      <x:c r="J244" s="10">
        <x:v>4042000</x:v>
      </x:c>
      <x:c r="K244" s="5" t="s">
        <x:v>81</x:v>
      </x:c>
      <x:c r="L244" s="5">
        <x:v>2675</x:v>
      </x:c>
    </x:row>
    <x:row r="245" ht="22" customHeight="1">
      <x:c r="A245" s="1">
        <x:v>2022</x:v>
      </x:c>
      <x:c r="B245" s="1" t="s">
        <x:v>23</x:v>
      </x:c>
      <x:c r="C245" s="7" t="s">
        <x:v>24</x:v>
      </x:c>
      <x:c r="D245" s="1" t="s">
        <x:v>97</x:v>
      </x:c>
      <x:c r="E245" s="9">
        <x:v>12</x:v>
      </x:c>
      <x:c r="F245" s="9">
        <x:v>125</x:v>
      </x:c>
      <x:c r="G245" s="11">
        <x:v>13292000</x:v>
      </x:c>
      <x:c r="H245" s="9">
        <x:v>125</x:v>
      </x:c>
      <x:c r="I245" s="9">
        <x:v>12</x:v>
      </x:c>
      <x:c r="J245" s="11">
        <x:v>13292000</x:v>
      </x:c>
      <x:c r="K245" s="1" t="s">
        <x:v>81</x:v>
      </x:c>
      <x:c r="L245" s="1">
        <x:v>2675</x:v>
      </x:c>
    </x:row>
    <x:row r="246" ht="22" customHeight="1">
      <x:c r="A246" s="5">
        <x:v>2022</x:v>
      </x:c>
      <x:c r="B246" s="5" t="s">
        <x:v>25</x:v>
      </x:c>
      <x:c r="C246" s="6" t="s">
        <x:v>26</x:v>
      </x:c>
      <x:c r="D246" s="5" t="s">
        <x:v>94</x:v>
      </x:c>
      <x:c r="E246" s="8">
        <x:v>724</x:v>
      </x:c>
      <x:c r="F246" s="8">
        <x:v>724</x:v>
      </x:c>
      <x:c r="G246" s="10">
        <x:v>247442573</x:v>
      </x:c>
      <x:c r="H246" s="8">
        <x:v>716</x:v>
      </x:c>
      <x:c r="I246" s="8">
        <x:v>716</x:v>
      </x:c>
      <x:c r="J246" s="10">
        <x:v>245171123</x:v>
      </x:c>
      <x:c r="K246" s="5" t="s">
        <x:v>81</x:v>
      </x:c>
      <x:c r="L246" s="5">
        <x:v>2676</x:v>
      </x:c>
    </x:row>
    <x:row r="247" ht="22" customHeight="1">
      <x:c r="A247" s="1">
        <x:v>2022</x:v>
      </x:c>
      <x:c r="B247" s="1" t="s">
        <x:v>25</x:v>
      </x:c>
      <x:c r="C247" s="7" t="s">
        <x:v>26</x:v>
      </x:c>
      <x:c r="D247" s="1" t="s">
        <x:v>95</x:v>
      </x:c>
      <x:c r="E247" s="9">
        <x:v>2</x:v>
      </x:c>
      <x:c r="F247" s="9">
        <x:v>4</x:v>
      </x:c>
      <x:c r="G247" s="11">
        <x:v>891374</x:v>
      </x:c>
      <x:c r="H247" s="9">
        <x:v>4</x:v>
      </x:c>
      <x:c r="I247" s="9">
        <x:v>2</x:v>
      </x:c>
      <x:c r="J247" s="11">
        <x:v>891374</x:v>
      </x:c>
      <x:c r="K247" s="1" t="s">
        <x:v>81</x:v>
      </x:c>
      <x:c r="L247" s="1">
        <x:v>2676</x:v>
      </x:c>
    </x:row>
    <x:row r="248" ht="22" customHeight="1">
      <x:c r="A248" s="5">
        <x:v>2022</x:v>
      </x:c>
      <x:c r="B248" s="5" t="s">
        <x:v>25</x:v>
      </x:c>
      <x:c r="C248" s="6" t="s">
        <x:v>26</x:v>
      </x:c>
      <x:c r="D248" s="5" t="s">
        <x:v>96</x:v>
      </x:c>
      <x:c r="E248" s="8">
        <x:v>1</x:v>
      </x:c>
      <x:c r="F248" s="8">
        <x:v>4</x:v>
      </x:c>
      <x:c r="G248" s="10">
        <x:v>1013156</x:v>
      </x:c>
      <x:c r="H248" s="8">
        <x:v>4</x:v>
      </x:c>
      <x:c r="I248" s="8">
        <x:v>1</x:v>
      </x:c>
      <x:c r="J248" s="10">
        <x:v>1013156</x:v>
      </x:c>
      <x:c r="K248" s="5" t="s">
        <x:v>81</x:v>
      </x:c>
      <x:c r="L248" s="5">
        <x:v>2676</x:v>
      </x:c>
    </x:row>
    <x:row r="249" ht="22" customHeight="1">
      <x:c r="A249" s="1">
        <x:v>2022</x:v>
      </x:c>
      <x:c r="B249" s="1" t="s">
        <x:v>25</x:v>
      </x:c>
      <x:c r="C249" s="7" t="s">
        <x:v>26</x:v>
      </x:c>
      <x:c r="D249" s="1" t="s">
        <x:v>97</x:v>
      </x:c>
      <x:c r="E249" s="9">
        <x:v>26</x:v>
      </x:c>
      <x:c r="F249" s="9">
        <x:v>313</x:v>
      </x:c>
      <x:c r="G249" s="11">
        <x:v>46960823</x:v>
      </x:c>
      <x:c r="H249" s="9">
        <x:v>313</x:v>
      </x:c>
      <x:c r="I249" s="9">
        <x:v>26</x:v>
      </x:c>
      <x:c r="J249" s="11">
        <x:v>46960823</x:v>
      </x:c>
      <x:c r="K249" s="1" t="s">
        <x:v>81</x:v>
      </x:c>
      <x:c r="L249" s="1">
        <x:v>2676</x:v>
      </x:c>
    </x:row>
    <x:row r="250" ht="22" customHeight="1">
      <x:c r="A250" s="5">
        <x:v>2022</x:v>
      </x:c>
      <x:c r="B250" s="5" t="s">
        <x:v>27</x:v>
      </x:c>
      <x:c r="C250" s="6" t="s">
        <x:v>28</x:v>
      </x:c>
      <x:c r="D250" s="5" t="s">
        <x:v>94</x:v>
      </x:c>
      <x:c r="E250" s="8">
        <x:v>64</x:v>
      </x:c>
      <x:c r="F250" s="8">
        <x:v>64</x:v>
      </x:c>
      <x:c r="G250" s="10">
        <x:v>21067804</x:v>
      </x:c>
      <x:c r="H250" s="8">
        <x:v>64</x:v>
      </x:c>
      <x:c r="I250" s="8">
        <x:v>64</x:v>
      </x:c>
      <x:c r="J250" s="10">
        <x:v>21067804</x:v>
      </x:c>
      <x:c r="K250" s="5" t="s">
        <x:v>81</x:v>
      </x:c>
      <x:c r="L250" s="5">
        <x:v>2677</x:v>
      </x:c>
    </x:row>
    <x:row r="251" ht="22" customHeight="1">
      <x:c r="A251" s="1">
        <x:v>2022</x:v>
      </x:c>
      <x:c r="B251" s="1" t="s">
        <x:v>27</x:v>
      </x:c>
      <x:c r="C251" s="7" t="s">
        <x:v>28</x:v>
      </x:c>
      <x:c r="D251" s="1" t="s">
        <x:v>95</x:v>
      </x:c>
      <x:c r="E251" s="9">
        <x:v>0</x:v>
      </x:c>
      <x:c r="F251" s="9">
        <x:v>0</x:v>
      </x:c>
      <x:c r="G251" s="11">
        <x:v>0</x:v>
      </x:c>
      <x:c r="H251" s="9">
        <x:v>0</x:v>
      </x:c>
      <x:c r="I251" s="9">
        <x:v>0</x:v>
      </x:c>
      <x:c r="J251" s="11">
        <x:v>0</x:v>
      </x:c>
      <x:c r="K251" s="1" t="s">
        <x:v>81</x:v>
      </x:c>
      <x:c r="L251" s="1">
        <x:v>2677</x:v>
      </x:c>
    </x:row>
    <x:row r="252" ht="22" customHeight="1">
      <x:c r="A252" s="5">
        <x:v>2022</x:v>
      </x:c>
      <x:c r="B252" s="5" t="s">
        <x:v>27</x:v>
      </x:c>
      <x:c r="C252" s="6" t="s">
        <x:v>28</x:v>
      </x:c>
      <x:c r="D252" s="5" t="s">
        <x:v>96</x:v>
      </x:c>
      <x:c r="E252" s="8">
        <x:v>0</x:v>
      </x:c>
      <x:c r="F252" s="8">
        <x:v>0</x:v>
      </x:c>
      <x:c r="G252" s="10">
        <x:v>0</x:v>
      </x:c>
      <x:c r="H252" s="8">
        <x:v>0</x:v>
      </x:c>
      <x:c r="I252" s="8">
        <x:v>0</x:v>
      </x:c>
      <x:c r="J252" s="10">
        <x:v>0</x:v>
      </x:c>
      <x:c r="K252" s="5" t="s">
        <x:v>81</x:v>
      </x:c>
      <x:c r="L252" s="5">
        <x:v>2677</x:v>
      </x:c>
    </x:row>
    <x:row r="253" ht="22" customHeight="1">
      <x:c r="A253" s="1">
        <x:v>2022</x:v>
      </x:c>
      <x:c r="B253" s="1" t="s">
        <x:v>27</x:v>
      </x:c>
      <x:c r="C253" s="7" t="s">
        <x:v>28</x:v>
      </x:c>
      <x:c r="D253" s="1" t="s">
        <x:v>97</x:v>
      </x:c>
      <x:c r="E253" s="9">
        <x:v>0</x:v>
      </x:c>
      <x:c r="F253" s="9">
        <x:v>0</x:v>
      </x:c>
      <x:c r="G253" s="11">
        <x:v>0</x:v>
      </x:c>
      <x:c r="H253" s="9">
        <x:v>0</x:v>
      </x:c>
      <x:c r="I253" s="9">
        <x:v>0</x:v>
      </x:c>
      <x:c r="J253" s="11">
        <x:v>0</x:v>
      </x:c>
      <x:c r="K253" s="1" t="s">
        <x:v>81</x:v>
      </x:c>
      <x:c r="L253" s="1">
        <x:v>2677</x:v>
      </x:c>
    </x:row>
    <x:row r="254" ht="22" customHeight="1">
      <x:c r="A254" s="5">
        <x:v>2022</x:v>
      </x:c>
      <x:c r="B254" s="5" t="s">
        <x:v>29</x:v>
      </x:c>
      <x:c r="C254" s="6" t="s">
        <x:v>30</x:v>
      </x:c>
      <x:c r="D254" s="5" t="s">
        <x:v>94</x:v>
      </x:c>
      <x:c r="E254" s="8">
        <x:v>20</x:v>
      </x:c>
      <x:c r="F254" s="8">
        <x:v>20</x:v>
      </x:c>
      <x:c r="G254" s="10">
        <x:v>5297285</x:v>
      </x:c>
      <x:c r="H254" s="8">
        <x:v>20</x:v>
      </x:c>
      <x:c r="I254" s="8">
        <x:v>20</x:v>
      </x:c>
      <x:c r="J254" s="10">
        <x:v>5297285</x:v>
      </x:c>
      <x:c r="K254" s="5" t="s">
        <x:v>81</x:v>
      </x:c>
      <x:c r="L254" s="5">
        <x:v>2678</x:v>
      </x:c>
    </x:row>
    <x:row r="255" ht="22" customHeight="1">
      <x:c r="A255" s="1">
        <x:v>2022</x:v>
      </x:c>
      <x:c r="B255" s="1" t="s">
        <x:v>29</x:v>
      </x:c>
      <x:c r="C255" s="7" t="s">
        <x:v>30</x:v>
      </x:c>
      <x:c r="D255" s="1" t="s">
        <x:v>95</x:v>
      </x:c>
      <x:c r="E255" s="9">
        <x:v>0</x:v>
      </x:c>
      <x:c r="F255" s="9">
        <x:v>0</x:v>
      </x:c>
      <x:c r="G255" s="11">
        <x:v>0</x:v>
      </x:c>
      <x:c r="H255" s="9">
        <x:v>0</x:v>
      </x:c>
      <x:c r="I255" s="9">
        <x:v>0</x:v>
      </x:c>
      <x:c r="J255" s="11">
        <x:v>0</x:v>
      </x:c>
      <x:c r="K255" s="1" t="s">
        <x:v>81</x:v>
      </x:c>
      <x:c r="L255" s="1">
        <x:v>2678</x:v>
      </x:c>
    </x:row>
    <x:row r="256" ht="22" customHeight="1">
      <x:c r="A256" s="5">
        <x:v>2022</x:v>
      </x:c>
      <x:c r="B256" s="5" t="s">
        <x:v>29</x:v>
      </x:c>
      <x:c r="C256" s="6" t="s">
        <x:v>30</x:v>
      </x:c>
      <x:c r="D256" s="5" t="s">
        <x:v>96</x:v>
      </x:c>
      <x:c r="E256" s="8">
        <x:v>0</x:v>
      </x:c>
      <x:c r="F256" s="8">
        <x:v>0</x:v>
      </x:c>
      <x:c r="G256" s="10">
        <x:v>0</x:v>
      </x:c>
      <x:c r="H256" s="8">
        <x:v>0</x:v>
      </x:c>
      <x:c r="I256" s="8">
        <x:v>0</x:v>
      </x:c>
      <x:c r="J256" s="10">
        <x:v>0</x:v>
      </x:c>
      <x:c r="K256" s="5" t="s">
        <x:v>81</x:v>
      </x:c>
      <x:c r="L256" s="5">
        <x:v>2678</x:v>
      </x:c>
    </x:row>
    <x:row r="257" ht="22" customHeight="1">
      <x:c r="A257" s="1">
        <x:v>2022</x:v>
      </x:c>
      <x:c r="B257" s="1" t="s">
        <x:v>29</x:v>
      </x:c>
      <x:c r="C257" s="7" t="s">
        <x:v>30</x:v>
      </x:c>
      <x:c r="D257" s="1" t="s">
        <x:v>97</x:v>
      </x:c>
      <x:c r="E257" s="9">
        <x:v>0</x:v>
      </x:c>
      <x:c r="F257" s="9">
        <x:v>0</x:v>
      </x:c>
      <x:c r="G257" s="11">
        <x:v>0</x:v>
      </x:c>
      <x:c r="H257" s="9">
        <x:v>0</x:v>
      </x:c>
      <x:c r="I257" s="9">
        <x:v>0</x:v>
      </x:c>
      <x:c r="J257" s="11">
        <x:v>0</x:v>
      </x:c>
      <x:c r="K257" s="1" t="s">
        <x:v>81</x:v>
      </x:c>
      <x:c r="L257" s="1">
        <x:v>2678</x:v>
      </x:c>
    </x:row>
    <x:row r="258" ht="22" customHeight="1">
      <x:c r="A258" s="5">
        <x:v>2022</x:v>
      </x:c>
      <x:c r="B258" s="5" t="s">
        <x:v>31</x:v>
      </x:c>
      <x:c r="C258" s="6" t="s">
        <x:v>32</x:v>
      </x:c>
      <x:c r="D258" s="5" t="s">
        <x:v>94</x:v>
      </x:c>
      <x:c r="E258" s="8">
        <x:v>1346</x:v>
      </x:c>
      <x:c r="F258" s="8">
        <x:v>1346</x:v>
      </x:c>
      <x:c r="G258" s="10">
        <x:v>410935355</x:v>
      </x:c>
      <x:c r="H258" s="8">
        <x:v>1346</x:v>
      </x:c>
      <x:c r="I258" s="8">
        <x:v>1346</x:v>
      </x:c>
      <x:c r="J258" s="10">
        <x:v>410935355</x:v>
      </x:c>
      <x:c r="K258" s="5" t="s">
        <x:v>81</x:v>
      </x:c>
      <x:c r="L258" s="5">
        <x:v>2679</x:v>
      </x:c>
    </x:row>
    <x:row r="259" ht="22" customHeight="1">
      <x:c r="A259" s="1">
        <x:v>2022</x:v>
      </x:c>
      <x:c r="B259" s="1" t="s">
        <x:v>31</x:v>
      </x:c>
      <x:c r="C259" s="7" t="s">
        <x:v>32</x:v>
      </x:c>
      <x:c r="D259" s="1" t="s">
        <x:v>95</x:v>
      </x:c>
      <x:c r="E259" s="9">
        <x:v>0</x:v>
      </x:c>
      <x:c r="F259" s="9">
        <x:v>0</x:v>
      </x:c>
      <x:c r="G259" s="11">
        <x:v>0</x:v>
      </x:c>
      <x:c r="H259" s="9">
        <x:v>0</x:v>
      </x:c>
      <x:c r="I259" s="9">
        <x:v>0</x:v>
      </x:c>
      <x:c r="J259" s="11">
        <x:v>0</x:v>
      </x:c>
      <x:c r="K259" s="1" t="s">
        <x:v>81</x:v>
      </x:c>
      <x:c r="L259" s="1">
        <x:v>2679</x:v>
      </x:c>
    </x:row>
    <x:row r="260" ht="22" customHeight="1">
      <x:c r="A260" s="5">
        <x:v>2022</x:v>
      </x:c>
      <x:c r="B260" s="5" t="s">
        <x:v>31</x:v>
      </x:c>
      <x:c r="C260" s="6" t="s">
        <x:v>32</x:v>
      </x:c>
      <x:c r="D260" s="5" t="s">
        <x:v>96</x:v>
      </x:c>
      <x:c r="E260" s="8">
        <x:v>7</x:v>
      </x:c>
      <x:c r="F260" s="8">
        <x:v>27</x:v>
      </x:c>
      <x:c r="G260" s="10">
        <x:v>4807440</x:v>
      </x:c>
      <x:c r="H260" s="8">
        <x:v>27</x:v>
      </x:c>
      <x:c r="I260" s="8">
        <x:v>7</x:v>
      </x:c>
      <x:c r="J260" s="10">
        <x:v>4807440</x:v>
      </x:c>
      <x:c r="K260" s="5" t="s">
        <x:v>81</x:v>
      </x:c>
      <x:c r="L260" s="5">
        <x:v>2679</x:v>
      </x:c>
    </x:row>
    <x:row r="261" ht="22" customHeight="1">
      <x:c r="A261" s="1">
        <x:v>2022</x:v>
      </x:c>
      <x:c r="B261" s="1" t="s">
        <x:v>31</x:v>
      </x:c>
      <x:c r="C261" s="7" t="s">
        <x:v>32</x:v>
      </x:c>
      <x:c r="D261" s="1" t="s">
        <x:v>97</x:v>
      </x:c>
      <x:c r="E261" s="9">
        <x:v>40</x:v>
      </x:c>
      <x:c r="F261" s="9">
        <x:v>802</x:v>
      </x:c>
      <x:c r="G261" s="11">
        <x:v>125423357</x:v>
      </x:c>
      <x:c r="H261" s="9">
        <x:v>802</x:v>
      </x:c>
      <x:c r="I261" s="9">
        <x:v>40</x:v>
      </x:c>
      <x:c r="J261" s="11">
        <x:v>125423357</x:v>
      </x:c>
      <x:c r="K261" s="1" t="s">
        <x:v>81</x:v>
      </x:c>
      <x:c r="L261" s="1">
        <x:v>2679</x:v>
      </x:c>
    </x:row>
    <x:row r="262" ht="22" customHeight="1">
      <x:c r="A262" s="5">
        <x:v>2022</x:v>
      </x:c>
      <x:c r="B262" s="5" t="s">
        <x:v>33</x:v>
      </x:c>
      <x:c r="C262" s="6" t="s">
        <x:v>34</x:v>
      </x:c>
      <x:c r="D262" s="5" t="s">
        <x:v>94</x:v>
      </x:c>
      <x:c r="E262" s="8">
        <x:v>176</x:v>
      </x:c>
      <x:c r="F262" s="8">
        <x:v>176</x:v>
      </x:c>
      <x:c r="G262" s="10">
        <x:v>44631971</x:v>
      </x:c>
      <x:c r="H262" s="8">
        <x:v>117</x:v>
      </x:c>
      <x:c r="I262" s="8">
        <x:v>117</x:v>
      </x:c>
      <x:c r="J262" s="10">
        <x:v>31871852</x:v>
      </x:c>
      <x:c r="K262" s="5" t="s">
        <x:v>81</x:v>
      </x:c>
      <x:c r="L262" s="5">
        <x:v>2680</x:v>
      </x:c>
    </x:row>
    <x:row r="263" ht="22" customHeight="1">
      <x:c r="A263" s="1">
        <x:v>2022</x:v>
      </x:c>
      <x:c r="B263" s="1" t="s">
        <x:v>33</x:v>
      </x:c>
      <x:c r="C263" s="7" t="s">
        <x:v>34</x:v>
      </x:c>
      <x:c r="D263" s="1" t="s">
        <x:v>95</x:v>
      </x:c>
      <x:c r="E263" s="9">
        <x:v>0</x:v>
      </x:c>
      <x:c r="F263" s="9">
        <x:v>0</x:v>
      </x:c>
      <x:c r="G263" s="11">
        <x:v>0</x:v>
      </x:c>
      <x:c r="H263" s="9">
        <x:v>0</x:v>
      </x:c>
      <x:c r="I263" s="9">
        <x:v>0</x:v>
      </x:c>
      <x:c r="J263" s="11">
        <x:v>0</x:v>
      </x:c>
      <x:c r="K263" s="1" t="s">
        <x:v>81</x:v>
      </x:c>
      <x:c r="L263" s="1">
        <x:v>2680</x:v>
      </x:c>
    </x:row>
    <x:row r="264" ht="22" customHeight="1">
      <x:c r="A264" s="5">
        <x:v>2022</x:v>
      </x:c>
      <x:c r="B264" s="5" t="s">
        <x:v>33</x:v>
      </x:c>
      <x:c r="C264" s="6" t="s">
        <x:v>34</x:v>
      </x:c>
      <x:c r="D264" s="5" t="s">
        <x:v>96</x:v>
      </x:c>
      <x:c r="E264" s="8">
        <x:v>2</x:v>
      </x:c>
      <x:c r="F264" s="8">
        <x:v>7</x:v>
      </x:c>
      <x:c r="G264" s="10">
        <x:v>789752</x:v>
      </x:c>
      <x:c r="H264" s="8">
        <x:v>4</x:v>
      </x:c>
      <x:c r="I264" s="8">
        <x:v>1</x:v>
      </x:c>
      <x:c r="J264" s="10">
        <x:v>575609</x:v>
      </x:c>
      <x:c r="K264" s="5" t="s">
        <x:v>81</x:v>
      </x:c>
      <x:c r="L264" s="5">
        <x:v>2680</x:v>
      </x:c>
    </x:row>
    <x:row r="265" ht="22" customHeight="1">
      <x:c r="A265" s="1">
        <x:v>2022</x:v>
      </x:c>
      <x:c r="B265" s="1" t="s">
        <x:v>33</x:v>
      </x:c>
      <x:c r="C265" s="7" t="s">
        <x:v>34</x:v>
      </x:c>
      <x:c r="D265" s="1" t="s">
        <x:v>97</x:v>
      </x:c>
      <x:c r="E265" s="9">
        <x:v>0</x:v>
      </x:c>
      <x:c r="F265" s="9">
        <x:v>0</x:v>
      </x:c>
      <x:c r="G265" s="11">
        <x:v>0</x:v>
      </x:c>
      <x:c r="H265" s="9">
        <x:v>0</x:v>
      </x:c>
      <x:c r="I265" s="9">
        <x:v>0</x:v>
      </x:c>
      <x:c r="J265" s="11">
        <x:v>0</x:v>
      </x:c>
      <x:c r="K265" s="1" t="s">
        <x:v>81</x:v>
      </x:c>
      <x:c r="L265" s="1">
        <x:v>2680</x:v>
      </x:c>
    </x:row>
    <x:row r="266" ht="22" customHeight="1">
      <x:c r="A266" s="5">
        <x:v>2022</x:v>
      </x:c>
      <x:c r="B266" s="5" t="s">
        <x:v>35</x:v>
      </x:c>
      <x:c r="C266" s="6" t="s">
        <x:v>36</x:v>
      </x:c>
      <x:c r="D266" s="5" t="s">
        <x:v>94</x:v>
      </x:c>
      <x:c r="E266" s="8">
        <x:v>40</x:v>
      </x:c>
      <x:c r="F266" s="8">
        <x:v>40</x:v>
      </x:c>
      <x:c r="G266" s="10">
        <x:v>4824176</x:v>
      </x:c>
      <x:c r="H266" s="8">
        <x:v>40</x:v>
      </x:c>
      <x:c r="I266" s="8">
        <x:v>40</x:v>
      </x:c>
      <x:c r="J266" s="10">
        <x:v>4824176</x:v>
      </x:c>
      <x:c r="K266" s="5" t="s">
        <x:v>81</x:v>
      </x:c>
      <x:c r="L266" s="5">
        <x:v>2681</x:v>
      </x:c>
    </x:row>
    <x:row r="267" ht="22" customHeight="1">
      <x:c r="A267" s="1">
        <x:v>2022</x:v>
      </x:c>
      <x:c r="B267" s="1" t="s">
        <x:v>35</x:v>
      </x:c>
      <x:c r="C267" s="7" t="s">
        <x:v>36</x:v>
      </x:c>
      <x:c r="D267" s="1" t="s">
        <x:v>95</x:v>
      </x:c>
      <x:c r="E267" s="9">
        <x:v>0</x:v>
      </x:c>
      <x:c r="F267" s="9">
        <x:v>0</x:v>
      </x:c>
      <x:c r="G267" s="11">
        <x:v>0</x:v>
      </x:c>
      <x:c r="H267" s="9">
        <x:v>0</x:v>
      </x:c>
      <x:c r="I267" s="9">
        <x:v>0</x:v>
      </x:c>
      <x:c r="J267" s="11">
        <x:v>0</x:v>
      </x:c>
      <x:c r="K267" s="1" t="s">
        <x:v>81</x:v>
      </x:c>
      <x:c r="L267" s="1">
        <x:v>2681</x:v>
      </x:c>
    </x:row>
    <x:row r="268" ht="22" customHeight="1">
      <x:c r="A268" s="5">
        <x:v>2022</x:v>
      </x:c>
      <x:c r="B268" s="5" t="s">
        <x:v>35</x:v>
      </x:c>
      <x:c r="C268" s="6" t="s">
        <x:v>36</x:v>
      </x:c>
      <x:c r="D268" s="5" t="s">
        <x:v>96</x:v>
      </x:c>
      <x:c r="E268" s="8">
        <x:v>0</x:v>
      </x:c>
      <x:c r="F268" s="8">
        <x:v>0</x:v>
      </x:c>
      <x:c r="G268" s="10">
        <x:v>0</x:v>
      </x:c>
      <x:c r="H268" s="8">
        <x:v>0</x:v>
      </x:c>
      <x:c r="I268" s="8">
        <x:v>0</x:v>
      </x:c>
      <x:c r="J268" s="10">
        <x:v>0</x:v>
      </x:c>
      <x:c r="K268" s="5" t="s">
        <x:v>81</x:v>
      </x:c>
      <x:c r="L268" s="5">
        <x:v>2681</x:v>
      </x:c>
    </x:row>
    <x:row r="269" ht="22" customHeight="1">
      <x:c r="A269" s="1">
        <x:v>2022</x:v>
      </x:c>
      <x:c r="B269" s="1" t="s">
        <x:v>35</x:v>
      </x:c>
      <x:c r="C269" s="7" t="s">
        <x:v>36</x:v>
      </x:c>
      <x:c r="D269" s="1" t="s">
        <x:v>97</x:v>
      </x:c>
      <x:c r="E269" s="9">
        <x:v>0</x:v>
      </x:c>
      <x:c r="F269" s="9">
        <x:v>0</x:v>
      </x:c>
      <x:c r="G269" s="11">
        <x:v>0</x:v>
      </x:c>
      <x:c r="H269" s="9">
        <x:v>0</x:v>
      </x:c>
      <x:c r="I269" s="9">
        <x:v>0</x:v>
      </x:c>
      <x:c r="J269" s="11">
        <x:v>0</x:v>
      </x:c>
      <x:c r="K269" s="1" t="s">
        <x:v>81</x:v>
      </x:c>
      <x:c r="L269" s="1">
        <x:v>2681</x:v>
      </x:c>
    </x:row>
    <x:row r="270" ht="22" customHeight="1">
      <x:c r="A270" s="5">
        <x:v>2022</x:v>
      </x:c>
      <x:c r="B270" s="5" t="s">
        <x:v>37</x:v>
      </x:c>
      <x:c r="C270" s="6" t="s">
        <x:v>38</x:v>
      </x:c>
      <x:c r="D270" s="5" t="s">
        <x:v>94</x:v>
      </x:c>
      <x:c r="E270" s="8">
        <x:v>66</x:v>
      </x:c>
      <x:c r="F270" s="8">
        <x:v>66</x:v>
      </x:c>
      <x:c r="G270" s="10">
        <x:v>14530930</x:v>
      </x:c>
      <x:c r="H270" s="8">
        <x:v>66</x:v>
      </x:c>
      <x:c r="I270" s="8">
        <x:v>66</x:v>
      </x:c>
      <x:c r="J270" s="10">
        <x:v>14530930</x:v>
      </x:c>
      <x:c r="K270" s="5" t="s">
        <x:v>81</x:v>
      </x:c>
      <x:c r="L270" s="5">
        <x:v>2682</x:v>
      </x:c>
    </x:row>
    <x:row r="271" ht="22" customHeight="1">
      <x:c r="A271" s="1">
        <x:v>2022</x:v>
      </x:c>
      <x:c r="B271" s="1" t="s">
        <x:v>37</x:v>
      </x:c>
      <x:c r="C271" s="7" t="s">
        <x:v>38</x:v>
      </x:c>
      <x:c r="D271" s="1" t="s">
        <x:v>95</x:v>
      </x:c>
      <x:c r="E271" s="9">
        <x:v>0</x:v>
      </x:c>
      <x:c r="F271" s="9">
        <x:v>0</x:v>
      </x:c>
      <x:c r="G271" s="11">
        <x:v>0</x:v>
      </x:c>
      <x:c r="H271" s="9">
        <x:v>0</x:v>
      </x:c>
      <x:c r="I271" s="9">
        <x:v>0</x:v>
      </x:c>
      <x:c r="J271" s="11">
        <x:v>0</x:v>
      </x:c>
      <x:c r="K271" s="1" t="s">
        <x:v>81</x:v>
      </x:c>
      <x:c r="L271" s="1">
        <x:v>2682</x:v>
      </x:c>
    </x:row>
    <x:row r="272" ht="22" customHeight="1">
      <x:c r="A272" s="5">
        <x:v>2022</x:v>
      </x:c>
      <x:c r="B272" s="5" t="s">
        <x:v>37</x:v>
      </x:c>
      <x:c r="C272" s="6" t="s">
        <x:v>38</x:v>
      </x:c>
      <x:c r="D272" s="5" t="s">
        <x:v>96</x:v>
      </x:c>
      <x:c r="E272" s="8">
        <x:v>0</x:v>
      </x:c>
      <x:c r="F272" s="8">
        <x:v>0</x:v>
      </x:c>
      <x:c r="G272" s="10">
        <x:v>0</x:v>
      </x:c>
      <x:c r="H272" s="8">
        <x:v>0</x:v>
      </x:c>
      <x:c r="I272" s="8">
        <x:v>0</x:v>
      </x:c>
      <x:c r="J272" s="10">
        <x:v>0</x:v>
      </x:c>
      <x:c r="K272" s="5" t="s">
        <x:v>81</x:v>
      </x:c>
      <x:c r="L272" s="5">
        <x:v>2682</x:v>
      </x:c>
    </x:row>
    <x:row r="273" ht="22" customHeight="1">
      <x:c r="A273" s="1">
        <x:v>2022</x:v>
      </x:c>
      <x:c r="B273" s="1" t="s">
        <x:v>37</x:v>
      </x:c>
      <x:c r="C273" s="7" t="s">
        <x:v>38</x:v>
      </x:c>
      <x:c r="D273" s="1" t="s">
        <x:v>97</x:v>
      </x:c>
      <x:c r="E273" s="9">
        <x:v>0</x:v>
      </x:c>
      <x:c r="F273" s="9">
        <x:v>0</x:v>
      </x:c>
      <x:c r="G273" s="11">
        <x:v>0</x:v>
      </x:c>
      <x:c r="H273" s="9">
        <x:v>0</x:v>
      </x:c>
      <x:c r="I273" s="9">
        <x:v>0</x:v>
      </x:c>
      <x:c r="J273" s="11">
        <x:v>0</x:v>
      </x:c>
      <x:c r="K273" s="1" t="s">
        <x:v>81</x:v>
      </x:c>
      <x:c r="L273" s="1">
        <x:v>2682</x:v>
      </x:c>
    </x:row>
    <x:row r="274" ht="22" customHeight="1">
      <x:c r="A274" s="5">
        <x:v>2022</x:v>
      </x:c>
      <x:c r="B274" s="5" t="s">
        <x:v>39</x:v>
      </x:c>
      <x:c r="C274" s="6" t="s">
        <x:v>40</x:v>
      </x:c>
      <x:c r="D274" s="5" t="s">
        <x:v>94</x:v>
      </x:c>
      <x:c r="E274" s="8">
        <x:v>64</x:v>
      </x:c>
      <x:c r="F274" s="8">
        <x:v>64</x:v>
      </x:c>
      <x:c r="G274" s="10">
        <x:v>17413772</x:v>
      </x:c>
      <x:c r="H274" s="8">
        <x:v>64</x:v>
      </x:c>
      <x:c r="I274" s="8">
        <x:v>64</x:v>
      </x:c>
      <x:c r="J274" s="10">
        <x:v>17413772</x:v>
      </x:c>
      <x:c r="K274" s="5" t="s">
        <x:v>81</x:v>
      </x:c>
      <x:c r="L274" s="5">
        <x:v>2683</x:v>
      </x:c>
    </x:row>
    <x:row r="275" ht="22" customHeight="1">
      <x:c r="A275" s="1">
        <x:v>2022</x:v>
      </x:c>
      <x:c r="B275" s="1" t="s">
        <x:v>39</x:v>
      </x:c>
      <x:c r="C275" s="7" t="s">
        <x:v>40</x:v>
      </x:c>
      <x:c r="D275" s="1" t="s">
        <x:v>95</x:v>
      </x:c>
      <x:c r="E275" s="9">
        <x:v>9</x:v>
      </x:c>
      <x:c r="F275" s="9">
        <x:v>18</x:v>
      </x:c>
      <x:c r="G275" s="11">
        <x:v>3137043</x:v>
      </x:c>
      <x:c r="H275" s="9">
        <x:v>18</x:v>
      </x:c>
      <x:c r="I275" s="9">
        <x:v>9</x:v>
      </x:c>
      <x:c r="J275" s="11">
        <x:v>3137043</x:v>
      </x:c>
      <x:c r="K275" s="1" t="s">
        <x:v>81</x:v>
      </x:c>
      <x:c r="L275" s="1">
        <x:v>2683</x:v>
      </x:c>
    </x:row>
    <x:row r="276" ht="22" customHeight="1">
      <x:c r="A276" s="5">
        <x:v>2022</x:v>
      </x:c>
      <x:c r="B276" s="5" t="s">
        <x:v>39</x:v>
      </x:c>
      <x:c r="C276" s="6" t="s">
        <x:v>40</x:v>
      </x:c>
      <x:c r="D276" s="5" t="s">
        <x:v>96</x:v>
      </x:c>
      <x:c r="E276" s="8">
        <x:v>5</x:v>
      </x:c>
      <x:c r="F276" s="8">
        <x:v>19</x:v>
      </x:c>
      <x:c r="G276" s="10">
        <x:v>2020255</x:v>
      </x:c>
      <x:c r="H276" s="8">
        <x:v>19</x:v>
      </x:c>
      <x:c r="I276" s="8">
        <x:v>5</x:v>
      </x:c>
      <x:c r="J276" s="10">
        <x:v>2020255</x:v>
      </x:c>
      <x:c r="K276" s="5" t="s">
        <x:v>81</x:v>
      </x:c>
      <x:c r="L276" s="5">
        <x:v>2683</x:v>
      </x:c>
    </x:row>
    <x:row r="277" ht="22" customHeight="1">
      <x:c r="A277" s="1">
        <x:v>2022</x:v>
      </x:c>
      <x:c r="B277" s="1" t="s">
        <x:v>39</x:v>
      </x:c>
      <x:c r="C277" s="7" t="s">
        <x:v>40</x:v>
      </x:c>
      <x:c r="D277" s="1" t="s">
        <x:v>97</x:v>
      </x:c>
      <x:c r="E277" s="9">
        <x:v>0</x:v>
      </x:c>
      <x:c r="F277" s="9">
        <x:v>0</x:v>
      </x:c>
      <x:c r="G277" s="11">
        <x:v>0</x:v>
      </x:c>
      <x:c r="H277" s="9">
        <x:v>0</x:v>
      </x:c>
      <x:c r="I277" s="9">
        <x:v>0</x:v>
      </x:c>
      <x:c r="J277" s="11">
        <x:v>0</x:v>
      </x:c>
      <x:c r="K277" s="1" t="s">
        <x:v>81</x:v>
      </x:c>
      <x:c r="L277" s="1">
        <x:v>2683</x:v>
      </x:c>
    </x:row>
    <x:row r="278" ht="22" customHeight="1">
      <x:c r="A278" s="5">
        <x:v>2022</x:v>
      </x:c>
      <x:c r="B278" s="5" t="s">
        <x:v>41</x:v>
      </x:c>
      <x:c r="C278" s="6" t="s">
        <x:v>42</x:v>
      </x:c>
      <x:c r="D278" s="5" t="s">
        <x:v>94</x:v>
      </x:c>
      <x:c r="E278" s="8">
        <x:v>989</x:v>
      </x:c>
      <x:c r="F278" s="8">
        <x:v>989</x:v>
      </x:c>
      <x:c r="G278" s="10">
        <x:v>197979492</x:v>
      </x:c>
      <x:c r="H278" s="8">
        <x:v>989</x:v>
      </x:c>
      <x:c r="I278" s="8">
        <x:v>989</x:v>
      </x:c>
      <x:c r="J278" s="10">
        <x:v>197979492</x:v>
      </x:c>
      <x:c r="K278" s="5" t="s">
        <x:v>81</x:v>
      </x:c>
      <x:c r="L278" s="5">
        <x:v>2684</x:v>
      </x:c>
    </x:row>
    <x:row r="279" ht="22" customHeight="1">
      <x:c r="A279" s="1">
        <x:v>2022</x:v>
      </x:c>
      <x:c r="B279" s="1" t="s">
        <x:v>41</x:v>
      </x:c>
      <x:c r="C279" s="7" t="s">
        <x:v>42</x:v>
      </x:c>
      <x:c r="D279" s="1" t="s">
        <x:v>95</x:v>
      </x:c>
      <x:c r="E279" s="9">
        <x:v>0</x:v>
      </x:c>
      <x:c r="F279" s="9">
        <x:v>0</x:v>
      </x:c>
      <x:c r="G279" s="11">
        <x:v>0</x:v>
      </x:c>
      <x:c r="H279" s="9">
        <x:v>0</x:v>
      </x:c>
      <x:c r="I279" s="9">
        <x:v>0</x:v>
      </x:c>
      <x:c r="J279" s="11">
        <x:v>0</x:v>
      </x:c>
      <x:c r="K279" s="1" t="s">
        <x:v>81</x:v>
      </x:c>
      <x:c r="L279" s="1">
        <x:v>2684</x:v>
      </x:c>
    </x:row>
    <x:row r="280" ht="22" customHeight="1">
      <x:c r="A280" s="5">
        <x:v>2022</x:v>
      </x:c>
      <x:c r="B280" s="5" t="s">
        <x:v>41</x:v>
      </x:c>
      <x:c r="C280" s="6" t="s">
        <x:v>42</x:v>
      </x:c>
      <x:c r="D280" s="5" t="s">
        <x:v>96</x:v>
      </x:c>
      <x:c r="E280" s="8">
        <x:v>0</x:v>
      </x:c>
      <x:c r="F280" s="8">
        <x:v>0</x:v>
      </x:c>
      <x:c r="G280" s="10">
        <x:v>0</x:v>
      </x:c>
      <x:c r="H280" s="8">
        <x:v>0</x:v>
      </x:c>
      <x:c r="I280" s="8">
        <x:v>0</x:v>
      </x:c>
      <x:c r="J280" s="10">
        <x:v>0</x:v>
      </x:c>
      <x:c r="K280" s="5" t="s">
        <x:v>81</x:v>
      </x:c>
      <x:c r="L280" s="5">
        <x:v>2684</x:v>
      </x:c>
    </x:row>
    <x:row r="281" ht="22" customHeight="1">
      <x:c r="A281" s="1">
        <x:v>2022</x:v>
      </x:c>
      <x:c r="B281" s="1" t="s">
        <x:v>41</x:v>
      </x:c>
      <x:c r="C281" s="7" t="s">
        <x:v>42</x:v>
      </x:c>
      <x:c r="D281" s="1" t="s">
        <x:v>97</x:v>
      </x:c>
      <x:c r="E281" s="9">
        <x:v>7</x:v>
      </x:c>
      <x:c r="F281" s="9">
        <x:v>43</x:v>
      </x:c>
      <x:c r="G281" s="11">
        <x:v>14336161</x:v>
      </x:c>
      <x:c r="H281" s="9">
        <x:v>43</x:v>
      </x:c>
      <x:c r="I281" s="9">
        <x:v>7</x:v>
      </x:c>
      <x:c r="J281" s="11">
        <x:v>14336161</x:v>
      </x:c>
      <x:c r="K281" s="1" t="s">
        <x:v>81</x:v>
      </x:c>
      <x:c r="L281" s="1">
        <x:v>2684</x:v>
      </x:c>
    </x:row>
    <x:row r="282" ht="22" customHeight="1">
      <x:c r="A282" s="5">
        <x:v>2022</x:v>
      </x:c>
      <x:c r="B282" s="5" t="s">
        <x:v>43</x:v>
      </x:c>
      <x:c r="C282" s="6" t="s">
        <x:v>44</x:v>
      </x:c>
      <x:c r="D282" s="5" t="s">
        <x:v>94</x:v>
      </x:c>
      <x:c r="E282" s="8">
        <x:v>73</x:v>
      </x:c>
      <x:c r="F282" s="8">
        <x:v>73</x:v>
      </x:c>
      <x:c r="G282" s="10">
        <x:v>21298934</x:v>
      </x:c>
      <x:c r="H282" s="8">
        <x:v>73</x:v>
      </x:c>
      <x:c r="I282" s="8">
        <x:v>73</x:v>
      </x:c>
      <x:c r="J282" s="10">
        <x:v>21298934</x:v>
      </x:c>
      <x:c r="K282" s="5" t="s">
        <x:v>81</x:v>
      </x:c>
      <x:c r="L282" s="5">
        <x:v>2685</x:v>
      </x:c>
    </x:row>
    <x:row r="283" ht="22" customHeight="1">
      <x:c r="A283" s="1">
        <x:v>2022</x:v>
      </x:c>
      <x:c r="B283" s="1" t="s">
        <x:v>43</x:v>
      </x:c>
      <x:c r="C283" s="7" t="s">
        <x:v>44</x:v>
      </x:c>
      <x:c r="D283" s="1" t="s">
        <x:v>95</x:v>
      </x:c>
      <x:c r="E283" s="9">
        <x:v>7</x:v>
      </x:c>
      <x:c r="F283" s="9">
        <x:v>14</x:v>
      </x:c>
      <x:c r="G283" s="11">
        <x:v>2874992</x:v>
      </x:c>
      <x:c r="H283" s="9">
        <x:v>14</x:v>
      </x:c>
      <x:c r="I283" s="9">
        <x:v>7</x:v>
      </x:c>
      <x:c r="J283" s="11">
        <x:v>2874992</x:v>
      </x:c>
      <x:c r="K283" s="1" t="s">
        <x:v>81</x:v>
      </x:c>
      <x:c r="L283" s="1">
        <x:v>2685</x:v>
      </x:c>
    </x:row>
    <x:row r="284" ht="22" customHeight="1">
      <x:c r="A284" s="5">
        <x:v>2022</x:v>
      </x:c>
      <x:c r="B284" s="5" t="s">
        <x:v>43</x:v>
      </x:c>
      <x:c r="C284" s="6" t="s">
        <x:v>44</x:v>
      </x:c>
      <x:c r="D284" s="5" t="s">
        <x:v>96</x:v>
      </x:c>
      <x:c r="E284" s="8">
        <x:v>6</x:v>
      </x:c>
      <x:c r="F284" s="8">
        <x:v>18</x:v>
      </x:c>
      <x:c r="G284" s="10">
        <x:v>3436667</x:v>
      </x:c>
      <x:c r="H284" s="8">
        <x:v>18</x:v>
      </x:c>
      <x:c r="I284" s="8">
        <x:v>6</x:v>
      </x:c>
      <x:c r="J284" s="10">
        <x:v>3436667</x:v>
      </x:c>
      <x:c r="K284" s="5" t="s">
        <x:v>81</x:v>
      </x:c>
      <x:c r="L284" s="5">
        <x:v>2685</x:v>
      </x:c>
    </x:row>
    <x:row r="285" ht="22" customHeight="1">
      <x:c r="A285" s="1">
        <x:v>2022</x:v>
      </x:c>
      <x:c r="B285" s="1" t="s">
        <x:v>43</x:v>
      </x:c>
      <x:c r="C285" s="7" t="s">
        <x:v>44</x:v>
      </x:c>
      <x:c r="D285" s="1" t="s">
        <x:v>97</x:v>
      </x:c>
      <x:c r="E285" s="9">
        <x:v>3</x:v>
      </x:c>
      <x:c r="F285" s="9">
        <x:v>17</x:v>
      </x:c>
      <x:c r="G285" s="11">
        <x:v>3133000</x:v>
      </x:c>
      <x:c r="H285" s="9">
        <x:v>17</x:v>
      </x:c>
      <x:c r="I285" s="9">
        <x:v>3</x:v>
      </x:c>
      <x:c r="J285" s="11">
        <x:v>3133000</x:v>
      </x:c>
      <x:c r="K285" s="1" t="s">
        <x:v>81</x:v>
      </x:c>
      <x:c r="L285" s="1">
        <x:v>2685</x:v>
      </x:c>
    </x:row>
    <x:row r="286" ht="22" customHeight="1">
      <x:c r="A286" s="5">
        <x:v>2022</x:v>
      </x:c>
      <x:c r="B286" s="5" t="s">
        <x:v>45</x:v>
      </x:c>
      <x:c r="C286" s="6" t="s">
        <x:v>46</x:v>
      </x:c>
      <x:c r="D286" s="5" t="s">
        <x:v>94</x:v>
      </x:c>
      <x:c r="E286" s="8">
        <x:v>203</x:v>
      </x:c>
      <x:c r="F286" s="8">
        <x:v>203</x:v>
      </x:c>
      <x:c r="G286" s="10">
        <x:v>58099680</x:v>
      </x:c>
      <x:c r="H286" s="8">
        <x:v>184</x:v>
      </x:c>
      <x:c r="I286" s="8">
        <x:v>184</x:v>
      </x:c>
      <x:c r="J286" s="10">
        <x:v>54204680</x:v>
      </x:c>
      <x:c r="K286" s="5" t="s">
        <x:v>81</x:v>
      </x:c>
      <x:c r="L286" s="5">
        <x:v>2686</x:v>
      </x:c>
    </x:row>
    <x:row r="287" ht="22" customHeight="1">
      <x:c r="A287" s="1">
        <x:v>2022</x:v>
      </x:c>
      <x:c r="B287" s="1" t="s">
        <x:v>45</x:v>
      </x:c>
      <x:c r="C287" s="7" t="s">
        <x:v>46</x:v>
      </x:c>
      <x:c r="D287" s="1" t="s">
        <x:v>95</x:v>
      </x:c>
      <x:c r="E287" s="9">
        <x:v>0</x:v>
      </x:c>
      <x:c r="F287" s="9">
        <x:v>0</x:v>
      </x:c>
      <x:c r="G287" s="11">
        <x:v>0</x:v>
      </x:c>
      <x:c r="H287" s="9">
        <x:v>0</x:v>
      </x:c>
      <x:c r="I287" s="9">
        <x:v>0</x:v>
      </x:c>
      <x:c r="J287" s="11">
        <x:v>0</x:v>
      </x:c>
      <x:c r="K287" s="1" t="s">
        <x:v>81</x:v>
      </x:c>
      <x:c r="L287" s="1">
        <x:v>2686</x:v>
      </x:c>
    </x:row>
    <x:row r="288" ht="22" customHeight="1">
      <x:c r="A288" s="5">
        <x:v>2022</x:v>
      </x:c>
      <x:c r="B288" s="5" t="s">
        <x:v>45</x:v>
      </x:c>
      <x:c r="C288" s="6" t="s">
        <x:v>46</x:v>
      </x:c>
      <x:c r="D288" s="5" t="s">
        <x:v>96</x:v>
      </x:c>
      <x:c r="E288" s="8">
        <x:v>1</x:v>
      </x:c>
      <x:c r="F288" s="8">
        <x:v>4</x:v>
      </x:c>
      <x:c r="G288" s="10">
        <x:v>425000</x:v>
      </x:c>
      <x:c r="H288" s="8">
        <x:v>0</x:v>
      </x:c>
      <x:c r="I288" s="8">
        <x:v>0</x:v>
      </x:c>
      <x:c r="J288" s="10">
        <x:v>0</x:v>
      </x:c>
      <x:c r="K288" s="5" t="s">
        <x:v>81</x:v>
      </x:c>
      <x:c r="L288" s="5">
        <x:v>2686</x:v>
      </x:c>
    </x:row>
    <x:row r="289" ht="22" customHeight="1">
      <x:c r="A289" s="1">
        <x:v>2022</x:v>
      </x:c>
      <x:c r="B289" s="1" t="s">
        <x:v>45</x:v>
      </x:c>
      <x:c r="C289" s="7" t="s">
        <x:v>46</x:v>
      </x:c>
      <x:c r="D289" s="1" t="s">
        <x:v>97</x:v>
      </x:c>
      <x:c r="E289" s="9">
        <x:v>0</x:v>
      </x:c>
      <x:c r="F289" s="9">
        <x:v>0</x:v>
      </x:c>
      <x:c r="G289" s="11">
        <x:v>0</x:v>
      </x:c>
      <x:c r="H289" s="9">
        <x:v>0</x:v>
      </x:c>
      <x:c r="I289" s="9">
        <x:v>0</x:v>
      </x:c>
      <x:c r="J289" s="11">
        <x:v>0</x:v>
      </x:c>
      <x:c r="K289" s="1" t="s">
        <x:v>81</x:v>
      </x:c>
      <x:c r="L289" s="1">
        <x:v>2686</x:v>
      </x:c>
    </x:row>
    <x:row r="290" ht="22" customHeight="1">
      <x:c r="A290" s="5">
        <x:v>2022</x:v>
      </x:c>
      <x:c r="B290" s="5" t="s">
        <x:v>47</x:v>
      </x:c>
      <x:c r="C290" s="6" t="s">
        <x:v>48</x:v>
      </x:c>
      <x:c r="D290" s="5" t="s">
        <x:v>94</x:v>
      </x:c>
      <x:c r="E290" s="8">
        <x:v>58</x:v>
      </x:c>
      <x:c r="F290" s="8">
        <x:v>58</x:v>
      </x:c>
      <x:c r="G290" s="10">
        <x:v>11514723</x:v>
      </x:c>
      <x:c r="H290" s="8">
        <x:v>54</x:v>
      </x:c>
      <x:c r="I290" s="8">
        <x:v>54</x:v>
      </x:c>
      <x:c r="J290" s="10">
        <x:v>10348070</x:v>
      </x:c>
      <x:c r="K290" s="5" t="s">
        <x:v>81</x:v>
      </x:c>
      <x:c r="L290" s="5">
        <x:v>2687</x:v>
      </x:c>
    </x:row>
    <x:row r="291" ht="22" customHeight="1">
      <x:c r="A291" s="1">
        <x:v>2022</x:v>
      </x:c>
      <x:c r="B291" s="1" t="s">
        <x:v>47</x:v>
      </x:c>
      <x:c r="C291" s="7" t="s">
        <x:v>48</x:v>
      </x:c>
      <x:c r="D291" s="1" t="s">
        <x:v>95</x:v>
      </x:c>
      <x:c r="E291" s="9">
        <x:v>1</x:v>
      </x:c>
      <x:c r="F291" s="9">
        <x:v>2</x:v>
      </x:c>
      <x:c r="G291" s="11">
        <x:v>163200</x:v>
      </x:c>
      <x:c r="H291" s="9">
        <x:v>2</x:v>
      </x:c>
      <x:c r="I291" s="9">
        <x:v>1</x:v>
      </x:c>
      <x:c r="J291" s="11">
        <x:v>163200</x:v>
      </x:c>
      <x:c r="K291" s="1" t="s">
        <x:v>81</x:v>
      </x:c>
      <x:c r="L291" s="1">
        <x:v>2687</x:v>
      </x:c>
    </x:row>
    <x:row r="292" ht="22" customHeight="1">
      <x:c r="A292" s="5">
        <x:v>2022</x:v>
      </x:c>
      <x:c r="B292" s="5" t="s">
        <x:v>47</x:v>
      </x:c>
      <x:c r="C292" s="6" t="s">
        <x:v>48</x:v>
      </x:c>
      <x:c r="D292" s="5" t="s">
        <x:v>96</x:v>
      </x:c>
      <x:c r="E292" s="8">
        <x:v>1</x:v>
      </x:c>
      <x:c r="F292" s="8">
        <x:v>4</x:v>
      </x:c>
      <x:c r="G292" s="10">
        <x:v>450000</x:v>
      </x:c>
      <x:c r="H292" s="8">
        <x:v>4</x:v>
      </x:c>
      <x:c r="I292" s="8">
        <x:v>1</x:v>
      </x:c>
      <x:c r="J292" s="10">
        <x:v>450000</x:v>
      </x:c>
      <x:c r="K292" s="5" t="s">
        <x:v>81</x:v>
      </x:c>
      <x:c r="L292" s="5">
        <x:v>2687</x:v>
      </x:c>
    </x:row>
    <x:row r="293" ht="22" customHeight="1">
      <x:c r="A293" s="1">
        <x:v>2022</x:v>
      </x:c>
      <x:c r="B293" s="1" t="s">
        <x:v>47</x:v>
      </x:c>
      <x:c r="C293" s="7" t="s">
        <x:v>48</x:v>
      </x:c>
      <x:c r="D293" s="1" t="s">
        <x:v>97</x:v>
      </x:c>
      <x:c r="E293" s="9">
        <x:v>0</x:v>
      </x:c>
      <x:c r="F293" s="9">
        <x:v>0</x:v>
      </x:c>
      <x:c r="G293" s="11">
        <x:v>0</x:v>
      </x:c>
      <x:c r="H293" s="9">
        <x:v>0</x:v>
      </x:c>
      <x:c r="I293" s="9">
        <x:v>0</x:v>
      </x:c>
      <x:c r="J293" s="11">
        <x:v>0</x:v>
      </x:c>
      <x:c r="K293" s="1" t="s">
        <x:v>81</x:v>
      </x:c>
      <x:c r="L293" s="1">
        <x:v>2687</x:v>
      </x:c>
    </x:row>
    <x:row r="294" ht="22" customHeight="1">
      <x:c r="A294" s="5">
        <x:v>2022</x:v>
      </x:c>
      <x:c r="B294" s="5" t="s">
        <x:v>49</x:v>
      </x:c>
      <x:c r="C294" s="6" t="s">
        <x:v>50</x:v>
      </x:c>
      <x:c r="D294" s="5" t="s">
        <x:v>94</x:v>
      </x:c>
      <x:c r="E294" s="8">
        <x:v>47</x:v>
      </x:c>
      <x:c r="F294" s="8">
        <x:v>47</x:v>
      </x:c>
      <x:c r="G294" s="10">
        <x:v>33122470</x:v>
      </x:c>
      <x:c r="H294" s="8">
        <x:v>47</x:v>
      </x:c>
      <x:c r="I294" s="8">
        <x:v>47</x:v>
      </x:c>
      <x:c r="J294" s="10">
        <x:v>33122470</x:v>
      </x:c>
      <x:c r="K294" s="5" t="s">
        <x:v>81</x:v>
      </x:c>
      <x:c r="L294" s="5">
        <x:v>2688</x:v>
      </x:c>
    </x:row>
    <x:row r="295" ht="22" customHeight="1">
      <x:c r="A295" s="1">
        <x:v>2022</x:v>
      </x:c>
      <x:c r="B295" s="1" t="s">
        <x:v>49</x:v>
      </x:c>
      <x:c r="C295" s="7" t="s">
        <x:v>50</x:v>
      </x:c>
      <x:c r="D295" s="1" t="s">
        <x:v>95</x:v>
      </x:c>
      <x:c r="E295" s="9">
        <x:v>0</x:v>
      </x:c>
      <x:c r="F295" s="9">
        <x:v>0</x:v>
      </x:c>
      <x:c r="G295" s="11">
        <x:v>0</x:v>
      </x:c>
      <x:c r="H295" s="9">
        <x:v>0</x:v>
      </x:c>
      <x:c r="I295" s="9">
        <x:v>0</x:v>
      </x:c>
      <x:c r="J295" s="11">
        <x:v>0</x:v>
      </x:c>
      <x:c r="K295" s="1" t="s">
        <x:v>81</x:v>
      </x:c>
      <x:c r="L295" s="1">
        <x:v>2688</x:v>
      </x:c>
    </x:row>
    <x:row r="296" ht="22" customHeight="1">
      <x:c r="A296" s="5">
        <x:v>2022</x:v>
      </x:c>
      <x:c r="B296" s="5" t="s">
        <x:v>49</x:v>
      </x:c>
      <x:c r="C296" s="6" t="s">
        <x:v>50</x:v>
      </x:c>
      <x:c r="D296" s="5" t="s">
        <x:v>96</x:v>
      </x:c>
      <x:c r="E296" s="8">
        <x:v>5</x:v>
      </x:c>
      <x:c r="F296" s="8">
        <x:v>16</x:v>
      </x:c>
      <x:c r="G296" s="10">
        <x:v>2985894</x:v>
      </x:c>
      <x:c r="H296" s="8">
        <x:v>16</x:v>
      </x:c>
      <x:c r="I296" s="8">
        <x:v>5</x:v>
      </x:c>
      <x:c r="J296" s="10">
        <x:v>2985894</x:v>
      </x:c>
      <x:c r="K296" s="5" t="s">
        <x:v>81</x:v>
      </x:c>
      <x:c r="L296" s="5">
        <x:v>2688</x:v>
      </x:c>
    </x:row>
    <x:row r="297" ht="22" customHeight="1">
      <x:c r="A297" s="1">
        <x:v>2022</x:v>
      </x:c>
      <x:c r="B297" s="1" t="s">
        <x:v>49</x:v>
      </x:c>
      <x:c r="C297" s="7" t="s">
        <x:v>50</x:v>
      </x:c>
      <x:c r="D297" s="1" t="s">
        <x:v>97</x:v>
      </x:c>
      <x:c r="E297" s="9">
        <x:v>0</x:v>
      </x:c>
      <x:c r="F297" s="9">
        <x:v>0</x:v>
      </x:c>
      <x:c r="G297" s="11">
        <x:v>0</x:v>
      </x:c>
      <x:c r="H297" s="9">
        <x:v>0</x:v>
      </x:c>
      <x:c r="I297" s="9">
        <x:v>0</x:v>
      </x:c>
      <x:c r="J297" s="11">
        <x:v>0</x:v>
      </x:c>
      <x:c r="K297" s="1" t="s">
        <x:v>81</x:v>
      </x:c>
      <x:c r="L297" s="1">
        <x:v>2688</x:v>
      </x:c>
    </x:row>
    <x:row r="298" ht="22" customHeight="1">
      <x:c r="A298" s="5">
        <x:v>2022</x:v>
      </x:c>
      <x:c r="B298" s="5" t="s">
        <x:v>51</x:v>
      </x:c>
      <x:c r="C298" s="6" t="s">
        <x:v>52</x:v>
      </x:c>
      <x:c r="D298" s="5" t="s">
        <x:v>94</x:v>
      </x:c>
      <x:c r="E298" s="8">
        <x:v>36</x:v>
      </x:c>
      <x:c r="F298" s="8">
        <x:v>36</x:v>
      </x:c>
      <x:c r="G298" s="10">
        <x:v>5944980</x:v>
      </x:c>
      <x:c r="H298" s="8">
        <x:v>9</x:v>
      </x:c>
      <x:c r="I298" s="8">
        <x:v>9</x:v>
      </x:c>
      <x:c r="J298" s="10">
        <x:v>1873380</x:v>
      </x:c>
      <x:c r="K298" s="5" t="s">
        <x:v>81</x:v>
      </x:c>
      <x:c r="L298" s="5">
        <x:v>2689</x:v>
      </x:c>
    </x:row>
    <x:row r="299" ht="22" customHeight="1">
      <x:c r="A299" s="1">
        <x:v>2022</x:v>
      </x:c>
      <x:c r="B299" s="1" t="s">
        <x:v>51</x:v>
      </x:c>
      <x:c r="C299" s="7" t="s">
        <x:v>52</x:v>
      </x:c>
      <x:c r="D299" s="1" t="s">
        <x:v>95</x:v>
      </x:c>
      <x:c r="E299" s="9">
        <x:v>0</x:v>
      </x:c>
      <x:c r="F299" s="9">
        <x:v>0</x:v>
      </x:c>
      <x:c r="G299" s="11">
        <x:v>0</x:v>
      </x:c>
      <x:c r="H299" s="9">
        <x:v>0</x:v>
      </x:c>
      <x:c r="I299" s="9">
        <x:v>0</x:v>
      </x:c>
      <x:c r="J299" s="11">
        <x:v>0</x:v>
      </x:c>
      <x:c r="K299" s="1" t="s">
        <x:v>81</x:v>
      </x:c>
      <x:c r="L299" s="1">
        <x:v>2689</x:v>
      </x:c>
    </x:row>
    <x:row r="300" ht="22" customHeight="1">
      <x:c r="A300" s="5">
        <x:v>2022</x:v>
      </x:c>
      <x:c r="B300" s="5" t="s">
        <x:v>51</x:v>
      </x:c>
      <x:c r="C300" s="6" t="s">
        <x:v>52</x:v>
      </x:c>
      <x:c r="D300" s="5" t="s">
        <x:v>96</x:v>
      </x:c>
      <x:c r="E300" s="8">
        <x:v>0</x:v>
      </x:c>
      <x:c r="F300" s="8">
        <x:v>0</x:v>
      </x:c>
      <x:c r="G300" s="10">
        <x:v>0</x:v>
      </x:c>
      <x:c r="H300" s="8">
        <x:v>0</x:v>
      </x:c>
      <x:c r="I300" s="8">
        <x:v>0</x:v>
      </x:c>
      <x:c r="J300" s="10">
        <x:v>0</x:v>
      </x:c>
      <x:c r="K300" s="5" t="s">
        <x:v>81</x:v>
      </x:c>
      <x:c r="L300" s="5">
        <x:v>2689</x:v>
      </x:c>
    </x:row>
    <x:row r="301" ht="22" customHeight="1">
      <x:c r="A301" s="1">
        <x:v>2022</x:v>
      </x:c>
      <x:c r="B301" s="1" t="s">
        <x:v>51</x:v>
      </x:c>
      <x:c r="C301" s="7" t="s">
        <x:v>52</x:v>
      </x:c>
      <x:c r="D301" s="1" t="s">
        <x:v>97</x:v>
      </x:c>
      <x:c r="E301" s="9">
        <x:v>0</x:v>
      </x:c>
      <x:c r="F301" s="9">
        <x:v>0</x:v>
      </x:c>
      <x:c r="G301" s="11">
        <x:v>0</x:v>
      </x:c>
      <x:c r="H301" s="9">
        <x:v>0</x:v>
      </x:c>
      <x:c r="I301" s="9">
        <x:v>0</x:v>
      </x:c>
      <x:c r="J301" s="11">
        <x:v>0</x:v>
      </x:c>
      <x:c r="K301" s="1" t="s">
        <x:v>81</x:v>
      </x:c>
      <x:c r="L301" s="1">
        <x:v>2689</x:v>
      </x:c>
    </x:row>
    <x:row r="302" ht="22" customHeight="1">
      <x:c r="A302" s="5">
        <x:v>2022</x:v>
      </x:c>
      <x:c r="B302" s="5" t="s">
        <x:v>53</x:v>
      </x:c>
      <x:c r="C302" s="6" t="s">
        <x:v>54</x:v>
      </x:c>
      <x:c r="D302" s="5" t="s">
        <x:v>94</x:v>
      </x:c>
      <x:c r="E302" s="8">
        <x:v>71</x:v>
      </x:c>
      <x:c r="F302" s="8">
        <x:v>71</x:v>
      </x:c>
      <x:c r="G302" s="10">
        <x:v>23127537</x:v>
      </x:c>
      <x:c r="H302" s="8">
        <x:v>0</x:v>
      </x:c>
      <x:c r="I302" s="8">
        <x:v>0</x:v>
      </x:c>
      <x:c r="J302" s="10">
        <x:v>0</x:v>
      </x:c>
      <x:c r="K302" s="5" t="s">
        <x:v>81</x:v>
      </x:c>
      <x:c r="L302" s="5">
        <x:v>2690</x:v>
      </x:c>
    </x:row>
    <x:row r="303" ht="22" customHeight="1">
      <x:c r="A303" s="1">
        <x:v>2022</x:v>
      </x:c>
      <x:c r="B303" s="1" t="s">
        <x:v>53</x:v>
      </x:c>
      <x:c r="C303" s="7" t="s">
        <x:v>54</x:v>
      </x:c>
      <x:c r="D303" s="1" t="s">
        <x:v>95</x:v>
      </x:c>
      <x:c r="E303" s="9">
        <x:v>0</x:v>
      </x:c>
      <x:c r="F303" s="9">
        <x:v>0</x:v>
      </x:c>
      <x:c r="G303" s="11">
        <x:v>0</x:v>
      </x:c>
      <x:c r="H303" s="9">
        <x:v>0</x:v>
      </x:c>
      <x:c r="I303" s="9">
        <x:v>0</x:v>
      </x:c>
      <x:c r="J303" s="11">
        <x:v>0</x:v>
      </x:c>
      <x:c r="K303" s="1" t="s">
        <x:v>81</x:v>
      </x:c>
      <x:c r="L303" s="1">
        <x:v>2690</x:v>
      </x:c>
    </x:row>
    <x:row r="304" ht="22" customHeight="1">
      <x:c r="A304" s="5">
        <x:v>2022</x:v>
      </x:c>
      <x:c r="B304" s="5" t="s">
        <x:v>53</x:v>
      </x:c>
      <x:c r="C304" s="6" t="s">
        <x:v>54</x:v>
      </x:c>
      <x:c r="D304" s="5" t="s">
        <x:v>96</x:v>
      </x:c>
      <x:c r="E304" s="8">
        <x:v>0</x:v>
      </x:c>
      <x:c r="F304" s="8">
        <x:v>0</x:v>
      </x:c>
      <x:c r="G304" s="10">
        <x:v>0</x:v>
      </x:c>
      <x:c r="H304" s="8">
        <x:v>0</x:v>
      </x:c>
      <x:c r="I304" s="8">
        <x:v>0</x:v>
      </x:c>
      <x:c r="J304" s="10">
        <x:v>0</x:v>
      </x:c>
      <x:c r="K304" s="5" t="s">
        <x:v>81</x:v>
      </x:c>
      <x:c r="L304" s="5">
        <x:v>2690</x:v>
      </x:c>
    </x:row>
    <x:row r="305" ht="22" customHeight="1">
      <x:c r="A305" s="1">
        <x:v>2022</x:v>
      </x:c>
      <x:c r="B305" s="1" t="s">
        <x:v>53</x:v>
      </x:c>
      <x:c r="C305" s="7" t="s">
        <x:v>54</x:v>
      </x:c>
      <x:c r="D305" s="1" t="s">
        <x:v>97</x:v>
      </x:c>
      <x:c r="E305" s="9">
        <x:v>0</x:v>
      </x:c>
      <x:c r="F305" s="9">
        <x:v>0</x:v>
      </x:c>
      <x:c r="G305" s="11">
        <x:v>0</x:v>
      </x:c>
      <x:c r="H305" s="9">
        <x:v>0</x:v>
      </x:c>
      <x:c r="I305" s="9">
        <x:v>0</x:v>
      </x:c>
      <x:c r="J305" s="11">
        <x:v>0</x:v>
      </x:c>
      <x:c r="K305" s="1" t="s">
        <x:v>81</x:v>
      </x:c>
      <x:c r="L305" s="1">
        <x:v>2690</x:v>
      </x:c>
    </x:row>
    <x:row r="306" ht="22" customHeight="1">
      <x:c r="A306" s="5">
        <x:v>2022</x:v>
      </x:c>
      <x:c r="B306" s="5" t="s">
        <x:v>55</x:v>
      </x:c>
      <x:c r="C306" s="6" t="s">
        <x:v>56</x:v>
      </x:c>
      <x:c r="D306" s="5" t="s">
        <x:v>94</x:v>
      </x:c>
      <x:c r="E306" s="8">
        <x:v>3339</x:v>
      </x:c>
      <x:c r="F306" s="8">
        <x:v>3339</x:v>
      </x:c>
      <x:c r="G306" s="10">
        <x:v>950033147</x:v>
      </x:c>
      <x:c r="H306" s="8">
        <x:v>3171</x:v>
      </x:c>
      <x:c r="I306" s="8">
        <x:v>3171</x:v>
      </x:c>
      <x:c r="J306" s="10">
        <x:v>909558176</x:v>
      </x:c>
      <x:c r="K306" s="5" t="s">
        <x:v>81</x:v>
      </x:c>
      <x:c r="L306" s="5">
        <x:v>2691</x:v>
      </x:c>
    </x:row>
    <x:row r="307" ht="22" customHeight="1">
      <x:c r="A307" s="1">
        <x:v>2022</x:v>
      </x:c>
      <x:c r="B307" s="1" t="s">
        <x:v>55</x:v>
      </x:c>
      <x:c r="C307" s="7" t="s">
        <x:v>56</x:v>
      </x:c>
      <x:c r="D307" s="1" t="s">
        <x:v>95</x:v>
      </x:c>
      <x:c r="E307" s="9">
        <x:v>42</x:v>
      </x:c>
      <x:c r="F307" s="9">
        <x:v>84</x:v>
      </x:c>
      <x:c r="G307" s="11">
        <x:v>12810544</x:v>
      </x:c>
      <x:c r="H307" s="9">
        <x:v>42</x:v>
      </x:c>
      <x:c r="I307" s="9">
        <x:v>21</x:v>
      </x:c>
      <x:c r="J307" s="11">
        <x:v>8959706</x:v>
      </x:c>
      <x:c r="K307" s="1" t="s">
        <x:v>81</x:v>
      </x:c>
      <x:c r="L307" s="1">
        <x:v>2691</x:v>
      </x:c>
    </x:row>
    <x:row r="308" ht="22" customHeight="1">
      <x:c r="A308" s="5">
        <x:v>2022</x:v>
      </x:c>
      <x:c r="B308" s="5" t="s">
        <x:v>55</x:v>
      </x:c>
      <x:c r="C308" s="6" t="s">
        <x:v>56</x:v>
      </x:c>
      <x:c r="D308" s="5" t="s">
        <x:v>96</x:v>
      </x:c>
      <x:c r="E308" s="8">
        <x:v>18</x:v>
      </x:c>
      <x:c r="F308" s="8">
        <x:v>63</x:v>
      </x:c>
      <x:c r="G308" s="10">
        <x:v>14816718</x:v>
      </x:c>
      <x:c r="H308" s="8">
        <x:v>42</x:v>
      </x:c>
      <x:c r="I308" s="8">
        <x:v>11</x:v>
      </x:c>
      <x:c r="J308" s="10">
        <x:v>10973206</x:v>
      </x:c>
      <x:c r="K308" s="5" t="s">
        <x:v>81</x:v>
      </x:c>
      <x:c r="L308" s="5">
        <x:v>2691</x:v>
      </x:c>
    </x:row>
    <x:row r="309" ht="22" customHeight="1">
      <x:c r="A309" s="1">
        <x:v>2022</x:v>
      </x:c>
      <x:c r="B309" s="1" t="s">
        <x:v>55</x:v>
      </x:c>
      <x:c r="C309" s="7" t="s">
        <x:v>56</x:v>
      </x:c>
      <x:c r="D309" s="1" t="s">
        <x:v>97</x:v>
      </x:c>
      <x:c r="E309" s="9">
        <x:v>120</x:v>
      </x:c>
      <x:c r="F309" s="9">
        <x:v>5889</x:v>
      </x:c>
      <x:c r="G309" s="11">
        <x:v>859816707</x:v>
      </x:c>
      <x:c r="H309" s="9">
        <x:v>2215</x:v>
      </x:c>
      <x:c r="I309" s="9">
        <x:v>70</x:v>
      </x:c>
      <x:c r="J309" s="11">
        <x:v>364582232</x:v>
      </x:c>
      <x:c r="K309" s="1" t="s">
        <x:v>81</x:v>
      </x:c>
      <x:c r="L309" s="1">
        <x:v>2691</x:v>
      </x:c>
    </x:row>
    <x:row r="310" ht="22" customHeight="1">
      <x:c r="A310" s="5">
        <x:v>2022</x:v>
      </x:c>
      <x:c r="B310" s="5" t="s">
        <x:v>57</x:v>
      </x:c>
      <x:c r="C310" s="6" t="s">
        <x:v>58</x:v>
      </x:c>
      <x:c r="D310" s="5" t="s">
        <x:v>94</x:v>
      </x:c>
      <x:c r="E310" s="8">
        <x:v>92</x:v>
      </x:c>
      <x:c r="F310" s="8">
        <x:v>92</x:v>
      </x:c>
      <x:c r="G310" s="10">
        <x:v>30578627</x:v>
      </x:c>
      <x:c r="H310" s="8">
        <x:v>90</x:v>
      </x:c>
      <x:c r="I310" s="8">
        <x:v>90</x:v>
      </x:c>
      <x:c r="J310" s="10">
        <x:v>30313395</x:v>
      </x:c>
      <x:c r="K310" s="5" t="s">
        <x:v>81</x:v>
      </x:c>
      <x:c r="L310" s="5">
        <x:v>2692</x:v>
      </x:c>
    </x:row>
    <x:row r="311" ht="22" customHeight="1">
      <x:c r="A311" s="1">
        <x:v>2022</x:v>
      </x:c>
      <x:c r="B311" s="1" t="s">
        <x:v>57</x:v>
      </x:c>
      <x:c r="C311" s="7" t="s">
        <x:v>58</x:v>
      </x:c>
      <x:c r="D311" s="1" t="s">
        <x:v>95</x:v>
      </x:c>
      <x:c r="E311" s="9">
        <x:v>0</x:v>
      </x:c>
      <x:c r="F311" s="9">
        <x:v>0</x:v>
      </x:c>
      <x:c r="G311" s="11">
        <x:v>0</x:v>
      </x:c>
      <x:c r="H311" s="9">
        <x:v>0</x:v>
      </x:c>
      <x:c r="I311" s="9">
        <x:v>0</x:v>
      </x:c>
      <x:c r="J311" s="11">
        <x:v>0</x:v>
      </x:c>
      <x:c r="K311" s="1" t="s">
        <x:v>81</x:v>
      </x:c>
      <x:c r="L311" s="1">
        <x:v>2692</x:v>
      </x:c>
    </x:row>
    <x:row r="312" ht="22" customHeight="1">
      <x:c r="A312" s="5">
        <x:v>2022</x:v>
      </x:c>
      <x:c r="B312" s="5" t="s">
        <x:v>57</x:v>
      </x:c>
      <x:c r="C312" s="6" t="s">
        <x:v>58</x:v>
      </x:c>
      <x:c r="D312" s="5" t="s">
        <x:v>96</x:v>
      </x:c>
      <x:c r="E312" s="8">
        <x:v>0</x:v>
      </x:c>
      <x:c r="F312" s="8">
        <x:v>0</x:v>
      </x:c>
      <x:c r="G312" s="10">
        <x:v>0</x:v>
      </x:c>
      <x:c r="H312" s="8">
        <x:v>0</x:v>
      </x:c>
      <x:c r="I312" s="8">
        <x:v>0</x:v>
      </x:c>
      <x:c r="J312" s="10">
        <x:v>0</x:v>
      </x:c>
      <x:c r="K312" s="5" t="s">
        <x:v>81</x:v>
      </x:c>
      <x:c r="L312" s="5">
        <x:v>2692</x:v>
      </x:c>
    </x:row>
    <x:row r="313" ht="22" customHeight="1">
      <x:c r="A313" s="1">
        <x:v>2022</x:v>
      </x:c>
      <x:c r="B313" s="1" t="s">
        <x:v>57</x:v>
      </x:c>
      <x:c r="C313" s="7" t="s">
        <x:v>58</x:v>
      </x:c>
      <x:c r="D313" s="1" t="s">
        <x:v>97</x:v>
      </x:c>
      <x:c r="E313" s="9">
        <x:v>0</x:v>
      </x:c>
      <x:c r="F313" s="9">
        <x:v>0</x:v>
      </x:c>
      <x:c r="G313" s="11">
        <x:v>0</x:v>
      </x:c>
      <x:c r="H313" s="9">
        <x:v>0</x:v>
      </x:c>
      <x:c r="I313" s="9">
        <x:v>0</x:v>
      </x:c>
      <x:c r="J313" s="11">
        <x:v>0</x:v>
      </x:c>
      <x:c r="K313" s="1" t="s">
        <x:v>81</x:v>
      </x:c>
      <x:c r="L313" s="1">
        <x:v>2692</x:v>
      </x:c>
    </x:row>
    <x:row r="314" ht="22" customHeight="1">
      <x:c r="A314" s="5">
        <x:v>2022</x:v>
      </x:c>
      <x:c r="B314" s="5" t="s">
        <x:v>59</x:v>
      </x:c>
      <x:c r="C314" s="6" t="s">
        <x:v>60</x:v>
      </x:c>
      <x:c r="D314" s="5" t="s">
        <x:v>94</x:v>
      </x:c>
      <x:c r="E314" s="8">
        <x:v>186</x:v>
      </x:c>
      <x:c r="F314" s="8">
        <x:v>186</x:v>
      </x:c>
      <x:c r="G314" s="10">
        <x:v>34655877</x:v>
      </x:c>
      <x:c r="H314" s="8">
        <x:v>186</x:v>
      </x:c>
      <x:c r="I314" s="8">
        <x:v>186</x:v>
      </x:c>
      <x:c r="J314" s="10">
        <x:v>34655877</x:v>
      </x:c>
      <x:c r="K314" s="5" t="s">
        <x:v>81</x:v>
      </x:c>
      <x:c r="L314" s="5">
        <x:v>2693</x:v>
      </x:c>
    </x:row>
    <x:row r="315" ht="22" customHeight="1">
      <x:c r="A315" s="1">
        <x:v>2022</x:v>
      </x:c>
      <x:c r="B315" s="1" t="s">
        <x:v>59</x:v>
      </x:c>
      <x:c r="C315" s="7" t="s">
        <x:v>60</x:v>
      </x:c>
      <x:c r="D315" s="1" t="s">
        <x:v>95</x:v>
      </x:c>
      <x:c r="E315" s="9">
        <x:v>0</x:v>
      </x:c>
      <x:c r="F315" s="9">
        <x:v>0</x:v>
      </x:c>
      <x:c r="G315" s="11">
        <x:v>0</x:v>
      </x:c>
      <x:c r="H315" s="9">
        <x:v>0</x:v>
      </x:c>
      <x:c r="I315" s="9">
        <x:v>0</x:v>
      </x:c>
      <x:c r="J315" s="11">
        <x:v>0</x:v>
      </x:c>
      <x:c r="K315" s="1" t="s">
        <x:v>81</x:v>
      </x:c>
      <x:c r="L315" s="1">
        <x:v>2693</x:v>
      </x:c>
    </x:row>
    <x:row r="316" ht="22" customHeight="1">
      <x:c r="A316" s="5">
        <x:v>2022</x:v>
      </x:c>
      <x:c r="B316" s="5" t="s">
        <x:v>59</x:v>
      </x:c>
      <x:c r="C316" s="6" t="s">
        <x:v>60</x:v>
      </x:c>
      <x:c r="D316" s="5" t="s">
        <x:v>96</x:v>
      </x:c>
      <x:c r="E316" s="8">
        <x:v>4</x:v>
      </x:c>
      <x:c r="F316" s="8">
        <x:v>16</x:v>
      </x:c>
      <x:c r="G316" s="10">
        <x:v>1650520</x:v>
      </x:c>
      <x:c r="H316" s="8">
        <x:v>16</x:v>
      </x:c>
      <x:c r="I316" s="8">
        <x:v>4</x:v>
      </x:c>
      <x:c r="J316" s="10">
        <x:v>1650520</x:v>
      </x:c>
      <x:c r="K316" s="5" t="s">
        <x:v>81</x:v>
      </x:c>
      <x:c r="L316" s="5">
        <x:v>2693</x:v>
      </x:c>
    </x:row>
    <x:row r="317" ht="22" customHeight="1">
      <x:c r="A317" s="1">
        <x:v>2022</x:v>
      </x:c>
      <x:c r="B317" s="1" t="s">
        <x:v>59</x:v>
      </x:c>
      <x:c r="C317" s="7" t="s">
        <x:v>60</x:v>
      </x:c>
      <x:c r="D317" s="1" t="s">
        <x:v>97</x:v>
      </x:c>
      <x:c r="E317" s="9">
        <x:v>0</x:v>
      </x:c>
      <x:c r="F317" s="9">
        <x:v>0</x:v>
      </x:c>
      <x:c r="G317" s="11">
        <x:v>0</x:v>
      </x:c>
      <x:c r="H317" s="9">
        <x:v>0</x:v>
      </x:c>
      <x:c r="I317" s="9">
        <x:v>0</x:v>
      </x:c>
      <x:c r="J317" s="11">
        <x:v>0</x:v>
      </x:c>
      <x:c r="K317" s="1" t="s">
        <x:v>81</x:v>
      </x:c>
      <x:c r="L317" s="1">
        <x:v>2693</x:v>
      </x:c>
    </x:row>
    <x:row r="318" ht="22" customHeight="1">
      <x:c r="A318" s="5">
        <x:v>2022</x:v>
      </x:c>
      <x:c r="B318" s="5" t="s">
        <x:v>61</x:v>
      </x:c>
      <x:c r="C318" s="6" t="s">
        <x:v>62</x:v>
      </x:c>
      <x:c r="D318" s="5" t="s">
        <x:v>94</x:v>
      </x:c>
      <x:c r="E318" s="8">
        <x:v>105</x:v>
      </x:c>
      <x:c r="F318" s="8">
        <x:v>105</x:v>
      </x:c>
      <x:c r="G318" s="10">
        <x:v>24783500</x:v>
      </x:c>
      <x:c r="H318" s="8">
        <x:v>97</x:v>
      </x:c>
      <x:c r="I318" s="8">
        <x:v>97</x:v>
      </x:c>
      <x:c r="J318" s="10">
        <x:v>22851000</x:v>
      </x:c>
      <x:c r="K318" s="5" t="s">
        <x:v>81</x:v>
      </x:c>
      <x:c r="L318" s="5">
        <x:v>2694</x:v>
      </x:c>
    </x:row>
    <x:row r="319" ht="22" customHeight="1">
      <x:c r="A319" s="1">
        <x:v>2022</x:v>
      </x:c>
      <x:c r="B319" s="1" t="s">
        <x:v>61</x:v>
      </x:c>
      <x:c r="C319" s="7" t="s">
        <x:v>62</x:v>
      </x:c>
      <x:c r="D319" s="1" t="s">
        <x:v>95</x:v>
      </x:c>
      <x:c r="E319" s="9">
        <x:v>11</x:v>
      </x:c>
      <x:c r="F319" s="9">
        <x:v>22</x:v>
      </x:c>
      <x:c r="G319" s="11">
        <x:v>3315000</x:v>
      </x:c>
      <x:c r="H319" s="9">
        <x:v>16</x:v>
      </x:c>
      <x:c r="I319" s="9">
        <x:v>8</x:v>
      </x:c>
      <x:c r="J319" s="11">
        <x:v>2526000</x:v>
      </x:c>
      <x:c r="K319" s="1" t="s">
        <x:v>81</x:v>
      </x:c>
      <x:c r="L319" s="1">
        <x:v>2694</x:v>
      </x:c>
    </x:row>
    <x:row r="320" ht="22" customHeight="1">
      <x:c r="A320" s="5">
        <x:v>2022</x:v>
      </x:c>
      <x:c r="B320" s="5" t="s">
        <x:v>61</x:v>
      </x:c>
      <x:c r="C320" s="6" t="s">
        <x:v>62</x:v>
      </x:c>
      <x:c r="D320" s="5" t="s">
        <x:v>96</x:v>
      </x:c>
      <x:c r="E320" s="8">
        <x:v>0</x:v>
      </x:c>
      <x:c r="F320" s="8">
        <x:v>0</x:v>
      </x:c>
      <x:c r="G320" s="10">
        <x:v>0</x:v>
      </x:c>
      <x:c r="H320" s="8">
        <x:v>0</x:v>
      </x:c>
      <x:c r="I320" s="8">
        <x:v>0</x:v>
      </x:c>
      <x:c r="J320" s="10">
        <x:v>0</x:v>
      </x:c>
      <x:c r="K320" s="5" t="s">
        <x:v>81</x:v>
      </x:c>
      <x:c r="L320" s="5">
        <x:v>2694</x:v>
      </x:c>
    </x:row>
    <x:row r="321" ht="22" customHeight="1">
      <x:c r="A321" s="1">
        <x:v>2022</x:v>
      </x:c>
      <x:c r="B321" s="1" t="s">
        <x:v>61</x:v>
      </x:c>
      <x:c r="C321" s="7" t="s">
        <x:v>62</x:v>
      </x:c>
      <x:c r="D321" s="1" t="s">
        <x:v>97</x:v>
      </x:c>
      <x:c r="E321" s="9">
        <x:v>3</x:v>
      </x:c>
      <x:c r="F321" s="9">
        <x:v>36</x:v>
      </x:c>
      <x:c r="G321" s="11">
        <x:v>6000000</x:v>
      </x:c>
      <x:c r="H321" s="9">
        <x:v>36</x:v>
      </x:c>
      <x:c r="I321" s="9">
        <x:v>3</x:v>
      </x:c>
      <x:c r="J321" s="11">
        <x:v>6000000</x:v>
      </x:c>
      <x:c r="K321" s="1" t="s">
        <x:v>81</x:v>
      </x:c>
      <x:c r="L321" s="1">
        <x:v>2694</x:v>
      </x:c>
    </x:row>
    <x:row r="322" ht="22" customHeight="1">
      <x:c r="A322" s="5">
        <x:v>2022</x:v>
      </x:c>
      <x:c r="B322" s="5" t="s">
        <x:v>63</x:v>
      </x:c>
      <x:c r="C322" s="6" t="s">
        <x:v>64</x:v>
      </x:c>
      <x:c r="D322" s="5" t="s">
        <x:v>94</x:v>
      </x:c>
      <x:c r="E322" s="8">
        <x:v>470</x:v>
      </x:c>
      <x:c r="F322" s="8">
        <x:v>470</x:v>
      </x:c>
      <x:c r="G322" s="10">
        <x:v>294773953</x:v>
      </x:c>
      <x:c r="H322" s="8">
        <x:v>470</x:v>
      </x:c>
      <x:c r="I322" s="8">
        <x:v>470</x:v>
      </x:c>
      <x:c r="J322" s="10">
        <x:v>294773953</x:v>
      </x:c>
      <x:c r="K322" s="5" t="s">
        <x:v>81</x:v>
      </x:c>
      <x:c r="L322" s="5">
        <x:v>2695</x:v>
      </x:c>
    </x:row>
    <x:row r="323" ht="22" customHeight="1">
      <x:c r="A323" s="1">
        <x:v>2022</x:v>
      </x:c>
      <x:c r="B323" s="1" t="s">
        <x:v>63</x:v>
      </x:c>
      <x:c r="C323" s="7" t="s">
        <x:v>64</x:v>
      </x:c>
      <x:c r="D323" s="1" t="s">
        <x:v>95</x:v>
      </x:c>
      <x:c r="E323" s="9">
        <x:v>0</x:v>
      </x:c>
      <x:c r="F323" s="9">
        <x:v>0</x:v>
      </x:c>
      <x:c r="G323" s="11">
        <x:v>0</x:v>
      </x:c>
      <x:c r="H323" s="9">
        <x:v>0</x:v>
      </x:c>
      <x:c r="I323" s="9">
        <x:v>0</x:v>
      </x:c>
      <x:c r="J323" s="11">
        <x:v>0</x:v>
      </x:c>
      <x:c r="K323" s="1" t="s">
        <x:v>81</x:v>
      </x:c>
      <x:c r="L323" s="1">
        <x:v>2695</x:v>
      </x:c>
    </x:row>
    <x:row r="324" ht="22" customHeight="1">
      <x:c r="A324" s="5">
        <x:v>2022</x:v>
      </x:c>
      <x:c r="B324" s="5" t="s">
        <x:v>63</x:v>
      </x:c>
      <x:c r="C324" s="6" t="s">
        <x:v>64</x:v>
      </x:c>
      <x:c r="D324" s="5" t="s">
        <x:v>96</x:v>
      </x:c>
      <x:c r="E324" s="8">
        <x:v>0</x:v>
      </x:c>
      <x:c r="F324" s="8">
        <x:v>0</x:v>
      </x:c>
      <x:c r="G324" s="10">
        <x:v>0</x:v>
      </x:c>
      <x:c r="H324" s="8">
        <x:v>0</x:v>
      </x:c>
      <x:c r="I324" s="8">
        <x:v>0</x:v>
      </x:c>
      <x:c r="J324" s="10">
        <x:v>0</x:v>
      </x:c>
      <x:c r="K324" s="5" t="s">
        <x:v>81</x:v>
      </x:c>
      <x:c r="L324" s="5">
        <x:v>2695</x:v>
      </x:c>
    </x:row>
    <x:row r="325" ht="22" customHeight="1">
      <x:c r="A325" s="1">
        <x:v>2022</x:v>
      </x:c>
      <x:c r="B325" s="1" t="s">
        <x:v>63</x:v>
      </x:c>
      <x:c r="C325" s="7" t="s">
        <x:v>64</x:v>
      </x:c>
      <x:c r="D325" s="1" t="s">
        <x:v>97</x:v>
      </x:c>
      <x:c r="E325" s="9">
        <x:v>2</x:v>
      </x:c>
      <x:c r="F325" s="9">
        <x:v>90</x:v>
      </x:c>
      <x:c r="G325" s="11">
        <x:v>48799866</x:v>
      </x:c>
      <x:c r="H325" s="9">
        <x:v>90</x:v>
      </x:c>
      <x:c r="I325" s="9">
        <x:v>2</x:v>
      </x:c>
      <x:c r="J325" s="11">
        <x:v>48799866</x:v>
      </x:c>
      <x:c r="K325" s="1" t="s">
        <x:v>81</x:v>
      </x:c>
      <x:c r="L325" s="1">
        <x:v>2695</x:v>
      </x:c>
    </x:row>
    <x:row r="326" ht="22" customHeight="1">
      <x:c r="A326" s="5">
        <x:v>2022</x:v>
      </x:c>
      <x:c r="B326" s="5" t="s">
        <x:v>65</x:v>
      </x:c>
      <x:c r="C326" s="6" t="s">
        <x:v>66</x:v>
      </x:c>
      <x:c r="D326" s="5" t="s">
        <x:v>94</x:v>
      </x:c>
      <x:c r="E326" s="8">
        <x:v>653</x:v>
      </x:c>
      <x:c r="F326" s="8">
        <x:v>653</x:v>
      </x:c>
      <x:c r="G326" s="10">
        <x:v>184826950</x:v>
      </x:c>
      <x:c r="H326" s="8">
        <x:v>653</x:v>
      </x:c>
      <x:c r="I326" s="8">
        <x:v>653</x:v>
      </x:c>
      <x:c r="J326" s="10">
        <x:v>184826950</x:v>
      </x:c>
      <x:c r="K326" s="5" t="s">
        <x:v>81</x:v>
      </x:c>
      <x:c r="L326" s="5">
        <x:v>2696</x:v>
      </x:c>
    </x:row>
    <x:row r="327" ht="22" customHeight="1">
      <x:c r="A327" s="1">
        <x:v>2022</x:v>
      </x:c>
      <x:c r="B327" s="1" t="s">
        <x:v>65</x:v>
      </x:c>
      <x:c r="C327" s="7" t="s">
        <x:v>66</x:v>
      </x:c>
      <x:c r="D327" s="1" t="s">
        <x:v>95</x:v>
      </x:c>
      <x:c r="E327" s="9">
        <x:v>0</x:v>
      </x:c>
      <x:c r="F327" s="9">
        <x:v>0</x:v>
      </x:c>
      <x:c r="G327" s="11">
        <x:v>0</x:v>
      </x:c>
      <x:c r="H327" s="9">
        <x:v>0</x:v>
      </x:c>
      <x:c r="I327" s="9">
        <x:v>0</x:v>
      </x:c>
      <x:c r="J327" s="11">
        <x:v>0</x:v>
      </x:c>
      <x:c r="K327" s="1" t="s">
        <x:v>81</x:v>
      </x:c>
      <x:c r="L327" s="1">
        <x:v>2696</x:v>
      </x:c>
    </x:row>
    <x:row r="328" ht="22" customHeight="1">
      <x:c r="A328" s="5">
        <x:v>2022</x:v>
      </x:c>
      <x:c r="B328" s="5" t="s">
        <x:v>65</x:v>
      </x:c>
      <x:c r="C328" s="6" t="s">
        <x:v>66</x:v>
      </x:c>
      <x:c r="D328" s="5" t="s">
        <x:v>96</x:v>
      </x:c>
      <x:c r="E328" s="8">
        <x:v>8</x:v>
      </x:c>
      <x:c r="F328" s="8">
        <x:v>31</x:v>
      </x:c>
      <x:c r="G328" s="10">
        <x:v>7124706</x:v>
      </x:c>
      <x:c r="H328" s="8">
        <x:v>31</x:v>
      </x:c>
      <x:c r="I328" s="8">
        <x:v>8</x:v>
      </x:c>
      <x:c r="J328" s="10">
        <x:v>7124706</x:v>
      </x:c>
      <x:c r="K328" s="5" t="s">
        <x:v>81</x:v>
      </x:c>
      <x:c r="L328" s="5">
        <x:v>2696</x:v>
      </x:c>
    </x:row>
    <x:row r="329" ht="22" customHeight="1">
      <x:c r="A329" s="1">
        <x:v>2022</x:v>
      </x:c>
      <x:c r="B329" s="1" t="s">
        <x:v>65</x:v>
      </x:c>
      <x:c r="C329" s="7" t="s">
        <x:v>66</x:v>
      </x:c>
      <x:c r="D329" s="1" t="s">
        <x:v>97</x:v>
      </x:c>
      <x:c r="E329" s="9">
        <x:v>7</x:v>
      </x:c>
      <x:c r="F329" s="9">
        <x:v>43</x:v>
      </x:c>
      <x:c r="G329" s="11">
        <x:v>10489312</x:v>
      </x:c>
      <x:c r="H329" s="9">
        <x:v>43</x:v>
      </x:c>
      <x:c r="I329" s="9">
        <x:v>7</x:v>
      </x:c>
      <x:c r="J329" s="11">
        <x:v>10489312</x:v>
      </x:c>
      <x:c r="K329" s="1" t="s">
        <x:v>81</x:v>
      </x:c>
      <x:c r="L329" s="1">
        <x:v>2696</x:v>
      </x:c>
    </x:row>
    <x:row r="330" ht="22" customHeight="1">
      <x:c r="A330" s="5">
        <x:v>2022</x:v>
      </x:c>
      <x:c r="B330" s="5" t="s">
        <x:v>67</x:v>
      </x:c>
      <x:c r="C330" s="6" t="s">
        <x:v>68</x:v>
      </x:c>
      <x:c r="D330" s="5" t="s">
        <x:v>94</x:v>
      </x:c>
      <x:c r="E330" s="8">
        <x:v>86</x:v>
      </x:c>
      <x:c r="F330" s="8">
        <x:v>86</x:v>
      </x:c>
      <x:c r="G330" s="10">
        <x:v>34054448</x:v>
      </x:c>
      <x:c r="H330" s="8">
        <x:v>86</x:v>
      </x:c>
      <x:c r="I330" s="8">
        <x:v>86</x:v>
      </x:c>
      <x:c r="J330" s="10">
        <x:v>34054448</x:v>
      </x:c>
      <x:c r="K330" s="5" t="s">
        <x:v>81</x:v>
      </x:c>
      <x:c r="L330" s="5">
        <x:v>2697</x:v>
      </x:c>
    </x:row>
    <x:row r="331" ht="22" customHeight="1">
      <x:c r="A331" s="1">
        <x:v>2022</x:v>
      </x:c>
      <x:c r="B331" s="1" t="s">
        <x:v>67</x:v>
      </x:c>
      <x:c r="C331" s="7" t="s">
        <x:v>68</x:v>
      </x:c>
      <x:c r="D331" s="1" t="s">
        <x:v>95</x:v>
      </x:c>
      <x:c r="E331" s="9">
        <x:v>2</x:v>
      </x:c>
      <x:c r="F331" s="9">
        <x:v>4</x:v>
      </x:c>
      <x:c r="G331" s="11">
        <x:v>717635</x:v>
      </x:c>
      <x:c r="H331" s="9">
        <x:v>4</x:v>
      </x:c>
      <x:c r="I331" s="9">
        <x:v>2</x:v>
      </x:c>
      <x:c r="J331" s="11">
        <x:v>717635</x:v>
      </x:c>
      <x:c r="K331" s="1" t="s">
        <x:v>81</x:v>
      </x:c>
      <x:c r="L331" s="1">
        <x:v>2697</x:v>
      </x:c>
    </x:row>
    <x:row r="332" ht="22" customHeight="1">
      <x:c r="A332" s="5">
        <x:v>2022</x:v>
      </x:c>
      <x:c r="B332" s="5" t="s">
        <x:v>67</x:v>
      </x:c>
      <x:c r="C332" s="6" t="s">
        <x:v>68</x:v>
      </x:c>
      <x:c r="D332" s="5" t="s">
        <x:v>96</x:v>
      </x:c>
      <x:c r="E332" s="8">
        <x:v>0</x:v>
      </x:c>
      <x:c r="F332" s="8">
        <x:v>0</x:v>
      </x:c>
      <x:c r="G332" s="10">
        <x:v>0</x:v>
      </x:c>
      <x:c r="H332" s="8">
        <x:v>0</x:v>
      </x:c>
      <x:c r="I332" s="8">
        <x:v>0</x:v>
      </x:c>
      <x:c r="J332" s="10">
        <x:v>0</x:v>
      </x:c>
      <x:c r="K332" s="5" t="s">
        <x:v>81</x:v>
      </x:c>
      <x:c r="L332" s="5">
        <x:v>2697</x:v>
      </x:c>
    </x:row>
    <x:row r="333" ht="22" customHeight="1">
      <x:c r="A333" s="1">
        <x:v>2022</x:v>
      </x:c>
      <x:c r="B333" s="1" t="s">
        <x:v>67</x:v>
      </x:c>
      <x:c r="C333" s="7" t="s">
        <x:v>68</x:v>
      </x:c>
      <x:c r="D333" s="1" t="s">
        <x:v>97</x:v>
      </x:c>
      <x:c r="E333" s="9">
        <x:v>0</x:v>
      </x:c>
      <x:c r="F333" s="9">
        <x:v>0</x:v>
      </x:c>
      <x:c r="G333" s="11">
        <x:v>0</x:v>
      </x:c>
      <x:c r="H333" s="9">
        <x:v>0</x:v>
      </x:c>
      <x:c r="I333" s="9">
        <x:v>0</x:v>
      </x:c>
      <x:c r="J333" s="11">
        <x:v>0</x:v>
      </x:c>
      <x:c r="K333" s="1" t="s">
        <x:v>81</x:v>
      </x:c>
      <x:c r="L333" s="1">
        <x:v>2697</x:v>
      </x:c>
    </x:row>
    <x:row r="334" ht="22" customHeight="1">
      <x:c r="A334" s="5">
        <x:v>2022</x:v>
      </x:c>
      <x:c r="B334" s="5" t="s">
        <x:v>69</x:v>
      </x:c>
      <x:c r="C334" s="6" t="s">
        <x:v>70</x:v>
      </x:c>
      <x:c r="D334" s="5" t="s">
        <x:v>94</x:v>
      </x:c>
      <x:c r="E334" s="8">
        <x:v>5080</x:v>
      </x:c>
      <x:c r="F334" s="8">
        <x:v>5080</x:v>
      </x:c>
      <x:c r="G334" s="10">
        <x:v>1694452771</x:v>
      </x:c>
      <x:c r="H334" s="8">
        <x:v>5069</x:v>
      </x:c>
      <x:c r="I334" s="8">
        <x:v>5069</x:v>
      </x:c>
      <x:c r="J334" s="10">
        <x:v>1689833701</x:v>
      </x:c>
      <x:c r="K334" s="5" t="s">
        <x:v>81</x:v>
      </x:c>
      <x:c r="L334" s="5">
        <x:v>2698</x:v>
      </x:c>
    </x:row>
    <x:row r="335" ht="22" customHeight="1">
      <x:c r="A335" s="1">
        <x:v>2022</x:v>
      </x:c>
      <x:c r="B335" s="1" t="s">
        <x:v>69</x:v>
      </x:c>
      <x:c r="C335" s="7" t="s">
        <x:v>70</x:v>
      </x:c>
      <x:c r="D335" s="1" t="s">
        <x:v>95</x:v>
      </x:c>
      <x:c r="E335" s="9">
        <x:v>69</x:v>
      </x:c>
      <x:c r="F335" s="9">
        <x:v>138</x:v>
      </x:c>
      <x:c r="G335" s="11">
        <x:v>27213853</x:v>
      </x:c>
      <x:c r="H335" s="9">
        <x:v>138</x:v>
      </x:c>
      <x:c r="I335" s="9">
        <x:v>69</x:v>
      </x:c>
      <x:c r="J335" s="11">
        <x:v>27213853</x:v>
      </x:c>
      <x:c r="K335" s="1" t="s">
        <x:v>81</x:v>
      </x:c>
      <x:c r="L335" s="1">
        <x:v>2698</x:v>
      </x:c>
    </x:row>
    <x:row r="336" ht="22" customHeight="1">
      <x:c r="A336" s="5">
        <x:v>2022</x:v>
      </x:c>
      <x:c r="B336" s="5" t="s">
        <x:v>69</x:v>
      </x:c>
      <x:c r="C336" s="6" t="s">
        <x:v>70</x:v>
      </x:c>
      <x:c r="D336" s="5" t="s">
        <x:v>96</x:v>
      </x:c>
      <x:c r="E336" s="8">
        <x:v>37</x:v>
      </x:c>
      <x:c r="F336" s="8">
        <x:v>140</x:v>
      </x:c>
      <x:c r="G336" s="10">
        <x:v>25005314</x:v>
      </x:c>
      <x:c r="H336" s="8">
        <x:v>140</x:v>
      </x:c>
      <x:c r="I336" s="8">
        <x:v>37</x:v>
      </x:c>
      <x:c r="J336" s="10">
        <x:v>25005314</x:v>
      </x:c>
      <x:c r="K336" s="5" t="s">
        <x:v>81</x:v>
      </x:c>
      <x:c r="L336" s="5">
        <x:v>2698</x:v>
      </x:c>
    </x:row>
    <x:row r="337" ht="22" customHeight="1">
      <x:c r="A337" s="1">
        <x:v>2022</x:v>
      </x:c>
      <x:c r="B337" s="1" t="s">
        <x:v>69</x:v>
      </x:c>
      <x:c r="C337" s="7" t="s">
        <x:v>70</x:v>
      </x:c>
      <x:c r="D337" s="1" t="s">
        <x:v>97</x:v>
      </x:c>
      <x:c r="E337" s="9">
        <x:v>142</x:v>
      </x:c>
      <x:c r="F337" s="9">
        <x:v>2807</x:v>
      </x:c>
      <x:c r="G337" s="11">
        <x:v>466722175</x:v>
      </x:c>
      <x:c r="H337" s="9">
        <x:v>2807</x:v>
      </x:c>
      <x:c r="I337" s="9">
        <x:v>142</x:v>
      </x:c>
      <x:c r="J337" s="11">
        <x:v>466722175</x:v>
      </x:c>
      <x:c r="K337" s="1" t="s">
        <x:v>81</x:v>
      </x:c>
      <x:c r="L337" s="1">
        <x:v>2698</x:v>
      </x:c>
    </x:row>
    <x:row r="338" ht="22" customHeight="1">
      <x:c r="A338" s="5">
        <x:v>2022</x:v>
      </x:c>
      <x:c r="B338" s="5" t="s">
        <x:v>71</x:v>
      </x:c>
      <x:c r="C338" s="6" t="s">
        <x:v>72</x:v>
      </x:c>
      <x:c r="D338" s="5" t="s">
        <x:v>94</x:v>
      </x:c>
      <x:c r="E338" s="8">
        <x:v>991</x:v>
      </x:c>
      <x:c r="F338" s="8">
        <x:v>991</x:v>
      </x:c>
      <x:c r="G338" s="10">
        <x:v>623850968</x:v>
      </x:c>
      <x:c r="H338" s="8">
        <x:v>985</x:v>
      </x:c>
      <x:c r="I338" s="8">
        <x:v>985</x:v>
      </x:c>
      <x:c r="J338" s="10">
        <x:v>621239468</x:v>
      </x:c>
      <x:c r="K338" s="5" t="s">
        <x:v>81</x:v>
      </x:c>
      <x:c r="L338" s="5">
        <x:v>2699</x:v>
      </x:c>
    </x:row>
    <x:row r="339" ht="22" customHeight="1">
      <x:c r="A339" s="1">
        <x:v>2022</x:v>
      </x:c>
      <x:c r="B339" s="1" t="s">
        <x:v>71</x:v>
      </x:c>
      <x:c r="C339" s="7" t="s">
        <x:v>72</x:v>
      </x:c>
      <x:c r="D339" s="1" t="s">
        <x:v>95</x:v>
      </x:c>
      <x:c r="E339" s="9">
        <x:v>0</x:v>
      </x:c>
      <x:c r="F339" s="9">
        <x:v>0</x:v>
      </x:c>
      <x:c r="G339" s="11">
        <x:v>0</x:v>
      </x:c>
      <x:c r="H339" s="9">
        <x:v>0</x:v>
      </x:c>
      <x:c r="I339" s="9">
        <x:v>0</x:v>
      </x:c>
      <x:c r="J339" s="11">
        <x:v>0</x:v>
      </x:c>
      <x:c r="K339" s="1" t="s">
        <x:v>81</x:v>
      </x:c>
      <x:c r="L339" s="1">
        <x:v>2699</x:v>
      </x:c>
    </x:row>
    <x:row r="340" ht="22" customHeight="1">
      <x:c r="A340" s="5">
        <x:v>2022</x:v>
      </x:c>
      <x:c r="B340" s="5" t="s">
        <x:v>71</x:v>
      </x:c>
      <x:c r="C340" s="6" t="s">
        <x:v>72</x:v>
      </x:c>
      <x:c r="D340" s="5" t="s">
        <x:v>96</x:v>
      </x:c>
      <x:c r="E340" s="8">
        <x:v>2</x:v>
      </x:c>
      <x:c r="F340" s="8">
        <x:v>6</x:v>
      </x:c>
      <x:c r="G340" s="10">
        <x:v>2604249</x:v>
      </x:c>
      <x:c r="H340" s="8">
        <x:v>6</x:v>
      </x:c>
      <x:c r="I340" s="8">
        <x:v>2</x:v>
      </x:c>
      <x:c r="J340" s="10">
        <x:v>2604249</x:v>
      </x:c>
      <x:c r="K340" s="5" t="s">
        <x:v>81</x:v>
      </x:c>
      <x:c r="L340" s="5">
        <x:v>2699</x:v>
      </x:c>
    </x:row>
    <x:row r="341" ht="22" customHeight="1">
      <x:c r="A341" s="1">
        <x:v>2022</x:v>
      </x:c>
      <x:c r="B341" s="1" t="s">
        <x:v>71</x:v>
      </x:c>
      <x:c r="C341" s="7" t="s">
        <x:v>72</x:v>
      </x:c>
      <x:c r="D341" s="1" t="s">
        <x:v>97</x:v>
      </x:c>
      <x:c r="E341" s="9">
        <x:v>1</x:v>
      </x:c>
      <x:c r="F341" s="9">
        <x:v>12</x:v>
      </x:c>
      <x:c r="G341" s="11">
        <x:v>3980115</x:v>
      </x:c>
      <x:c r="H341" s="9">
        <x:v>12</x:v>
      </x:c>
      <x:c r="I341" s="9">
        <x:v>1</x:v>
      </x:c>
      <x:c r="J341" s="11">
        <x:v>3980115</x:v>
      </x:c>
      <x:c r="K341" s="1" t="s">
        <x:v>81</x:v>
      </x:c>
      <x:c r="L341" s="1">
        <x:v>2699</x:v>
      </x:c>
    </x:row>
    <x:row r="342" ht="22" customHeight="1">
      <x:c r="A342" s="5">
        <x:v>2022</x:v>
      </x:c>
      <x:c r="B342" s="5" t="s">
        <x:v>73</x:v>
      </x:c>
      <x:c r="C342" s="6" t="s">
        <x:v>74</x:v>
      </x:c>
      <x:c r="D342" s="5" t="s">
        <x:v>94</x:v>
      </x:c>
      <x:c r="E342" s="8">
        <x:v>2486</x:v>
      </x:c>
      <x:c r="F342" s="8">
        <x:v>2486</x:v>
      </x:c>
      <x:c r="G342" s="10">
        <x:v>520893854</x:v>
      </x:c>
      <x:c r="H342" s="8">
        <x:v>2470</x:v>
      </x:c>
      <x:c r="I342" s="8">
        <x:v>2470</x:v>
      </x:c>
      <x:c r="J342" s="10">
        <x:v>516440724</x:v>
      </x:c>
      <x:c r="K342" s="5" t="s">
        <x:v>81</x:v>
      </x:c>
      <x:c r="L342" s="5">
        <x:v>2700</x:v>
      </x:c>
    </x:row>
    <x:row r="343" ht="22" customHeight="1">
      <x:c r="A343" s="1">
        <x:v>2022</x:v>
      </x:c>
      <x:c r="B343" s="1" t="s">
        <x:v>73</x:v>
      </x:c>
      <x:c r="C343" s="7" t="s">
        <x:v>74</x:v>
      </x:c>
      <x:c r="D343" s="1" t="s">
        <x:v>95</x:v>
      </x:c>
      <x:c r="E343" s="9">
        <x:v>0</x:v>
      </x:c>
      <x:c r="F343" s="9">
        <x:v>0</x:v>
      </x:c>
      <x:c r="G343" s="11">
        <x:v>0</x:v>
      </x:c>
      <x:c r="H343" s="9">
        <x:v>0</x:v>
      </x:c>
      <x:c r="I343" s="9">
        <x:v>0</x:v>
      </x:c>
      <x:c r="J343" s="11">
        <x:v>0</x:v>
      </x:c>
      <x:c r="K343" s="1" t="s">
        <x:v>81</x:v>
      </x:c>
      <x:c r="L343" s="1">
        <x:v>2700</x:v>
      </x:c>
    </x:row>
    <x:row r="344" ht="22" customHeight="1">
      <x:c r="A344" s="5">
        <x:v>2022</x:v>
      </x:c>
      <x:c r="B344" s="5" t="s">
        <x:v>73</x:v>
      </x:c>
      <x:c r="C344" s="6" t="s">
        <x:v>74</x:v>
      </x:c>
      <x:c r="D344" s="5" t="s">
        <x:v>96</x:v>
      </x:c>
      <x:c r="E344" s="8">
        <x:v>11</x:v>
      </x:c>
      <x:c r="F344" s="8">
        <x:v>40</x:v>
      </x:c>
      <x:c r="G344" s="10">
        <x:v>7430750</x:v>
      </x:c>
      <x:c r="H344" s="8">
        <x:v>40</x:v>
      </x:c>
      <x:c r="I344" s="8">
        <x:v>11</x:v>
      </x:c>
      <x:c r="J344" s="10">
        <x:v>7430750</x:v>
      </x:c>
      <x:c r="K344" s="5" t="s">
        <x:v>81</x:v>
      </x:c>
      <x:c r="L344" s="5">
        <x:v>2700</x:v>
      </x:c>
    </x:row>
    <x:row r="345" ht="22" customHeight="1">
      <x:c r="A345" s="1">
        <x:v>2022</x:v>
      </x:c>
      <x:c r="B345" s="1" t="s">
        <x:v>73</x:v>
      </x:c>
      <x:c r="C345" s="7" t="s">
        <x:v>74</x:v>
      </x:c>
      <x:c r="D345" s="1" t="s">
        <x:v>97</x:v>
      </x:c>
      <x:c r="E345" s="9">
        <x:v>51</x:v>
      </x:c>
      <x:c r="F345" s="9">
        <x:v>670</x:v>
      </x:c>
      <x:c r="G345" s="11">
        <x:v>80299950</x:v>
      </x:c>
      <x:c r="H345" s="9">
        <x:v>670</x:v>
      </x:c>
      <x:c r="I345" s="9">
        <x:v>51</x:v>
      </x:c>
      <x:c r="J345" s="11">
        <x:v>80299950</x:v>
      </x:c>
      <x:c r="K345" s="1" t="s">
        <x:v>81</x:v>
      </x:c>
      <x:c r="L345" s="1">
        <x:v>2700</x:v>
      </x:c>
    </x:row>
    <x:row r="346" ht="22" customHeight="1">
      <x:c r="A346" s="5">
        <x:v>2022</x:v>
      </x:c>
      <x:c r="B346" s="5" t="s">
        <x:v>75</x:v>
      </x:c>
      <x:c r="C346" s="6" t="s">
        <x:v>76</x:v>
      </x:c>
      <x:c r="D346" s="5" t="s">
        <x:v>94</x:v>
      </x:c>
      <x:c r="E346" s="8">
        <x:v>25</x:v>
      </x:c>
      <x:c r="F346" s="8">
        <x:v>25</x:v>
      </x:c>
      <x:c r="G346" s="10">
        <x:v>7568251</x:v>
      </x:c>
      <x:c r="H346" s="8">
        <x:v>25</x:v>
      </x:c>
      <x:c r="I346" s="8">
        <x:v>25</x:v>
      </x:c>
      <x:c r="J346" s="10">
        <x:v>7568251</x:v>
      </x:c>
      <x:c r="K346" s="5" t="s">
        <x:v>81</x:v>
      </x:c>
      <x:c r="L346" s="5">
        <x:v>2701</x:v>
      </x:c>
    </x:row>
    <x:row r="347" ht="22" customHeight="1">
      <x:c r="A347" s="1">
        <x:v>2022</x:v>
      </x:c>
      <x:c r="B347" s="1" t="s">
        <x:v>75</x:v>
      </x:c>
      <x:c r="C347" s="7" t="s">
        <x:v>76</x:v>
      </x:c>
      <x:c r="D347" s="1" t="s">
        <x:v>95</x:v>
      </x:c>
      <x:c r="E347" s="9">
        <x:v>0</x:v>
      </x:c>
      <x:c r="F347" s="9">
        <x:v>0</x:v>
      </x:c>
      <x:c r="G347" s="11">
        <x:v>0</x:v>
      </x:c>
      <x:c r="H347" s="9">
        <x:v>0</x:v>
      </x:c>
      <x:c r="I347" s="9">
        <x:v>0</x:v>
      </x:c>
      <x:c r="J347" s="11">
        <x:v>0</x:v>
      </x:c>
      <x:c r="K347" s="1" t="s">
        <x:v>81</x:v>
      </x:c>
      <x:c r="L347" s="1">
        <x:v>2701</x:v>
      </x:c>
    </x:row>
    <x:row r="348" ht="22" customHeight="1">
      <x:c r="A348" s="5">
        <x:v>2022</x:v>
      </x:c>
      <x:c r="B348" s="5" t="s">
        <x:v>75</x:v>
      </x:c>
      <x:c r="C348" s="6" t="s">
        <x:v>76</x:v>
      </x:c>
      <x:c r="D348" s="5" t="s">
        <x:v>96</x:v>
      </x:c>
      <x:c r="E348" s="8">
        <x:v>1</x:v>
      </x:c>
      <x:c r="F348" s="8">
        <x:v>4</x:v>
      </x:c>
      <x:c r="G348" s="10">
        <x:v>590000</x:v>
      </x:c>
      <x:c r="H348" s="8">
        <x:v>4</x:v>
      </x:c>
      <x:c r="I348" s="8">
        <x:v>1</x:v>
      </x:c>
      <x:c r="J348" s="10">
        <x:v>590000</x:v>
      </x:c>
      <x:c r="K348" s="5" t="s">
        <x:v>81</x:v>
      </x:c>
      <x:c r="L348" s="5">
        <x:v>2701</x:v>
      </x:c>
    </x:row>
    <x:row r="349" ht="22" customHeight="1">
      <x:c r="A349" s="1">
        <x:v>2022</x:v>
      </x:c>
      <x:c r="B349" s="1" t="s">
        <x:v>75</x:v>
      </x:c>
      <x:c r="C349" s="7" t="s">
        <x:v>76</x:v>
      </x:c>
      <x:c r="D349" s="1" t="s">
        <x:v>97</x:v>
      </x:c>
      <x:c r="E349" s="9">
        <x:v>0</x:v>
      </x:c>
      <x:c r="F349" s="9">
        <x:v>0</x:v>
      </x:c>
      <x:c r="G349" s="11">
        <x:v>0</x:v>
      </x:c>
      <x:c r="H349" s="9">
        <x:v>0</x:v>
      </x:c>
      <x:c r="I349" s="9">
        <x:v>0</x:v>
      </x:c>
      <x:c r="J349" s="11">
        <x:v>0</x:v>
      </x:c>
      <x:c r="K349" s="1" t="s">
        <x:v>81</x:v>
      </x:c>
      <x:c r="L349" s="1">
        <x:v>2701</x:v>
      </x:c>
    </x:row>
    <x:row r="350" ht="22" customHeight="1">
      <x:c r="A350" s="5">
        <x:v>2022</x:v>
      </x:c>
      <x:c r="B350" s="5" t="s">
        <x:v>77</x:v>
      </x:c>
      <x:c r="C350" s="6" t="s">
        <x:v>78</x:v>
      </x:c>
      <x:c r="D350" s="5" t="s">
        <x:v>94</x:v>
      </x:c>
      <x:c r="E350" s="8">
        <x:v>1252</x:v>
      </x:c>
      <x:c r="F350" s="8">
        <x:v>1252</x:v>
      </x:c>
      <x:c r="G350" s="10">
        <x:v>378083692</x:v>
      </x:c>
      <x:c r="H350" s="8">
        <x:v>938</x:v>
      </x:c>
      <x:c r="I350" s="8">
        <x:v>938</x:v>
      </x:c>
      <x:c r="J350" s="10">
        <x:v>280540230</x:v>
      </x:c>
      <x:c r="K350" s="5" t="s">
        <x:v>81</x:v>
      </x:c>
      <x:c r="L350" s="5">
        <x:v>2702</x:v>
      </x:c>
    </x:row>
    <x:row r="351" ht="22" customHeight="1">
      <x:c r="A351" s="1">
        <x:v>2022</x:v>
      </x:c>
      <x:c r="B351" s="1" t="s">
        <x:v>77</x:v>
      </x:c>
      <x:c r="C351" s="7" t="s">
        <x:v>78</x:v>
      </x:c>
      <x:c r="D351" s="1" t="s">
        <x:v>95</x:v>
      </x:c>
      <x:c r="E351" s="9">
        <x:v>3</x:v>
      </x:c>
      <x:c r="F351" s="9">
        <x:v>6</x:v>
      </x:c>
      <x:c r="G351" s="11">
        <x:v>1150477</x:v>
      </x:c>
      <x:c r="H351" s="9">
        <x:v>6</x:v>
      </x:c>
      <x:c r="I351" s="9">
        <x:v>3</x:v>
      </x:c>
      <x:c r="J351" s="11">
        <x:v>1150477</x:v>
      </x:c>
      <x:c r="K351" s="1" t="s">
        <x:v>81</x:v>
      </x:c>
      <x:c r="L351" s="1">
        <x:v>2702</x:v>
      </x:c>
    </x:row>
    <x:row r="352" ht="22" customHeight="1">
      <x:c r="A352" s="5">
        <x:v>2022</x:v>
      </x:c>
      <x:c r="B352" s="5" t="s">
        <x:v>77</x:v>
      </x:c>
      <x:c r="C352" s="6" t="s">
        <x:v>78</x:v>
      </x:c>
      <x:c r="D352" s="5" t="s">
        <x:v>96</x:v>
      </x:c>
      <x:c r="E352" s="8">
        <x:v>24</x:v>
      </x:c>
      <x:c r="F352" s="8">
        <x:v>89</x:v>
      </x:c>
      <x:c r="G352" s="10">
        <x:v>13984918</x:v>
      </x:c>
      <x:c r="H352" s="8">
        <x:v>39</x:v>
      </x:c>
      <x:c r="I352" s="8">
        <x:v>10</x:v>
      </x:c>
      <x:c r="J352" s="10">
        <x:v>4562500</x:v>
      </x:c>
      <x:c r="K352" s="5" t="s">
        <x:v>81</x:v>
      </x:c>
      <x:c r="L352" s="5">
        <x:v>2702</x:v>
      </x:c>
    </x:row>
    <x:row r="353" ht="22" customHeight="1">
      <x:c r="A353" s="1">
        <x:v>2022</x:v>
      </x:c>
      <x:c r="B353" s="1" t="s">
        <x:v>77</x:v>
      </x:c>
      <x:c r="C353" s="7" t="s">
        <x:v>78</x:v>
      </x:c>
      <x:c r="D353" s="1" t="s">
        <x:v>97</x:v>
      </x:c>
      <x:c r="E353" s="9">
        <x:v>49</x:v>
      </x:c>
      <x:c r="F353" s="9">
        <x:v>964</x:v>
      </x:c>
      <x:c r="G353" s="11">
        <x:v>148111765</x:v>
      </x:c>
      <x:c r="H353" s="9">
        <x:v>892</x:v>
      </x:c>
      <x:c r="I353" s="9">
        <x:v>35</x:v>
      </x:c>
      <x:c r="J353" s="11">
        <x:v>140276870</x:v>
      </x:c>
      <x:c r="K353" s="1" t="s">
        <x:v>81</x:v>
      </x:c>
      <x:c r="L353" s="1">
        <x:v>2702</x:v>
      </x:c>
    </x:row>
    <x:row r="354" ht="22" customHeight="1">
      <x:c r="A354" s="5">
        <x:v>2023</x:v>
      </x:c>
      <x:c r="B354" s="5" t="s">
        <x:v>18</x:v>
      </x:c>
      <x:c r="C354" s="6" t="s">
        <x:v>19</x:v>
      </x:c>
      <x:c r="D354" s="5" t="s">
        <x:v>94</x:v>
      </x:c>
      <x:c r="E354" s="8">
        <x:v>37</x:v>
      </x:c>
      <x:c r="F354" s="8">
        <x:v>37</x:v>
      </x:c>
      <x:c r="G354" s="10">
        <x:v>13156727</x:v>
      </x:c>
      <x:c r="H354" s="8">
        <x:v>37</x:v>
      </x:c>
      <x:c r="I354" s="8">
        <x:v>37</x:v>
      </x:c>
      <x:c r="J354" s="10">
        <x:v>13156727</x:v>
      </x:c>
      <x:c r="K354" s="5" t="s">
        <x:v>83</x:v>
      </x:c>
      <x:c r="L354" s="5">
        <x:v>2670</x:v>
      </x:c>
    </x:row>
    <x:row r="355" ht="22" customHeight="1">
      <x:c r="A355" s="1">
        <x:v>2023</x:v>
      </x:c>
      <x:c r="B355" s="1" t="s">
        <x:v>18</x:v>
      </x:c>
      <x:c r="C355" s="7" t="s">
        <x:v>19</x:v>
      </x:c>
      <x:c r="D355" s="1" t="s">
        <x:v>95</x:v>
      </x:c>
      <x:c r="E355" s="9">
        <x:v>0</x:v>
      </x:c>
      <x:c r="F355" s="9">
        <x:v>0</x:v>
      </x:c>
      <x:c r="G355" s="11">
        <x:v>0</x:v>
      </x:c>
      <x:c r="H355" s="9">
        <x:v>0</x:v>
      </x:c>
      <x:c r="I355" s="9">
        <x:v>0</x:v>
      </x:c>
      <x:c r="J355" s="11">
        <x:v>0</x:v>
      </x:c>
      <x:c r="K355" s="1" t="s">
        <x:v>83</x:v>
      </x:c>
      <x:c r="L355" s="1">
        <x:v>2670</x:v>
      </x:c>
    </x:row>
    <x:row r="356" ht="22" customHeight="1">
      <x:c r="A356" s="5">
        <x:v>2023</x:v>
      </x:c>
      <x:c r="B356" s="5" t="s">
        <x:v>18</x:v>
      </x:c>
      <x:c r="C356" s="6" t="s">
        <x:v>19</x:v>
      </x:c>
      <x:c r="D356" s="5" t="s">
        <x:v>96</x:v>
      </x:c>
      <x:c r="E356" s="8">
        <x:v>0</x:v>
      </x:c>
      <x:c r="F356" s="8">
        <x:v>0</x:v>
      </x:c>
      <x:c r="G356" s="10">
        <x:v>0</x:v>
      </x:c>
      <x:c r="H356" s="8">
        <x:v>0</x:v>
      </x:c>
      <x:c r="I356" s="8">
        <x:v>0</x:v>
      </x:c>
      <x:c r="J356" s="10">
        <x:v>0</x:v>
      </x:c>
      <x:c r="K356" s="5" t="s">
        <x:v>83</x:v>
      </x:c>
      <x:c r="L356" s="5">
        <x:v>2670</x:v>
      </x:c>
    </x:row>
    <x:row r="357" ht="22" customHeight="1">
      <x:c r="A357" s="1">
        <x:v>2023</x:v>
      </x:c>
      <x:c r="B357" s="1" t="s">
        <x:v>18</x:v>
      </x:c>
      <x:c r="C357" s="7" t="s">
        <x:v>19</x:v>
      </x:c>
      <x:c r="D357" s="1" t="s">
        <x:v>97</x:v>
      </x:c>
      <x:c r="E357" s="9">
        <x:v>0</x:v>
      </x:c>
      <x:c r="F357" s="9">
        <x:v>0</x:v>
      </x:c>
      <x:c r="G357" s="11">
        <x:v>0</x:v>
      </x:c>
      <x:c r="H357" s="9">
        <x:v>0</x:v>
      </x:c>
      <x:c r="I357" s="9">
        <x:v>0</x:v>
      </x:c>
      <x:c r="J357" s="11">
        <x:v>0</x:v>
      </x:c>
      <x:c r="K357" s="1" t="s">
        <x:v>83</x:v>
      </x:c>
      <x:c r="L357" s="1">
        <x:v>2670</x:v>
      </x:c>
    </x:row>
    <x:row r="358" ht="22" customHeight="1">
      <x:c r="A358" s="5">
        <x:v>2023</x:v>
      </x:c>
      <x:c r="B358" s="5" t="s">
        <x:v>23</x:v>
      </x:c>
      <x:c r="C358" s="6" t="s">
        <x:v>24</x:v>
      </x:c>
      <x:c r="D358" s="5" t="s">
        <x:v>94</x:v>
      </x:c>
      <x:c r="E358" s="8">
        <x:v>238</x:v>
      </x:c>
      <x:c r="F358" s="8">
        <x:v>238</x:v>
      </x:c>
      <x:c r="G358" s="10">
        <x:v>70478792</x:v>
      </x:c>
      <x:c r="H358" s="8">
        <x:v>180</x:v>
      </x:c>
      <x:c r="I358" s="8">
        <x:v>180</x:v>
      </x:c>
      <x:c r="J358" s="10">
        <x:v>55845040</x:v>
      </x:c>
      <x:c r="K358" s="5" t="s">
        <x:v>83</x:v>
      </x:c>
      <x:c r="L358" s="5">
        <x:v>2671</x:v>
      </x:c>
    </x:row>
    <x:row r="359" ht="22" customHeight="1">
      <x:c r="A359" s="1">
        <x:v>2023</x:v>
      </x:c>
      <x:c r="B359" s="1" t="s">
        <x:v>23</x:v>
      </x:c>
      <x:c r="C359" s="7" t="s">
        <x:v>24</x:v>
      </x:c>
      <x:c r="D359" s="1" t="s">
        <x:v>95</x:v>
      </x:c>
      <x:c r="E359" s="9">
        <x:v>0</x:v>
      </x:c>
      <x:c r="F359" s="9">
        <x:v>0</x:v>
      </x:c>
      <x:c r="G359" s="11">
        <x:v>0</x:v>
      </x:c>
      <x:c r="H359" s="9">
        <x:v>0</x:v>
      </x:c>
      <x:c r="I359" s="9">
        <x:v>0</x:v>
      </x:c>
      <x:c r="J359" s="11">
        <x:v>0</x:v>
      </x:c>
      <x:c r="K359" s="1" t="s">
        <x:v>83</x:v>
      </x:c>
      <x:c r="L359" s="1">
        <x:v>2671</x:v>
      </x:c>
    </x:row>
    <x:row r="360" ht="22" customHeight="1">
      <x:c r="A360" s="5">
        <x:v>2023</x:v>
      </x:c>
      <x:c r="B360" s="5" t="s">
        <x:v>23</x:v>
      </x:c>
      <x:c r="C360" s="6" t="s">
        <x:v>24</x:v>
      </x:c>
      <x:c r="D360" s="5" t="s">
        <x:v>96</x:v>
      </x:c>
      <x:c r="E360" s="8">
        <x:v>1</x:v>
      </x:c>
      <x:c r="F360" s="8">
        <x:v>4</x:v>
      </x:c>
      <x:c r="G360" s="10">
        <x:v>686000</x:v>
      </x:c>
      <x:c r="H360" s="8">
        <x:v>4</x:v>
      </x:c>
      <x:c r="I360" s="8">
        <x:v>1</x:v>
      </x:c>
      <x:c r="J360" s="10">
        <x:v>686000</x:v>
      </x:c>
      <x:c r="K360" s="5" t="s">
        <x:v>83</x:v>
      </x:c>
      <x:c r="L360" s="5">
        <x:v>2671</x:v>
      </x:c>
    </x:row>
    <x:row r="361" ht="22" customHeight="1">
      <x:c r="A361" s="1">
        <x:v>2023</x:v>
      </x:c>
      <x:c r="B361" s="1" t="s">
        <x:v>23</x:v>
      </x:c>
      <x:c r="C361" s="7" t="s">
        <x:v>24</x:v>
      </x:c>
      <x:c r="D361" s="1" t="s">
        <x:v>97</x:v>
      </x:c>
      <x:c r="E361" s="9">
        <x:v>4</x:v>
      </x:c>
      <x:c r="F361" s="9">
        <x:v>28</x:v>
      </x:c>
      <x:c r="G361" s="11">
        <x:v>4015690</x:v>
      </x:c>
      <x:c r="H361" s="9">
        <x:v>28</x:v>
      </x:c>
      <x:c r="I361" s="9">
        <x:v>4</x:v>
      </x:c>
      <x:c r="J361" s="11">
        <x:v>4015690</x:v>
      </x:c>
      <x:c r="K361" s="1" t="s">
        <x:v>83</x:v>
      </x:c>
      <x:c r="L361" s="1">
        <x:v>2671</x:v>
      </x:c>
    </x:row>
    <x:row r="362" ht="22" customHeight="1">
      <x:c r="A362" s="5">
        <x:v>2023</x:v>
      </x:c>
      <x:c r="B362" s="5" t="s">
        <x:v>25</x:v>
      </x:c>
      <x:c r="C362" s="6" t="s">
        <x:v>26</x:v>
      </x:c>
      <x:c r="D362" s="5" t="s">
        <x:v>94</x:v>
      </x:c>
      <x:c r="E362" s="8">
        <x:v>610</x:v>
      </x:c>
      <x:c r="F362" s="8">
        <x:v>610</x:v>
      </x:c>
      <x:c r="G362" s="10">
        <x:v>249265902</x:v>
      </x:c>
      <x:c r="H362" s="8">
        <x:v>603</x:v>
      </x:c>
      <x:c r="I362" s="8">
        <x:v>603</x:v>
      </x:c>
      <x:c r="J362" s="10">
        <x:v>247278385</x:v>
      </x:c>
      <x:c r="K362" s="5" t="s">
        <x:v>83</x:v>
      </x:c>
      <x:c r="L362" s="5">
        <x:v>2672</x:v>
      </x:c>
    </x:row>
    <x:row r="363" ht="22" customHeight="1">
      <x:c r="A363" s="1">
        <x:v>2023</x:v>
      </x:c>
      <x:c r="B363" s="1" t="s">
        <x:v>25</x:v>
      </x:c>
      <x:c r="C363" s="7" t="s">
        <x:v>26</x:v>
      </x:c>
      <x:c r="D363" s="1" t="s">
        <x:v>95</x:v>
      </x:c>
      <x:c r="E363" s="9">
        <x:v>2</x:v>
      </x:c>
      <x:c r="F363" s="9">
        <x:v>4</x:v>
      </x:c>
      <x:c r="G363" s="11">
        <x:v>975760</x:v>
      </x:c>
      <x:c r="H363" s="9">
        <x:v>4</x:v>
      </x:c>
      <x:c r="I363" s="9">
        <x:v>2</x:v>
      </x:c>
      <x:c r="J363" s="11">
        <x:v>975760</x:v>
      </x:c>
      <x:c r="K363" s="1" t="s">
        <x:v>83</x:v>
      </x:c>
      <x:c r="L363" s="1">
        <x:v>2672</x:v>
      </x:c>
    </x:row>
    <x:row r="364" ht="22" customHeight="1">
      <x:c r="A364" s="5">
        <x:v>2023</x:v>
      </x:c>
      <x:c r="B364" s="5" t="s">
        <x:v>25</x:v>
      </x:c>
      <x:c r="C364" s="6" t="s">
        <x:v>26</x:v>
      </x:c>
      <x:c r="D364" s="5" t="s">
        <x:v>96</x:v>
      </x:c>
      <x:c r="E364" s="8">
        <x:v>1</x:v>
      </x:c>
      <x:c r="F364" s="8">
        <x:v>4</x:v>
      </x:c>
      <x:c r="G364" s="10">
        <x:v>856006</x:v>
      </x:c>
      <x:c r="H364" s="8">
        <x:v>4</x:v>
      </x:c>
      <x:c r="I364" s="8">
        <x:v>1</x:v>
      </x:c>
      <x:c r="J364" s="10">
        <x:v>856006</x:v>
      </x:c>
      <x:c r="K364" s="5" t="s">
        <x:v>83</x:v>
      </x:c>
      <x:c r="L364" s="5">
        <x:v>2672</x:v>
      </x:c>
    </x:row>
    <x:row r="365" ht="22" customHeight="1">
      <x:c r="A365" s="1">
        <x:v>2023</x:v>
      </x:c>
      <x:c r="B365" s="1" t="s">
        <x:v>25</x:v>
      </x:c>
      <x:c r="C365" s="7" t="s">
        <x:v>26</x:v>
      </x:c>
      <x:c r="D365" s="1" t="s">
        <x:v>97</x:v>
      </x:c>
      <x:c r="E365" s="9">
        <x:v>16</x:v>
      </x:c>
      <x:c r="F365" s="9">
        <x:v>339</x:v>
      </x:c>
      <x:c r="G365" s="11">
        <x:v>50221950</x:v>
      </x:c>
      <x:c r="H365" s="9">
        <x:v>339</x:v>
      </x:c>
      <x:c r="I365" s="9">
        <x:v>16</x:v>
      </x:c>
      <x:c r="J365" s="11">
        <x:v>50221950</x:v>
      </x:c>
      <x:c r="K365" s="1" t="s">
        <x:v>83</x:v>
      </x:c>
      <x:c r="L365" s="1">
        <x:v>2672</x:v>
      </x:c>
    </x:row>
    <x:row r="366" ht="22" customHeight="1">
      <x:c r="A366" s="5">
        <x:v>2023</x:v>
      </x:c>
      <x:c r="B366" s="5" t="s">
        <x:v>27</x:v>
      </x:c>
      <x:c r="C366" s="6" t="s">
        <x:v>28</x:v>
      </x:c>
      <x:c r="D366" s="5" t="s">
        <x:v>94</x:v>
      </x:c>
      <x:c r="E366" s="8">
        <x:v>41</x:v>
      </x:c>
      <x:c r="F366" s="8">
        <x:v>41</x:v>
      </x:c>
      <x:c r="G366" s="10">
        <x:v>17619642</x:v>
      </x:c>
      <x:c r="H366" s="8">
        <x:v>41</x:v>
      </x:c>
      <x:c r="I366" s="8">
        <x:v>41</x:v>
      </x:c>
      <x:c r="J366" s="10">
        <x:v>17619642</x:v>
      </x:c>
      <x:c r="K366" s="5" t="s">
        <x:v>83</x:v>
      </x:c>
      <x:c r="L366" s="5">
        <x:v>2673</x:v>
      </x:c>
    </x:row>
    <x:row r="367" ht="22" customHeight="1">
      <x:c r="A367" s="1">
        <x:v>2023</x:v>
      </x:c>
      <x:c r="B367" s="1" t="s">
        <x:v>27</x:v>
      </x:c>
      <x:c r="C367" s="7" t="s">
        <x:v>28</x:v>
      </x:c>
      <x:c r="D367" s="1" t="s">
        <x:v>95</x:v>
      </x:c>
      <x:c r="E367" s="9">
        <x:v>0</x:v>
      </x:c>
      <x:c r="F367" s="9">
        <x:v>0</x:v>
      </x:c>
      <x:c r="G367" s="11">
        <x:v>0</x:v>
      </x:c>
      <x:c r="H367" s="9">
        <x:v>0</x:v>
      </x:c>
      <x:c r="I367" s="9">
        <x:v>0</x:v>
      </x:c>
      <x:c r="J367" s="11">
        <x:v>0</x:v>
      </x:c>
      <x:c r="K367" s="1" t="s">
        <x:v>83</x:v>
      </x:c>
      <x:c r="L367" s="1">
        <x:v>2673</x:v>
      </x:c>
    </x:row>
    <x:row r="368" ht="22" customHeight="1">
      <x:c r="A368" s="5">
        <x:v>2023</x:v>
      </x:c>
      <x:c r="B368" s="5" t="s">
        <x:v>27</x:v>
      </x:c>
      <x:c r="C368" s="6" t="s">
        <x:v>28</x:v>
      </x:c>
      <x:c r="D368" s="5" t="s">
        <x:v>96</x:v>
      </x:c>
      <x:c r="E368" s="8">
        <x:v>0</x:v>
      </x:c>
      <x:c r="F368" s="8">
        <x:v>0</x:v>
      </x:c>
      <x:c r="G368" s="10">
        <x:v>0</x:v>
      </x:c>
      <x:c r="H368" s="8">
        <x:v>0</x:v>
      </x:c>
      <x:c r="I368" s="8">
        <x:v>0</x:v>
      </x:c>
      <x:c r="J368" s="10">
        <x:v>0</x:v>
      </x:c>
      <x:c r="K368" s="5" t="s">
        <x:v>83</x:v>
      </x:c>
      <x:c r="L368" s="5">
        <x:v>2673</x:v>
      </x:c>
    </x:row>
    <x:row r="369" ht="22" customHeight="1">
      <x:c r="A369" s="1">
        <x:v>2023</x:v>
      </x:c>
      <x:c r="B369" s="1" t="s">
        <x:v>27</x:v>
      </x:c>
      <x:c r="C369" s="7" t="s">
        <x:v>28</x:v>
      </x:c>
      <x:c r="D369" s="1" t="s">
        <x:v>97</x:v>
      </x:c>
      <x:c r="E369" s="9">
        <x:v>0</x:v>
      </x:c>
      <x:c r="F369" s="9">
        <x:v>0</x:v>
      </x:c>
      <x:c r="G369" s="11">
        <x:v>0</x:v>
      </x:c>
      <x:c r="H369" s="9">
        <x:v>0</x:v>
      </x:c>
      <x:c r="I369" s="9">
        <x:v>0</x:v>
      </x:c>
      <x:c r="J369" s="11">
        <x:v>0</x:v>
      </x:c>
      <x:c r="K369" s="1" t="s">
        <x:v>83</x:v>
      </x:c>
      <x:c r="L369" s="1">
        <x:v>2673</x:v>
      </x:c>
    </x:row>
    <x:row r="370" ht="22" customHeight="1">
      <x:c r="A370" s="5">
        <x:v>2023</x:v>
      </x:c>
      <x:c r="B370" s="5" t="s">
        <x:v>29</x:v>
      </x:c>
      <x:c r="C370" s="6" t="s">
        <x:v>30</x:v>
      </x:c>
      <x:c r="D370" s="5" t="s">
        <x:v>94</x:v>
      </x:c>
      <x:c r="E370" s="8">
        <x:v>20</x:v>
      </x:c>
      <x:c r="F370" s="8">
        <x:v>20</x:v>
      </x:c>
      <x:c r="G370" s="10">
        <x:v>6428722</x:v>
      </x:c>
      <x:c r="H370" s="8">
        <x:v>11</x:v>
      </x:c>
      <x:c r="I370" s="8">
        <x:v>11</x:v>
      </x:c>
      <x:c r="J370" s="10">
        <x:v>4157006</x:v>
      </x:c>
      <x:c r="K370" s="5" t="s">
        <x:v>83</x:v>
      </x:c>
      <x:c r="L370" s="5">
        <x:v>2674</x:v>
      </x:c>
    </x:row>
    <x:row r="371" ht="22" customHeight="1">
      <x:c r="A371" s="1">
        <x:v>2023</x:v>
      </x:c>
      <x:c r="B371" s="1" t="s">
        <x:v>29</x:v>
      </x:c>
      <x:c r="C371" s="7" t="s">
        <x:v>30</x:v>
      </x:c>
      <x:c r="D371" s="1" t="s">
        <x:v>95</x:v>
      </x:c>
      <x:c r="E371" s="9">
        <x:v>0</x:v>
      </x:c>
      <x:c r="F371" s="9">
        <x:v>0</x:v>
      </x:c>
      <x:c r="G371" s="11">
        <x:v>0</x:v>
      </x:c>
      <x:c r="H371" s="9">
        <x:v>0</x:v>
      </x:c>
      <x:c r="I371" s="9">
        <x:v>0</x:v>
      </x:c>
      <x:c r="J371" s="11">
        <x:v>0</x:v>
      </x:c>
      <x:c r="K371" s="1" t="s">
        <x:v>83</x:v>
      </x:c>
      <x:c r="L371" s="1">
        <x:v>2674</x:v>
      </x:c>
    </x:row>
    <x:row r="372" ht="22" customHeight="1">
      <x:c r="A372" s="5">
        <x:v>2023</x:v>
      </x:c>
      <x:c r="B372" s="5" t="s">
        <x:v>29</x:v>
      </x:c>
      <x:c r="C372" s="6" t="s">
        <x:v>30</x:v>
      </x:c>
      <x:c r="D372" s="5" t="s">
        <x:v>96</x:v>
      </x:c>
      <x:c r="E372" s="8">
        <x:v>0</x:v>
      </x:c>
      <x:c r="F372" s="8">
        <x:v>0</x:v>
      </x:c>
      <x:c r="G372" s="10">
        <x:v>0</x:v>
      </x:c>
      <x:c r="H372" s="8">
        <x:v>0</x:v>
      </x:c>
      <x:c r="I372" s="8">
        <x:v>0</x:v>
      </x:c>
      <x:c r="J372" s="10">
        <x:v>0</x:v>
      </x:c>
      <x:c r="K372" s="5" t="s">
        <x:v>83</x:v>
      </x:c>
      <x:c r="L372" s="5">
        <x:v>2674</x:v>
      </x:c>
    </x:row>
    <x:row r="373" ht="22" customHeight="1">
      <x:c r="A373" s="1">
        <x:v>2023</x:v>
      </x:c>
      <x:c r="B373" s="1" t="s">
        <x:v>29</x:v>
      </x:c>
      <x:c r="C373" s="7" t="s">
        <x:v>30</x:v>
      </x:c>
      <x:c r="D373" s="1" t="s">
        <x:v>97</x:v>
      </x:c>
      <x:c r="E373" s="9">
        <x:v>0</x:v>
      </x:c>
      <x:c r="F373" s="9">
        <x:v>0</x:v>
      </x:c>
      <x:c r="G373" s="11">
        <x:v>0</x:v>
      </x:c>
      <x:c r="H373" s="9">
        <x:v>0</x:v>
      </x:c>
      <x:c r="I373" s="9">
        <x:v>0</x:v>
      </x:c>
      <x:c r="J373" s="11">
        <x:v>0</x:v>
      </x:c>
      <x:c r="K373" s="1" t="s">
        <x:v>83</x:v>
      </x:c>
      <x:c r="L373" s="1">
        <x:v>2674</x:v>
      </x:c>
    </x:row>
    <x:row r="374" ht="22" customHeight="1">
      <x:c r="A374" s="5">
        <x:v>2023</x:v>
      </x:c>
      <x:c r="B374" s="5" t="s">
        <x:v>31</x:v>
      </x:c>
      <x:c r="C374" s="6" t="s">
        <x:v>32</x:v>
      </x:c>
      <x:c r="D374" s="5" t="s">
        <x:v>94</x:v>
      </x:c>
      <x:c r="E374" s="8">
        <x:v>684</x:v>
      </x:c>
      <x:c r="F374" s="8">
        <x:v>684</x:v>
      </x:c>
      <x:c r="G374" s="10">
        <x:v>230901338</x:v>
      </x:c>
      <x:c r="H374" s="8">
        <x:v>683</x:v>
      </x:c>
      <x:c r="I374" s="8">
        <x:v>683</x:v>
      </x:c>
      <x:c r="J374" s="10">
        <x:v>230502297</x:v>
      </x:c>
      <x:c r="K374" s="5" t="s">
        <x:v>83</x:v>
      </x:c>
      <x:c r="L374" s="5">
        <x:v>2675</x:v>
      </x:c>
    </x:row>
    <x:row r="375" ht="22" customHeight="1">
      <x:c r="A375" s="1">
        <x:v>2023</x:v>
      </x:c>
      <x:c r="B375" s="1" t="s">
        <x:v>31</x:v>
      </x:c>
      <x:c r="C375" s="7" t="s">
        <x:v>32</x:v>
      </x:c>
      <x:c r="D375" s="1" t="s">
        <x:v>95</x:v>
      </x:c>
      <x:c r="E375" s="9">
        <x:v>0</x:v>
      </x:c>
      <x:c r="F375" s="9">
        <x:v>0</x:v>
      </x:c>
      <x:c r="G375" s="11">
        <x:v>0</x:v>
      </x:c>
      <x:c r="H375" s="9">
        <x:v>0</x:v>
      </x:c>
      <x:c r="I375" s="9">
        <x:v>0</x:v>
      </x:c>
      <x:c r="J375" s="11">
        <x:v>0</x:v>
      </x:c>
      <x:c r="K375" s="1" t="s">
        <x:v>83</x:v>
      </x:c>
      <x:c r="L375" s="1">
        <x:v>2675</x:v>
      </x:c>
    </x:row>
    <x:row r="376" ht="22" customHeight="1">
      <x:c r="A376" s="5">
        <x:v>2023</x:v>
      </x:c>
      <x:c r="B376" s="5" t="s">
        <x:v>31</x:v>
      </x:c>
      <x:c r="C376" s="6" t="s">
        <x:v>32</x:v>
      </x:c>
      <x:c r="D376" s="5" t="s">
        <x:v>96</x:v>
      </x:c>
      <x:c r="E376" s="8">
        <x:v>9</x:v>
      </x:c>
      <x:c r="F376" s="8">
        <x:v>35</x:v>
      </x:c>
      <x:c r="G376" s="10">
        <x:v>8367438</x:v>
      </x:c>
      <x:c r="H376" s="8">
        <x:v>35</x:v>
      </x:c>
      <x:c r="I376" s="8">
        <x:v>9</x:v>
      </x:c>
      <x:c r="J376" s="10">
        <x:v>8367438</x:v>
      </x:c>
      <x:c r="K376" s="5" t="s">
        <x:v>83</x:v>
      </x:c>
      <x:c r="L376" s="5">
        <x:v>2675</x:v>
      </x:c>
    </x:row>
    <x:row r="377" ht="22" customHeight="1">
      <x:c r="A377" s="1">
        <x:v>2023</x:v>
      </x:c>
      <x:c r="B377" s="1" t="s">
        <x:v>31</x:v>
      </x:c>
      <x:c r="C377" s="7" t="s">
        <x:v>32</x:v>
      </x:c>
      <x:c r="D377" s="1" t="s">
        <x:v>97</x:v>
      </x:c>
      <x:c r="E377" s="9">
        <x:v>59</x:v>
      </x:c>
      <x:c r="F377" s="9">
        <x:v>828</x:v>
      </x:c>
      <x:c r="G377" s="11">
        <x:v>135197135</x:v>
      </x:c>
      <x:c r="H377" s="9">
        <x:v>828</x:v>
      </x:c>
      <x:c r="I377" s="9">
        <x:v>59</x:v>
      </x:c>
      <x:c r="J377" s="11">
        <x:v>135197135</x:v>
      </x:c>
      <x:c r="K377" s="1" t="s">
        <x:v>83</x:v>
      </x:c>
      <x:c r="L377" s="1">
        <x:v>2675</x:v>
      </x:c>
    </x:row>
    <x:row r="378" ht="22" customHeight="1">
      <x:c r="A378" s="5">
        <x:v>2023</x:v>
      </x:c>
      <x:c r="B378" s="5" t="s">
        <x:v>33</x:v>
      </x:c>
      <x:c r="C378" s="6" t="s">
        <x:v>34</x:v>
      </x:c>
      <x:c r="D378" s="5" t="s">
        <x:v>94</x:v>
      </x:c>
      <x:c r="E378" s="8">
        <x:v>107</x:v>
      </x:c>
      <x:c r="F378" s="8">
        <x:v>107</x:v>
      </x:c>
      <x:c r="G378" s="10">
        <x:v>33485287</x:v>
      </x:c>
      <x:c r="H378" s="8">
        <x:v>58</x:v>
      </x:c>
      <x:c r="I378" s="8">
        <x:v>58</x:v>
      </x:c>
      <x:c r="J378" s="10">
        <x:v>22887898</x:v>
      </x:c>
      <x:c r="K378" s="5" t="s">
        <x:v>83</x:v>
      </x:c>
      <x:c r="L378" s="5">
        <x:v>2676</x:v>
      </x:c>
    </x:row>
    <x:row r="379" ht="22" customHeight="1">
      <x:c r="A379" s="1">
        <x:v>2023</x:v>
      </x:c>
      <x:c r="B379" s="1" t="s">
        <x:v>33</x:v>
      </x:c>
      <x:c r="C379" s="7" t="s">
        <x:v>34</x:v>
      </x:c>
      <x:c r="D379" s="1" t="s">
        <x:v>95</x:v>
      </x:c>
      <x:c r="E379" s="9">
        <x:v>0</x:v>
      </x:c>
      <x:c r="F379" s="9">
        <x:v>0</x:v>
      </x:c>
      <x:c r="G379" s="11">
        <x:v>0</x:v>
      </x:c>
      <x:c r="H379" s="9">
        <x:v>0</x:v>
      </x:c>
      <x:c r="I379" s="9">
        <x:v>0</x:v>
      </x:c>
      <x:c r="J379" s="11">
        <x:v>0</x:v>
      </x:c>
      <x:c r="K379" s="1" t="s">
        <x:v>83</x:v>
      </x:c>
      <x:c r="L379" s="1">
        <x:v>2676</x:v>
      </x:c>
    </x:row>
    <x:row r="380" ht="22" customHeight="1">
      <x:c r="A380" s="5">
        <x:v>2023</x:v>
      </x:c>
      <x:c r="B380" s="5" t="s">
        <x:v>33</x:v>
      </x:c>
      <x:c r="C380" s="6" t="s">
        <x:v>34</x:v>
      </x:c>
      <x:c r="D380" s="5" t="s">
        <x:v>96</x:v>
      </x:c>
      <x:c r="E380" s="8">
        <x:v>2</x:v>
      </x:c>
      <x:c r="F380" s="8">
        <x:v>6</x:v>
      </x:c>
      <x:c r="G380" s="10">
        <x:v>428286</x:v>
      </x:c>
      <x:c r="H380" s="8">
        <x:v>0</x:v>
      </x:c>
      <x:c r="I380" s="8">
        <x:v>0</x:v>
      </x:c>
      <x:c r="J380" s="10">
        <x:v>0</x:v>
      </x:c>
      <x:c r="K380" s="5" t="s">
        <x:v>83</x:v>
      </x:c>
      <x:c r="L380" s="5">
        <x:v>2676</x:v>
      </x:c>
    </x:row>
    <x:row r="381" ht="22" customHeight="1">
      <x:c r="A381" s="1">
        <x:v>2023</x:v>
      </x:c>
      <x:c r="B381" s="1" t="s">
        <x:v>33</x:v>
      </x:c>
      <x:c r="C381" s="7" t="s">
        <x:v>34</x:v>
      </x:c>
      <x:c r="D381" s="1" t="s">
        <x:v>97</x:v>
      </x:c>
      <x:c r="E381" s="9">
        <x:v>0</x:v>
      </x:c>
      <x:c r="F381" s="9">
        <x:v>0</x:v>
      </x:c>
      <x:c r="G381" s="11">
        <x:v>0</x:v>
      </x:c>
      <x:c r="H381" s="9">
        <x:v>0</x:v>
      </x:c>
      <x:c r="I381" s="9">
        <x:v>0</x:v>
      </x:c>
      <x:c r="J381" s="11">
        <x:v>0</x:v>
      </x:c>
      <x:c r="K381" s="1" t="s">
        <x:v>83</x:v>
      </x:c>
      <x:c r="L381" s="1">
        <x:v>2676</x:v>
      </x:c>
    </x:row>
    <x:row r="382" ht="22" customHeight="1">
      <x:c r="A382" s="5">
        <x:v>2023</x:v>
      </x:c>
      <x:c r="B382" s="5" t="s">
        <x:v>35</x:v>
      </x:c>
      <x:c r="C382" s="6" t="s">
        <x:v>36</x:v>
      </x:c>
      <x:c r="D382" s="5" t="s">
        <x:v>94</x:v>
      </x:c>
      <x:c r="E382" s="8">
        <x:v>43</x:v>
      </x:c>
      <x:c r="F382" s="8">
        <x:v>43</x:v>
      </x:c>
      <x:c r="G382" s="10">
        <x:v>5246385</x:v>
      </x:c>
      <x:c r="H382" s="8">
        <x:v>43</x:v>
      </x:c>
      <x:c r="I382" s="8">
        <x:v>43</x:v>
      </x:c>
      <x:c r="J382" s="10">
        <x:v>5246385</x:v>
      </x:c>
      <x:c r="K382" s="5" t="s">
        <x:v>83</x:v>
      </x:c>
      <x:c r="L382" s="5">
        <x:v>2677</x:v>
      </x:c>
    </x:row>
    <x:row r="383" ht="22" customHeight="1">
      <x:c r="A383" s="1">
        <x:v>2023</x:v>
      </x:c>
      <x:c r="B383" s="1" t="s">
        <x:v>35</x:v>
      </x:c>
      <x:c r="C383" s="7" t="s">
        <x:v>36</x:v>
      </x:c>
      <x:c r="D383" s="1" t="s">
        <x:v>95</x:v>
      </x:c>
      <x:c r="E383" s="9">
        <x:v>0</x:v>
      </x:c>
      <x:c r="F383" s="9">
        <x:v>0</x:v>
      </x:c>
      <x:c r="G383" s="11">
        <x:v>0</x:v>
      </x:c>
      <x:c r="H383" s="9">
        <x:v>0</x:v>
      </x:c>
      <x:c r="I383" s="9">
        <x:v>0</x:v>
      </x:c>
      <x:c r="J383" s="11">
        <x:v>0</x:v>
      </x:c>
      <x:c r="K383" s="1" t="s">
        <x:v>83</x:v>
      </x:c>
      <x:c r="L383" s="1">
        <x:v>2677</x:v>
      </x:c>
    </x:row>
    <x:row r="384" ht="22" customHeight="1">
      <x:c r="A384" s="5">
        <x:v>2023</x:v>
      </x:c>
      <x:c r="B384" s="5" t="s">
        <x:v>35</x:v>
      </x:c>
      <x:c r="C384" s="6" t="s">
        <x:v>36</x:v>
      </x:c>
      <x:c r="D384" s="5" t="s">
        <x:v>96</x:v>
      </x:c>
      <x:c r="E384" s="8">
        <x:v>0</x:v>
      </x:c>
      <x:c r="F384" s="8">
        <x:v>0</x:v>
      </x:c>
      <x:c r="G384" s="10">
        <x:v>0</x:v>
      </x:c>
      <x:c r="H384" s="8">
        <x:v>0</x:v>
      </x:c>
      <x:c r="I384" s="8">
        <x:v>0</x:v>
      </x:c>
      <x:c r="J384" s="10">
        <x:v>0</x:v>
      </x:c>
      <x:c r="K384" s="5" t="s">
        <x:v>83</x:v>
      </x:c>
      <x:c r="L384" s="5">
        <x:v>2677</x:v>
      </x:c>
    </x:row>
    <x:row r="385" ht="22" customHeight="1">
      <x:c r="A385" s="1">
        <x:v>2023</x:v>
      </x:c>
      <x:c r="B385" s="1" t="s">
        <x:v>35</x:v>
      </x:c>
      <x:c r="C385" s="7" t="s">
        <x:v>36</x:v>
      </x:c>
      <x:c r="D385" s="1" t="s">
        <x:v>97</x:v>
      </x:c>
      <x:c r="E385" s="9">
        <x:v>2</x:v>
      </x:c>
      <x:c r="F385" s="9">
        <x:v>12</x:v>
      </x:c>
      <x:c r="G385" s="11">
        <x:v>5908120</x:v>
      </x:c>
      <x:c r="H385" s="9">
        <x:v>12</x:v>
      </x:c>
      <x:c r="I385" s="9">
        <x:v>2</x:v>
      </x:c>
      <x:c r="J385" s="11">
        <x:v>5908120</x:v>
      </x:c>
      <x:c r="K385" s="1" t="s">
        <x:v>83</x:v>
      </x:c>
      <x:c r="L385" s="1">
        <x:v>2677</x:v>
      </x:c>
    </x:row>
    <x:row r="386" ht="22" customHeight="1">
      <x:c r="A386" s="5">
        <x:v>2023</x:v>
      </x:c>
      <x:c r="B386" s="5" t="s">
        <x:v>37</x:v>
      </x:c>
      <x:c r="C386" s="6" t="s">
        <x:v>38</x:v>
      </x:c>
      <x:c r="D386" s="5" t="s">
        <x:v>94</x:v>
      </x:c>
      <x:c r="E386" s="8">
        <x:v>45</x:v>
      </x:c>
      <x:c r="F386" s="8">
        <x:v>45</x:v>
      </x:c>
      <x:c r="G386" s="10">
        <x:v>16304082</x:v>
      </x:c>
      <x:c r="H386" s="8">
        <x:v>45</x:v>
      </x:c>
      <x:c r="I386" s="8">
        <x:v>45</x:v>
      </x:c>
      <x:c r="J386" s="10">
        <x:v>16304082</x:v>
      </x:c>
      <x:c r="K386" s="5" t="s">
        <x:v>83</x:v>
      </x:c>
      <x:c r="L386" s="5">
        <x:v>2678</x:v>
      </x:c>
    </x:row>
    <x:row r="387" ht="22" customHeight="1">
      <x:c r="A387" s="1">
        <x:v>2023</x:v>
      </x:c>
      <x:c r="B387" s="1" t="s">
        <x:v>37</x:v>
      </x:c>
      <x:c r="C387" s="7" t="s">
        <x:v>38</x:v>
      </x:c>
      <x:c r="D387" s="1" t="s">
        <x:v>95</x:v>
      </x:c>
      <x:c r="E387" s="9">
        <x:v>0</x:v>
      </x:c>
      <x:c r="F387" s="9">
        <x:v>0</x:v>
      </x:c>
      <x:c r="G387" s="11">
        <x:v>0</x:v>
      </x:c>
      <x:c r="H387" s="9">
        <x:v>0</x:v>
      </x:c>
      <x:c r="I387" s="9">
        <x:v>0</x:v>
      </x:c>
      <x:c r="J387" s="11">
        <x:v>0</x:v>
      </x:c>
      <x:c r="K387" s="1" t="s">
        <x:v>83</x:v>
      </x:c>
      <x:c r="L387" s="1">
        <x:v>2678</x:v>
      </x:c>
    </x:row>
    <x:row r="388" ht="22" customHeight="1">
      <x:c r="A388" s="5">
        <x:v>2023</x:v>
      </x:c>
      <x:c r="B388" s="5" t="s">
        <x:v>37</x:v>
      </x:c>
      <x:c r="C388" s="6" t="s">
        <x:v>38</x:v>
      </x:c>
      <x:c r="D388" s="5" t="s">
        <x:v>96</x:v>
      </x:c>
      <x:c r="E388" s="8">
        <x:v>0</x:v>
      </x:c>
      <x:c r="F388" s="8">
        <x:v>0</x:v>
      </x:c>
      <x:c r="G388" s="10">
        <x:v>0</x:v>
      </x:c>
      <x:c r="H388" s="8">
        <x:v>0</x:v>
      </x:c>
      <x:c r="I388" s="8">
        <x:v>0</x:v>
      </x:c>
      <x:c r="J388" s="10">
        <x:v>0</x:v>
      </x:c>
      <x:c r="K388" s="5" t="s">
        <x:v>83</x:v>
      </x:c>
      <x:c r="L388" s="5">
        <x:v>2678</x:v>
      </x:c>
    </x:row>
    <x:row r="389" ht="22" customHeight="1">
      <x:c r="A389" s="1">
        <x:v>2023</x:v>
      </x:c>
      <x:c r="B389" s="1" t="s">
        <x:v>37</x:v>
      </x:c>
      <x:c r="C389" s="7" t="s">
        <x:v>38</x:v>
      </x:c>
      <x:c r="D389" s="1" t="s">
        <x:v>97</x:v>
      </x:c>
      <x:c r="E389" s="9">
        <x:v>1</x:v>
      </x:c>
      <x:c r="F389" s="9">
        <x:v>8</x:v>
      </x:c>
      <x:c r="G389" s="11">
        <x:v>729390</x:v>
      </x:c>
      <x:c r="H389" s="9">
        <x:v>8</x:v>
      </x:c>
      <x:c r="I389" s="9">
        <x:v>1</x:v>
      </x:c>
      <x:c r="J389" s="11">
        <x:v>729390</x:v>
      </x:c>
      <x:c r="K389" s="1" t="s">
        <x:v>83</x:v>
      </x:c>
      <x:c r="L389" s="1">
        <x:v>2678</x:v>
      </x:c>
    </x:row>
    <x:row r="390" ht="22" customHeight="1">
      <x:c r="A390" s="5">
        <x:v>2023</x:v>
      </x:c>
      <x:c r="B390" s="5" t="s">
        <x:v>39</x:v>
      </x:c>
      <x:c r="C390" s="6" t="s">
        <x:v>40</x:v>
      </x:c>
      <x:c r="D390" s="5" t="s">
        <x:v>94</x:v>
      </x:c>
      <x:c r="E390" s="8">
        <x:v>55</x:v>
      </x:c>
      <x:c r="F390" s="8">
        <x:v>55</x:v>
      </x:c>
      <x:c r="G390" s="10">
        <x:v>18337013</x:v>
      </x:c>
      <x:c r="H390" s="8">
        <x:v>55</x:v>
      </x:c>
      <x:c r="I390" s="8">
        <x:v>55</x:v>
      </x:c>
      <x:c r="J390" s="10">
        <x:v>18337013</x:v>
      </x:c>
      <x:c r="K390" s="5" t="s">
        <x:v>83</x:v>
      </x:c>
      <x:c r="L390" s="5">
        <x:v>2679</x:v>
      </x:c>
    </x:row>
    <x:row r="391" ht="22" customHeight="1">
      <x:c r="A391" s="1">
        <x:v>2023</x:v>
      </x:c>
      <x:c r="B391" s="1" t="s">
        <x:v>39</x:v>
      </x:c>
      <x:c r="C391" s="7" t="s">
        <x:v>40</x:v>
      </x:c>
      <x:c r="D391" s="1" t="s">
        <x:v>95</x:v>
      </x:c>
      <x:c r="E391" s="9">
        <x:v>5</x:v>
      </x:c>
      <x:c r="F391" s="9">
        <x:v>10</x:v>
      </x:c>
      <x:c r="G391" s="11">
        <x:v>1283234</x:v>
      </x:c>
      <x:c r="H391" s="9">
        <x:v>10</x:v>
      </x:c>
      <x:c r="I391" s="9">
        <x:v>5</x:v>
      </x:c>
      <x:c r="J391" s="11">
        <x:v>1283234</x:v>
      </x:c>
      <x:c r="K391" s="1" t="s">
        <x:v>83</x:v>
      </x:c>
      <x:c r="L391" s="1">
        <x:v>2679</x:v>
      </x:c>
    </x:row>
    <x:row r="392" ht="22" customHeight="1">
      <x:c r="A392" s="5">
        <x:v>2023</x:v>
      </x:c>
      <x:c r="B392" s="5" t="s">
        <x:v>39</x:v>
      </x:c>
      <x:c r="C392" s="6" t="s">
        <x:v>40</x:v>
      </x:c>
      <x:c r="D392" s="5" t="s">
        <x:v>96</x:v>
      </x:c>
      <x:c r="E392" s="8">
        <x:v>2</x:v>
      </x:c>
      <x:c r="F392" s="8">
        <x:v>8</x:v>
      </x:c>
      <x:c r="G392" s="10">
        <x:v>593894</x:v>
      </x:c>
      <x:c r="H392" s="8">
        <x:v>8</x:v>
      </x:c>
      <x:c r="I392" s="8">
        <x:v>2</x:v>
      </x:c>
      <x:c r="J392" s="10">
        <x:v>593894</x:v>
      </x:c>
      <x:c r="K392" s="5" t="s">
        <x:v>83</x:v>
      </x:c>
      <x:c r="L392" s="5">
        <x:v>2679</x:v>
      </x:c>
    </x:row>
    <x:row r="393" ht="22" customHeight="1">
      <x:c r="A393" s="1">
        <x:v>2023</x:v>
      </x:c>
      <x:c r="B393" s="1" t="s">
        <x:v>39</x:v>
      </x:c>
      <x:c r="C393" s="7" t="s">
        <x:v>40</x:v>
      </x:c>
      <x:c r="D393" s="1" t="s">
        <x:v>97</x:v>
      </x:c>
      <x:c r="E393" s="9">
        <x:v>1</x:v>
      </x:c>
      <x:c r="F393" s="9">
        <x:v>9</x:v>
      </x:c>
      <x:c r="G393" s="11">
        <x:v>1649236</x:v>
      </x:c>
      <x:c r="H393" s="9">
        <x:v>9</x:v>
      </x:c>
      <x:c r="I393" s="9">
        <x:v>1</x:v>
      </x:c>
      <x:c r="J393" s="11">
        <x:v>1649236</x:v>
      </x:c>
      <x:c r="K393" s="1" t="s">
        <x:v>83</x:v>
      </x:c>
      <x:c r="L393" s="1">
        <x:v>2679</x:v>
      </x:c>
    </x:row>
    <x:row r="394" ht="22" customHeight="1">
      <x:c r="A394" s="5">
        <x:v>2023</x:v>
      </x:c>
      <x:c r="B394" s="5" t="s">
        <x:v>41</x:v>
      </x:c>
      <x:c r="C394" s="6" t="s">
        <x:v>42</x:v>
      </x:c>
      <x:c r="D394" s="5" t="s">
        <x:v>94</x:v>
      </x:c>
      <x:c r="E394" s="8">
        <x:v>460</x:v>
      </x:c>
      <x:c r="F394" s="8">
        <x:v>460</x:v>
      </x:c>
      <x:c r="G394" s="10">
        <x:v>129784356</x:v>
      </x:c>
      <x:c r="H394" s="8">
        <x:v>460</x:v>
      </x:c>
      <x:c r="I394" s="8">
        <x:v>460</x:v>
      </x:c>
      <x:c r="J394" s="10">
        <x:v>129784356</x:v>
      </x:c>
      <x:c r="K394" s="5" t="s">
        <x:v>83</x:v>
      </x:c>
      <x:c r="L394" s="5">
        <x:v>2680</x:v>
      </x:c>
    </x:row>
    <x:row r="395" ht="22" customHeight="1">
      <x:c r="A395" s="1">
        <x:v>2023</x:v>
      </x:c>
      <x:c r="B395" s="1" t="s">
        <x:v>41</x:v>
      </x:c>
      <x:c r="C395" s="7" t="s">
        <x:v>42</x:v>
      </x:c>
      <x:c r="D395" s="1" t="s">
        <x:v>95</x:v>
      </x:c>
      <x:c r="E395" s="9">
        <x:v>0</x:v>
      </x:c>
      <x:c r="F395" s="9">
        <x:v>0</x:v>
      </x:c>
      <x:c r="G395" s="11">
        <x:v>0</x:v>
      </x:c>
      <x:c r="H395" s="9">
        <x:v>0</x:v>
      </x:c>
      <x:c r="I395" s="9">
        <x:v>0</x:v>
      </x:c>
      <x:c r="J395" s="11">
        <x:v>0</x:v>
      </x:c>
      <x:c r="K395" s="1" t="s">
        <x:v>83</x:v>
      </x:c>
      <x:c r="L395" s="1">
        <x:v>2680</x:v>
      </x:c>
    </x:row>
    <x:row r="396" ht="22" customHeight="1">
      <x:c r="A396" s="5">
        <x:v>2023</x:v>
      </x:c>
      <x:c r="B396" s="5" t="s">
        <x:v>41</x:v>
      </x:c>
      <x:c r="C396" s="6" t="s">
        <x:v>42</x:v>
      </x:c>
      <x:c r="D396" s="5" t="s">
        <x:v>96</x:v>
      </x:c>
      <x:c r="E396" s="8">
        <x:v>0</x:v>
      </x:c>
      <x:c r="F396" s="8">
        <x:v>0</x:v>
      </x:c>
      <x:c r="G396" s="10">
        <x:v>0</x:v>
      </x:c>
      <x:c r="H396" s="8">
        <x:v>0</x:v>
      </x:c>
      <x:c r="I396" s="8">
        <x:v>0</x:v>
      </x:c>
      <x:c r="J396" s="10">
        <x:v>0</x:v>
      </x:c>
      <x:c r="K396" s="5" t="s">
        <x:v>83</x:v>
      </x:c>
      <x:c r="L396" s="5">
        <x:v>2680</x:v>
      </x:c>
    </x:row>
    <x:row r="397" ht="22" customHeight="1">
      <x:c r="A397" s="1">
        <x:v>2023</x:v>
      </x:c>
      <x:c r="B397" s="1" t="s">
        <x:v>41</x:v>
      </x:c>
      <x:c r="C397" s="7" t="s">
        <x:v>42</x:v>
      </x:c>
      <x:c r="D397" s="1" t="s">
        <x:v>97</x:v>
      </x:c>
      <x:c r="E397" s="9">
        <x:v>0</x:v>
      </x:c>
      <x:c r="F397" s="9">
        <x:v>0</x:v>
      </x:c>
      <x:c r="G397" s="11">
        <x:v>0</x:v>
      </x:c>
      <x:c r="H397" s="9">
        <x:v>0</x:v>
      </x:c>
      <x:c r="I397" s="9">
        <x:v>0</x:v>
      </x:c>
      <x:c r="J397" s="11">
        <x:v>0</x:v>
      </x:c>
      <x:c r="K397" s="1" t="s">
        <x:v>83</x:v>
      </x:c>
      <x:c r="L397" s="1">
        <x:v>2680</x:v>
      </x:c>
    </x:row>
    <x:row r="398" ht="22" customHeight="1">
      <x:c r="A398" s="5">
        <x:v>2023</x:v>
      </x:c>
      <x:c r="B398" s="5" t="s">
        <x:v>43</x:v>
      </x:c>
      <x:c r="C398" s="6" t="s">
        <x:v>44</x:v>
      </x:c>
      <x:c r="D398" s="5" t="s">
        <x:v>94</x:v>
      </x:c>
      <x:c r="E398" s="8">
        <x:v>88</x:v>
      </x:c>
      <x:c r="F398" s="8">
        <x:v>88</x:v>
      </x:c>
      <x:c r="G398" s="10">
        <x:v>26764621</x:v>
      </x:c>
      <x:c r="H398" s="8">
        <x:v>88</x:v>
      </x:c>
      <x:c r="I398" s="8">
        <x:v>88</x:v>
      </x:c>
      <x:c r="J398" s="10">
        <x:v>26764621</x:v>
      </x:c>
      <x:c r="K398" s="5" t="s">
        <x:v>83</x:v>
      </x:c>
      <x:c r="L398" s="5">
        <x:v>2681</x:v>
      </x:c>
    </x:row>
    <x:row r="399" ht="22" customHeight="1">
      <x:c r="A399" s="1">
        <x:v>2023</x:v>
      </x:c>
      <x:c r="B399" s="1" t="s">
        <x:v>43</x:v>
      </x:c>
      <x:c r="C399" s="7" t="s">
        <x:v>44</x:v>
      </x:c>
      <x:c r="D399" s="1" t="s">
        <x:v>95</x:v>
      </x:c>
      <x:c r="E399" s="9">
        <x:v>0</x:v>
      </x:c>
      <x:c r="F399" s="9">
        <x:v>0</x:v>
      </x:c>
      <x:c r="G399" s="11">
        <x:v>0</x:v>
      </x:c>
      <x:c r="H399" s="9">
        <x:v>0</x:v>
      </x:c>
      <x:c r="I399" s="9">
        <x:v>0</x:v>
      </x:c>
      <x:c r="J399" s="11">
        <x:v>0</x:v>
      </x:c>
      <x:c r="K399" s="1" t="s">
        <x:v>83</x:v>
      </x:c>
      <x:c r="L399" s="1">
        <x:v>2681</x:v>
      </x:c>
    </x:row>
    <x:row r="400" ht="22" customHeight="1">
      <x:c r="A400" s="5">
        <x:v>2023</x:v>
      </x:c>
      <x:c r="B400" s="5" t="s">
        <x:v>43</x:v>
      </x:c>
      <x:c r="C400" s="6" t="s">
        <x:v>44</x:v>
      </x:c>
      <x:c r="D400" s="5" t="s">
        <x:v>96</x:v>
      </x:c>
      <x:c r="E400" s="8">
        <x:v>8</x:v>
      </x:c>
      <x:c r="F400" s="8">
        <x:v>26</x:v>
      </x:c>
      <x:c r="G400" s="10">
        <x:v>4105560</x:v>
      </x:c>
      <x:c r="H400" s="8">
        <x:v>26</x:v>
      </x:c>
      <x:c r="I400" s="8">
        <x:v>8</x:v>
      </x:c>
      <x:c r="J400" s="10">
        <x:v>4105560</x:v>
      </x:c>
      <x:c r="K400" s="5" t="s">
        <x:v>83</x:v>
      </x:c>
      <x:c r="L400" s="5">
        <x:v>2681</x:v>
      </x:c>
    </x:row>
    <x:row r="401" ht="22" customHeight="1">
      <x:c r="A401" s="1">
        <x:v>2023</x:v>
      </x:c>
      <x:c r="B401" s="1" t="s">
        <x:v>43</x:v>
      </x:c>
      <x:c r="C401" s="7" t="s">
        <x:v>44</x:v>
      </x:c>
      <x:c r="D401" s="1" t="s">
        <x:v>97</x:v>
      </x:c>
      <x:c r="E401" s="9">
        <x:v>5</x:v>
      </x:c>
      <x:c r="F401" s="9">
        <x:v>31</x:v>
      </x:c>
      <x:c r="G401" s="11">
        <x:v>5471471</x:v>
      </x:c>
      <x:c r="H401" s="9">
        <x:v>31</x:v>
      </x:c>
      <x:c r="I401" s="9">
        <x:v>5</x:v>
      </x:c>
      <x:c r="J401" s="11">
        <x:v>5471471</x:v>
      </x:c>
      <x:c r="K401" s="1" t="s">
        <x:v>83</x:v>
      </x:c>
      <x:c r="L401" s="1">
        <x:v>2681</x:v>
      </x:c>
    </x:row>
    <x:row r="402" ht="22" customHeight="1">
      <x:c r="A402" s="5">
        <x:v>2023</x:v>
      </x:c>
      <x:c r="B402" s="5" t="s">
        <x:v>45</x:v>
      </x:c>
      <x:c r="C402" s="6" t="s">
        <x:v>46</x:v>
      </x:c>
      <x:c r="D402" s="5" t="s">
        <x:v>94</x:v>
      </x:c>
      <x:c r="E402" s="8">
        <x:v>153</x:v>
      </x:c>
      <x:c r="F402" s="8">
        <x:v>153</x:v>
      </x:c>
      <x:c r="G402" s="10">
        <x:v>35948218</x:v>
      </x:c>
      <x:c r="H402" s="8">
        <x:v>129</x:v>
      </x:c>
      <x:c r="I402" s="8">
        <x:v>129</x:v>
      </x:c>
      <x:c r="J402" s="10">
        <x:v>30645973</x:v>
      </x:c>
      <x:c r="K402" s="5" t="s">
        <x:v>83</x:v>
      </x:c>
      <x:c r="L402" s="5">
        <x:v>2682</x:v>
      </x:c>
    </x:row>
    <x:row r="403" ht="22" customHeight="1">
      <x:c r="A403" s="1">
        <x:v>2023</x:v>
      </x:c>
      <x:c r="B403" s="1" t="s">
        <x:v>45</x:v>
      </x:c>
      <x:c r="C403" s="7" t="s">
        <x:v>46</x:v>
      </x:c>
      <x:c r="D403" s="1" t="s">
        <x:v>95</x:v>
      </x:c>
      <x:c r="E403" s="9">
        <x:v>0</x:v>
      </x:c>
      <x:c r="F403" s="9">
        <x:v>0</x:v>
      </x:c>
      <x:c r="G403" s="11">
        <x:v>0</x:v>
      </x:c>
      <x:c r="H403" s="9">
        <x:v>0</x:v>
      </x:c>
      <x:c r="I403" s="9">
        <x:v>0</x:v>
      </x:c>
      <x:c r="J403" s="11">
        <x:v>0</x:v>
      </x:c>
      <x:c r="K403" s="1" t="s">
        <x:v>83</x:v>
      </x:c>
      <x:c r="L403" s="1">
        <x:v>2682</x:v>
      </x:c>
    </x:row>
    <x:row r="404" ht="22" customHeight="1">
      <x:c r="A404" s="5">
        <x:v>2023</x:v>
      </x:c>
      <x:c r="B404" s="5" t="s">
        <x:v>45</x:v>
      </x:c>
      <x:c r="C404" s="6" t="s">
        <x:v>46</x:v>
      </x:c>
      <x:c r="D404" s="5" t="s">
        <x:v>96</x:v>
      </x:c>
      <x:c r="E404" s="8">
        <x:v>0</x:v>
      </x:c>
      <x:c r="F404" s="8">
        <x:v>0</x:v>
      </x:c>
      <x:c r="G404" s="10">
        <x:v>0</x:v>
      </x:c>
      <x:c r="H404" s="8">
        <x:v>0</x:v>
      </x:c>
      <x:c r="I404" s="8">
        <x:v>0</x:v>
      </x:c>
      <x:c r="J404" s="10">
        <x:v>0</x:v>
      </x:c>
      <x:c r="K404" s="5" t="s">
        <x:v>83</x:v>
      </x:c>
      <x:c r="L404" s="5">
        <x:v>2682</x:v>
      </x:c>
    </x:row>
    <x:row r="405" ht="22" customHeight="1">
      <x:c r="A405" s="1">
        <x:v>2023</x:v>
      </x:c>
      <x:c r="B405" s="1" t="s">
        <x:v>45</x:v>
      </x:c>
      <x:c r="C405" s="7" t="s">
        <x:v>46</x:v>
      </x:c>
      <x:c r="D405" s="1" t="s">
        <x:v>97</x:v>
      </x:c>
      <x:c r="E405" s="9">
        <x:v>0</x:v>
      </x:c>
      <x:c r="F405" s="9">
        <x:v>0</x:v>
      </x:c>
      <x:c r="G405" s="11">
        <x:v>0</x:v>
      </x:c>
      <x:c r="H405" s="9">
        <x:v>0</x:v>
      </x:c>
      <x:c r="I405" s="9">
        <x:v>0</x:v>
      </x:c>
      <x:c r="J405" s="11">
        <x:v>0</x:v>
      </x:c>
      <x:c r="K405" s="1" t="s">
        <x:v>83</x:v>
      </x:c>
      <x:c r="L405" s="1">
        <x:v>2682</x:v>
      </x:c>
    </x:row>
    <x:row r="406" ht="22" customHeight="1">
      <x:c r="A406" s="5">
        <x:v>2023</x:v>
      </x:c>
      <x:c r="B406" s="5" t="s">
        <x:v>47</x:v>
      </x:c>
      <x:c r="C406" s="6" t="s">
        <x:v>48</x:v>
      </x:c>
      <x:c r="D406" s="5" t="s">
        <x:v>94</x:v>
      </x:c>
      <x:c r="E406" s="8">
        <x:v>57</x:v>
      </x:c>
      <x:c r="F406" s="8">
        <x:v>57</x:v>
      </x:c>
      <x:c r="G406" s="10">
        <x:v>10935395</x:v>
      </x:c>
      <x:c r="H406" s="8">
        <x:v>56</x:v>
      </x:c>
      <x:c r="I406" s="8">
        <x:v>56</x:v>
      </x:c>
      <x:c r="J406" s="10">
        <x:v>10638561</x:v>
      </x:c>
      <x:c r="K406" s="5" t="s">
        <x:v>83</x:v>
      </x:c>
      <x:c r="L406" s="5">
        <x:v>2683</x:v>
      </x:c>
    </x:row>
    <x:row r="407" ht="22" customHeight="1">
      <x:c r="A407" s="1">
        <x:v>2023</x:v>
      </x:c>
      <x:c r="B407" s="1" t="s">
        <x:v>47</x:v>
      </x:c>
      <x:c r="C407" s="7" t="s">
        <x:v>48</x:v>
      </x:c>
      <x:c r="D407" s="1" t="s">
        <x:v>95</x:v>
      </x:c>
      <x:c r="E407" s="9">
        <x:v>6</x:v>
      </x:c>
      <x:c r="F407" s="9">
        <x:v>12</x:v>
      </x:c>
      <x:c r="G407" s="11">
        <x:v>2800000</x:v>
      </x:c>
      <x:c r="H407" s="9">
        <x:v>12</x:v>
      </x:c>
      <x:c r="I407" s="9">
        <x:v>6</x:v>
      </x:c>
      <x:c r="J407" s="11">
        <x:v>2800000</x:v>
      </x:c>
      <x:c r="K407" s="1" t="s">
        <x:v>83</x:v>
      </x:c>
      <x:c r="L407" s="1">
        <x:v>2683</x:v>
      </x:c>
    </x:row>
    <x:row r="408" ht="22" customHeight="1">
      <x:c r="A408" s="5">
        <x:v>2023</x:v>
      </x:c>
      <x:c r="B408" s="5" t="s">
        <x:v>47</x:v>
      </x:c>
      <x:c r="C408" s="6" t="s">
        <x:v>48</x:v>
      </x:c>
      <x:c r="D408" s="5" t="s">
        <x:v>96</x:v>
      </x:c>
      <x:c r="E408" s="8">
        <x:v>5</x:v>
      </x:c>
      <x:c r="F408" s="8">
        <x:v>19</x:v>
      </x:c>
      <x:c r="G408" s="10">
        <x:v>2262652</x:v>
      </x:c>
      <x:c r="H408" s="8">
        <x:v>19</x:v>
      </x:c>
      <x:c r="I408" s="8">
        <x:v>5</x:v>
      </x:c>
      <x:c r="J408" s="10">
        <x:v>2262652</x:v>
      </x:c>
      <x:c r="K408" s="5" t="s">
        <x:v>83</x:v>
      </x:c>
      <x:c r="L408" s="5">
        <x:v>2683</x:v>
      </x:c>
    </x:row>
    <x:row r="409" ht="22" customHeight="1">
      <x:c r="A409" s="1">
        <x:v>2023</x:v>
      </x:c>
      <x:c r="B409" s="1" t="s">
        <x:v>47</x:v>
      </x:c>
      <x:c r="C409" s="7" t="s">
        <x:v>48</x:v>
      </x:c>
      <x:c r="D409" s="1" t="s">
        <x:v>97</x:v>
      </x:c>
      <x:c r="E409" s="9">
        <x:v>1</x:v>
      </x:c>
      <x:c r="F409" s="9">
        <x:v>6</x:v>
      </x:c>
      <x:c r="G409" s="11">
        <x:v>1334550</x:v>
      </x:c>
      <x:c r="H409" s="9">
        <x:v>6</x:v>
      </x:c>
      <x:c r="I409" s="9">
        <x:v>1</x:v>
      </x:c>
      <x:c r="J409" s="11">
        <x:v>1334550</x:v>
      </x:c>
      <x:c r="K409" s="1" t="s">
        <x:v>83</x:v>
      </x:c>
      <x:c r="L409" s="1">
        <x:v>2683</x:v>
      </x:c>
    </x:row>
    <x:row r="410" ht="22" customHeight="1">
      <x:c r="A410" s="5">
        <x:v>2023</x:v>
      </x:c>
      <x:c r="B410" s="5" t="s">
        <x:v>49</x:v>
      </x:c>
      <x:c r="C410" s="6" t="s">
        <x:v>50</x:v>
      </x:c>
      <x:c r="D410" s="5" t="s">
        <x:v>94</x:v>
      </x:c>
      <x:c r="E410" s="8">
        <x:v>73</x:v>
      </x:c>
      <x:c r="F410" s="8">
        <x:v>73</x:v>
      </x:c>
      <x:c r="G410" s="10">
        <x:v>22044801</x:v>
      </x:c>
      <x:c r="H410" s="8">
        <x:v>73</x:v>
      </x:c>
      <x:c r="I410" s="8">
        <x:v>73</x:v>
      </x:c>
      <x:c r="J410" s="10">
        <x:v>22044801</x:v>
      </x:c>
      <x:c r="K410" s="5" t="s">
        <x:v>83</x:v>
      </x:c>
      <x:c r="L410" s="5">
        <x:v>2684</x:v>
      </x:c>
    </x:row>
    <x:row r="411" ht="22" customHeight="1">
      <x:c r="A411" s="1">
        <x:v>2023</x:v>
      </x:c>
      <x:c r="B411" s="1" t="s">
        <x:v>49</x:v>
      </x:c>
      <x:c r="C411" s="7" t="s">
        <x:v>50</x:v>
      </x:c>
      <x:c r="D411" s="1" t="s">
        <x:v>95</x:v>
      </x:c>
      <x:c r="E411" s="9">
        <x:v>0</x:v>
      </x:c>
      <x:c r="F411" s="9">
        <x:v>0</x:v>
      </x:c>
      <x:c r="G411" s="11">
        <x:v>0</x:v>
      </x:c>
      <x:c r="H411" s="9">
        <x:v>0</x:v>
      </x:c>
      <x:c r="I411" s="9">
        <x:v>0</x:v>
      </x:c>
      <x:c r="J411" s="11">
        <x:v>0</x:v>
      </x:c>
      <x:c r="K411" s="1" t="s">
        <x:v>83</x:v>
      </x:c>
      <x:c r="L411" s="1">
        <x:v>2684</x:v>
      </x:c>
    </x:row>
    <x:row r="412" ht="22" customHeight="1">
      <x:c r="A412" s="5">
        <x:v>2023</x:v>
      </x:c>
      <x:c r="B412" s="5" t="s">
        <x:v>49</x:v>
      </x:c>
      <x:c r="C412" s="6" t="s">
        <x:v>50</x:v>
      </x:c>
      <x:c r="D412" s="5" t="s">
        <x:v>96</x:v>
      </x:c>
      <x:c r="E412" s="8">
        <x:v>10</x:v>
      </x:c>
      <x:c r="F412" s="8">
        <x:v>37</x:v>
      </x:c>
      <x:c r="G412" s="10">
        <x:v>7174631</x:v>
      </x:c>
      <x:c r="H412" s="8">
        <x:v>37</x:v>
      </x:c>
      <x:c r="I412" s="8">
        <x:v>10</x:v>
      </x:c>
      <x:c r="J412" s="10">
        <x:v>7174631</x:v>
      </x:c>
      <x:c r="K412" s="5" t="s">
        <x:v>83</x:v>
      </x:c>
      <x:c r="L412" s="5">
        <x:v>2684</x:v>
      </x:c>
    </x:row>
    <x:row r="413" ht="22" customHeight="1">
      <x:c r="A413" s="1">
        <x:v>2023</x:v>
      </x:c>
      <x:c r="B413" s="1" t="s">
        <x:v>49</x:v>
      </x:c>
      <x:c r="C413" s="7" t="s">
        <x:v>50</x:v>
      </x:c>
      <x:c r="D413" s="1" t="s">
        <x:v>97</x:v>
      </x:c>
      <x:c r="E413" s="9">
        <x:v>6</x:v>
      </x:c>
      <x:c r="F413" s="9">
        <x:v>33</x:v>
      </x:c>
      <x:c r="G413" s="11">
        <x:v>5559792</x:v>
      </x:c>
      <x:c r="H413" s="9">
        <x:v>33</x:v>
      </x:c>
      <x:c r="I413" s="9">
        <x:v>6</x:v>
      </x:c>
      <x:c r="J413" s="11">
        <x:v>5559792</x:v>
      </x:c>
      <x:c r="K413" s="1" t="s">
        <x:v>83</x:v>
      </x:c>
      <x:c r="L413" s="1">
        <x:v>2684</x:v>
      </x:c>
    </x:row>
    <x:row r="414" ht="22" customHeight="1">
      <x:c r="A414" s="5">
        <x:v>2023</x:v>
      </x:c>
      <x:c r="B414" s="5" t="s">
        <x:v>51</x:v>
      </x:c>
      <x:c r="C414" s="6" t="s">
        <x:v>52</x:v>
      </x:c>
      <x:c r="D414" s="5" t="s">
        <x:v>94</x:v>
      </x:c>
      <x:c r="E414" s="8">
        <x:v>25</x:v>
      </x:c>
      <x:c r="F414" s="8">
        <x:v>25</x:v>
      </x:c>
      <x:c r="G414" s="10">
        <x:v>3956100</x:v>
      </x:c>
      <x:c r="H414" s="8">
        <x:v>1</x:v>
      </x:c>
      <x:c r="I414" s="8">
        <x:v>1</x:v>
      </x:c>
      <x:c r="J414" s="10">
        <x:v>336900</x:v>
      </x:c>
      <x:c r="K414" s="5" t="s">
        <x:v>83</x:v>
      </x:c>
      <x:c r="L414" s="5">
        <x:v>2685</x:v>
      </x:c>
    </x:row>
    <x:row r="415" ht="22" customHeight="1">
      <x:c r="A415" s="1">
        <x:v>2023</x:v>
      </x:c>
      <x:c r="B415" s="1" t="s">
        <x:v>51</x:v>
      </x:c>
      <x:c r="C415" s="7" t="s">
        <x:v>52</x:v>
      </x:c>
      <x:c r="D415" s="1" t="s">
        <x:v>95</x:v>
      </x:c>
      <x:c r="E415" s="9">
        <x:v>0</x:v>
      </x:c>
      <x:c r="F415" s="9">
        <x:v>0</x:v>
      </x:c>
      <x:c r="G415" s="11">
        <x:v>0</x:v>
      </x:c>
      <x:c r="H415" s="9">
        <x:v>0</x:v>
      </x:c>
      <x:c r="I415" s="9">
        <x:v>0</x:v>
      </x:c>
      <x:c r="J415" s="11">
        <x:v>0</x:v>
      </x:c>
      <x:c r="K415" s="1" t="s">
        <x:v>83</x:v>
      </x:c>
      <x:c r="L415" s="1">
        <x:v>2685</x:v>
      </x:c>
    </x:row>
    <x:row r="416" ht="22" customHeight="1">
      <x:c r="A416" s="5">
        <x:v>2023</x:v>
      </x:c>
      <x:c r="B416" s="5" t="s">
        <x:v>51</x:v>
      </x:c>
      <x:c r="C416" s="6" t="s">
        <x:v>52</x:v>
      </x:c>
      <x:c r="D416" s="5" t="s">
        <x:v>96</x:v>
      </x:c>
      <x:c r="E416" s="8">
        <x:v>0</x:v>
      </x:c>
      <x:c r="F416" s="8">
        <x:v>0</x:v>
      </x:c>
      <x:c r="G416" s="10">
        <x:v>0</x:v>
      </x:c>
      <x:c r="H416" s="8">
        <x:v>0</x:v>
      </x:c>
      <x:c r="I416" s="8">
        <x:v>0</x:v>
      </x:c>
      <x:c r="J416" s="10">
        <x:v>0</x:v>
      </x:c>
      <x:c r="K416" s="5" t="s">
        <x:v>83</x:v>
      </x:c>
      <x:c r="L416" s="5">
        <x:v>2685</x:v>
      </x:c>
    </x:row>
    <x:row r="417" ht="22" customHeight="1">
      <x:c r="A417" s="1">
        <x:v>2023</x:v>
      </x:c>
      <x:c r="B417" s="1" t="s">
        <x:v>51</x:v>
      </x:c>
      <x:c r="C417" s="7" t="s">
        <x:v>52</x:v>
      </x:c>
      <x:c r="D417" s="1" t="s">
        <x:v>97</x:v>
      </x:c>
      <x:c r="E417" s="9">
        <x:v>0</x:v>
      </x:c>
      <x:c r="F417" s="9">
        <x:v>0</x:v>
      </x:c>
      <x:c r="G417" s="11">
        <x:v>0</x:v>
      </x:c>
      <x:c r="H417" s="9">
        <x:v>0</x:v>
      </x:c>
      <x:c r="I417" s="9">
        <x:v>0</x:v>
      </x:c>
      <x:c r="J417" s="11">
        <x:v>0</x:v>
      </x:c>
      <x:c r="K417" s="1" t="s">
        <x:v>83</x:v>
      </x:c>
      <x:c r="L417" s="1">
        <x:v>2685</x:v>
      </x:c>
    </x:row>
    <x:row r="418" ht="22" customHeight="1">
      <x:c r="A418" s="5">
        <x:v>2023</x:v>
      </x:c>
      <x:c r="B418" s="5" t="s">
        <x:v>53</x:v>
      </x:c>
      <x:c r="C418" s="6" t="s">
        <x:v>54</x:v>
      </x:c>
      <x:c r="D418" s="5" t="s">
        <x:v>94</x:v>
      </x:c>
      <x:c r="E418" s="8">
        <x:v>53</x:v>
      </x:c>
      <x:c r="F418" s="8">
        <x:v>53</x:v>
      </x:c>
      <x:c r="G418" s="10">
        <x:v>22822120</x:v>
      </x:c>
      <x:c r="H418" s="8">
        <x:v>15</x:v>
      </x:c>
      <x:c r="I418" s="8">
        <x:v>15</x:v>
      </x:c>
      <x:c r="J418" s="10">
        <x:v>9394000</x:v>
      </x:c>
      <x:c r="K418" s="5" t="s">
        <x:v>83</x:v>
      </x:c>
      <x:c r="L418" s="5">
        <x:v>2686</x:v>
      </x:c>
    </x:row>
    <x:row r="419" ht="22" customHeight="1">
      <x:c r="A419" s="1">
        <x:v>2023</x:v>
      </x:c>
      <x:c r="B419" s="1" t="s">
        <x:v>53</x:v>
      </x:c>
      <x:c r="C419" s="7" t="s">
        <x:v>54</x:v>
      </x:c>
      <x:c r="D419" s="1" t="s">
        <x:v>95</x:v>
      </x:c>
      <x:c r="E419" s="9">
        <x:v>0</x:v>
      </x:c>
      <x:c r="F419" s="9">
        <x:v>0</x:v>
      </x:c>
      <x:c r="G419" s="11">
        <x:v>0</x:v>
      </x:c>
      <x:c r="H419" s="9">
        <x:v>0</x:v>
      </x:c>
      <x:c r="I419" s="9">
        <x:v>0</x:v>
      </x:c>
      <x:c r="J419" s="11">
        <x:v>0</x:v>
      </x:c>
      <x:c r="K419" s="1" t="s">
        <x:v>83</x:v>
      </x:c>
      <x:c r="L419" s="1">
        <x:v>2686</x:v>
      </x:c>
    </x:row>
    <x:row r="420" ht="22" customHeight="1">
      <x:c r="A420" s="5">
        <x:v>2023</x:v>
      </x:c>
      <x:c r="B420" s="5" t="s">
        <x:v>53</x:v>
      </x:c>
      <x:c r="C420" s="6" t="s">
        <x:v>54</x:v>
      </x:c>
      <x:c r="D420" s="5" t="s">
        <x:v>96</x:v>
      </x:c>
      <x:c r="E420" s="8">
        <x:v>0</x:v>
      </x:c>
      <x:c r="F420" s="8">
        <x:v>0</x:v>
      </x:c>
      <x:c r="G420" s="10">
        <x:v>0</x:v>
      </x:c>
      <x:c r="H420" s="8">
        <x:v>0</x:v>
      </x:c>
      <x:c r="I420" s="8">
        <x:v>0</x:v>
      </x:c>
      <x:c r="J420" s="10">
        <x:v>0</x:v>
      </x:c>
      <x:c r="K420" s="5" t="s">
        <x:v>83</x:v>
      </x:c>
      <x:c r="L420" s="5">
        <x:v>2686</x:v>
      </x:c>
    </x:row>
    <x:row r="421" ht="22" customHeight="1">
      <x:c r="A421" s="1">
        <x:v>2023</x:v>
      </x:c>
      <x:c r="B421" s="1" t="s">
        <x:v>53</x:v>
      </x:c>
      <x:c r="C421" s="7" t="s">
        <x:v>54</x:v>
      </x:c>
      <x:c r="D421" s="1" t="s">
        <x:v>97</x:v>
      </x:c>
      <x:c r="E421" s="9">
        <x:v>0</x:v>
      </x:c>
      <x:c r="F421" s="9">
        <x:v>0</x:v>
      </x:c>
      <x:c r="G421" s="11">
        <x:v>0</x:v>
      </x:c>
      <x:c r="H421" s="9">
        <x:v>0</x:v>
      </x:c>
      <x:c r="I421" s="9">
        <x:v>0</x:v>
      </x:c>
      <x:c r="J421" s="11">
        <x:v>0</x:v>
      </x:c>
      <x:c r="K421" s="1" t="s">
        <x:v>83</x:v>
      </x:c>
      <x:c r="L421" s="1">
        <x:v>2686</x:v>
      </x:c>
    </x:row>
    <x:row r="422" ht="22" customHeight="1">
      <x:c r="A422" s="5">
        <x:v>2023</x:v>
      </x:c>
      <x:c r="B422" s="5" t="s">
        <x:v>55</x:v>
      </x:c>
      <x:c r="C422" s="6" t="s">
        <x:v>56</x:v>
      </x:c>
      <x:c r="D422" s="5" t="s">
        <x:v>94</x:v>
      </x:c>
      <x:c r="E422" s="8">
        <x:v>2572</x:v>
      </x:c>
      <x:c r="F422" s="8">
        <x:v>2572</x:v>
      </x:c>
      <x:c r="G422" s="10">
        <x:v>893907933</x:v>
      </x:c>
      <x:c r="H422" s="8">
        <x:v>2367</x:v>
      </x:c>
      <x:c r="I422" s="8">
        <x:v>2367</x:v>
      </x:c>
      <x:c r="J422" s="10">
        <x:v>835469704</x:v>
      </x:c>
      <x:c r="K422" s="5" t="s">
        <x:v>83</x:v>
      </x:c>
      <x:c r="L422" s="5">
        <x:v>2687</x:v>
      </x:c>
    </x:row>
    <x:row r="423" ht="22" customHeight="1">
      <x:c r="A423" s="1">
        <x:v>2023</x:v>
      </x:c>
      <x:c r="B423" s="1" t="s">
        <x:v>55</x:v>
      </x:c>
      <x:c r="C423" s="7" t="s">
        <x:v>56</x:v>
      </x:c>
      <x:c r="D423" s="1" t="s">
        <x:v>95</x:v>
      </x:c>
      <x:c r="E423" s="9">
        <x:v>35</x:v>
      </x:c>
      <x:c r="F423" s="9">
        <x:v>70</x:v>
      </x:c>
      <x:c r="G423" s="11">
        <x:v>10848916</x:v>
      </x:c>
      <x:c r="H423" s="9">
        <x:v>22</x:v>
      </x:c>
      <x:c r="I423" s="9">
        <x:v>11</x:v>
      </x:c>
      <x:c r="J423" s="11">
        <x:v>5572476</x:v>
      </x:c>
      <x:c r="K423" s="1" t="s">
        <x:v>83</x:v>
      </x:c>
      <x:c r="L423" s="1">
        <x:v>2687</x:v>
      </x:c>
    </x:row>
    <x:row r="424" ht="22" customHeight="1">
      <x:c r="A424" s="5">
        <x:v>2023</x:v>
      </x:c>
      <x:c r="B424" s="5" t="s">
        <x:v>55</x:v>
      </x:c>
      <x:c r="C424" s="6" t="s">
        <x:v>56</x:v>
      </x:c>
      <x:c r="D424" s="5" t="s">
        <x:v>96</x:v>
      </x:c>
      <x:c r="E424" s="8">
        <x:v>65</x:v>
      </x:c>
      <x:c r="F424" s="8">
        <x:v>236</x:v>
      </x:c>
      <x:c r="G424" s="10">
        <x:v>52347624</x:v>
      </x:c>
      <x:c r="H424" s="8">
        <x:v>200</x:v>
      </x:c>
      <x:c r="I424" s="8">
        <x:v>53</x:v>
      </x:c>
      <x:c r="J424" s="10">
        <x:v>45378957</x:v>
      </x:c>
      <x:c r="K424" s="5" t="s">
        <x:v>83</x:v>
      </x:c>
      <x:c r="L424" s="5">
        <x:v>2687</x:v>
      </x:c>
    </x:row>
    <x:row r="425" ht="22" customHeight="1">
      <x:c r="A425" s="1">
        <x:v>2023</x:v>
      </x:c>
      <x:c r="B425" s="1" t="s">
        <x:v>55</x:v>
      </x:c>
      <x:c r="C425" s="7" t="s">
        <x:v>56</x:v>
      </x:c>
      <x:c r="D425" s="1" t="s">
        <x:v>97</x:v>
      </x:c>
      <x:c r="E425" s="9">
        <x:v>141</x:v>
      </x:c>
      <x:c r="F425" s="9">
        <x:v>5437</x:v>
      </x:c>
      <x:c r="G425" s="11">
        <x:v>1012470207</x:v>
      </x:c>
      <x:c r="H425" s="9">
        <x:v>2769</x:v>
      </x:c>
      <x:c r="I425" s="9">
        <x:v>91</x:v>
      </x:c>
      <x:c r="J425" s="11">
        <x:v>647168237</x:v>
      </x:c>
      <x:c r="K425" s="1" t="s">
        <x:v>83</x:v>
      </x:c>
      <x:c r="L425" s="1">
        <x:v>2687</x:v>
      </x:c>
    </x:row>
    <x:row r="426" ht="22" customHeight="1">
      <x:c r="A426" s="5">
        <x:v>2023</x:v>
      </x:c>
      <x:c r="B426" s="5" t="s">
        <x:v>57</x:v>
      </x:c>
      <x:c r="C426" s="6" t="s">
        <x:v>58</x:v>
      </x:c>
      <x:c r="D426" s="5" t="s">
        <x:v>94</x:v>
      </x:c>
      <x:c r="E426" s="8">
        <x:v>65</x:v>
      </x:c>
      <x:c r="F426" s="8">
        <x:v>65</x:v>
      </x:c>
      <x:c r="G426" s="10">
        <x:v>22079241</x:v>
      </x:c>
      <x:c r="H426" s="8">
        <x:v>25</x:v>
      </x:c>
      <x:c r="I426" s="8">
        <x:v>25</x:v>
      </x:c>
      <x:c r="J426" s="10">
        <x:v>8876843</x:v>
      </x:c>
      <x:c r="K426" s="5" t="s">
        <x:v>83</x:v>
      </x:c>
      <x:c r="L426" s="5">
        <x:v>2688</x:v>
      </x:c>
    </x:row>
    <x:row r="427" ht="22" customHeight="1">
      <x:c r="A427" s="1">
        <x:v>2023</x:v>
      </x:c>
      <x:c r="B427" s="1" t="s">
        <x:v>57</x:v>
      </x:c>
      <x:c r="C427" s="7" t="s">
        <x:v>58</x:v>
      </x:c>
      <x:c r="D427" s="1" t="s">
        <x:v>95</x:v>
      </x:c>
      <x:c r="E427" s="9">
        <x:v>0</x:v>
      </x:c>
      <x:c r="F427" s="9">
        <x:v>0</x:v>
      </x:c>
      <x:c r="G427" s="11">
        <x:v>0</x:v>
      </x:c>
      <x:c r="H427" s="9">
        <x:v>0</x:v>
      </x:c>
      <x:c r="I427" s="9">
        <x:v>0</x:v>
      </x:c>
      <x:c r="J427" s="11">
        <x:v>0</x:v>
      </x:c>
      <x:c r="K427" s="1" t="s">
        <x:v>83</x:v>
      </x:c>
      <x:c r="L427" s="1">
        <x:v>2688</x:v>
      </x:c>
    </x:row>
    <x:row r="428" ht="22" customHeight="1">
      <x:c r="A428" s="5">
        <x:v>2023</x:v>
      </x:c>
      <x:c r="B428" s="5" t="s">
        <x:v>57</x:v>
      </x:c>
      <x:c r="C428" s="6" t="s">
        <x:v>58</x:v>
      </x:c>
      <x:c r="D428" s="5" t="s">
        <x:v>96</x:v>
      </x:c>
      <x:c r="E428" s="8">
        <x:v>0</x:v>
      </x:c>
      <x:c r="F428" s="8">
        <x:v>0</x:v>
      </x:c>
      <x:c r="G428" s="10">
        <x:v>0</x:v>
      </x:c>
      <x:c r="H428" s="8">
        <x:v>0</x:v>
      </x:c>
      <x:c r="I428" s="8">
        <x:v>0</x:v>
      </x:c>
      <x:c r="J428" s="10">
        <x:v>0</x:v>
      </x:c>
      <x:c r="K428" s="5" t="s">
        <x:v>83</x:v>
      </x:c>
      <x:c r="L428" s="5">
        <x:v>2688</x:v>
      </x:c>
    </x:row>
    <x:row r="429" ht="22" customHeight="1">
      <x:c r="A429" s="1">
        <x:v>2023</x:v>
      </x:c>
      <x:c r="B429" s="1" t="s">
        <x:v>57</x:v>
      </x:c>
      <x:c r="C429" s="7" t="s">
        <x:v>58</x:v>
      </x:c>
      <x:c r="D429" s="1" t="s">
        <x:v>97</x:v>
      </x:c>
      <x:c r="E429" s="9">
        <x:v>0</x:v>
      </x:c>
      <x:c r="F429" s="9">
        <x:v>0</x:v>
      </x:c>
      <x:c r="G429" s="11">
        <x:v>0</x:v>
      </x:c>
      <x:c r="H429" s="9">
        <x:v>0</x:v>
      </x:c>
      <x:c r="I429" s="9">
        <x:v>0</x:v>
      </x:c>
      <x:c r="J429" s="11">
        <x:v>0</x:v>
      </x:c>
      <x:c r="K429" s="1" t="s">
        <x:v>83</x:v>
      </x:c>
      <x:c r="L429" s="1">
        <x:v>2688</x:v>
      </x:c>
    </x:row>
    <x:row r="430" ht="22" customHeight="1">
      <x:c r="A430" s="5">
        <x:v>2023</x:v>
      </x:c>
      <x:c r="B430" s="5" t="s">
        <x:v>59</x:v>
      </x:c>
      <x:c r="C430" s="6" t="s">
        <x:v>60</x:v>
      </x:c>
      <x:c r="D430" s="5" t="s">
        <x:v>94</x:v>
      </x:c>
      <x:c r="E430" s="8">
        <x:v>200</x:v>
      </x:c>
      <x:c r="F430" s="8">
        <x:v>200</x:v>
      </x:c>
      <x:c r="G430" s="10">
        <x:v>32333712</x:v>
      </x:c>
      <x:c r="H430" s="8">
        <x:v>200</x:v>
      </x:c>
      <x:c r="I430" s="8">
        <x:v>200</x:v>
      </x:c>
      <x:c r="J430" s="10">
        <x:v>32333712</x:v>
      </x:c>
      <x:c r="K430" s="5" t="s">
        <x:v>83</x:v>
      </x:c>
      <x:c r="L430" s="5">
        <x:v>2689</x:v>
      </x:c>
    </x:row>
    <x:row r="431" ht="22" customHeight="1">
      <x:c r="A431" s="1">
        <x:v>2023</x:v>
      </x:c>
      <x:c r="B431" s="1" t="s">
        <x:v>59</x:v>
      </x:c>
      <x:c r="C431" s="7" t="s">
        <x:v>60</x:v>
      </x:c>
      <x:c r="D431" s="1" t="s">
        <x:v>95</x:v>
      </x:c>
      <x:c r="E431" s="9">
        <x:v>13</x:v>
      </x:c>
      <x:c r="F431" s="9">
        <x:v>26</x:v>
      </x:c>
      <x:c r="G431" s="11">
        <x:v>2658009</x:v>
      </x:c>
      <x:c r="H431" s="9">
        <x:v>26</x:v>
      </x:c>
      <x:c r="I431" s="9">
        <x:v>13</x:v>
      </x:c>
      <x:c r="J431" s="11">
        <x:v>2658009</x:v>
      </x:c>
      <x:c r="K431" s="1" t="s">
        <x:v>83</x:v>
      </x:c>
      <x:c r="L431" s="1">
        <x:v>2689</x:v>
      </x:c>
    </x:row>
    <x:row r="432" ht="22" customHeight="1">
      <x:c r="A432" s="5">
        <x:v>2023</x:v>
      </x:c>
      <x:c r="B432" s="5" t="s">
        <x:v>59</x:v>
      </x:c>
      <x:c r="C432" s="6" t="s">
        <x:v>60</x:v>
      </x:c>
      <x:c r="D432" s="5" t="s">
        <x:v>96</x:v>
      </x:c>
      <x:c r="E432" s="8">
        <x:v>3</x:v>
      </x:c>
      <x:c r="F432" s="8">
        <x:v>12</x:v>
      </x:c>
      <x:c r="G432" s="10">
        <x:v>1233585</x:v>
      </x:c>
      <x:c r="H432" s="8">
        <x:v>12</x:v>
      </x:c>
      <x:c r="I432" s="8">
        <x:v>3</x:v>
      </x:c>
      <x:c r="J432" s="10">
        <x:v>1233585</x:v>
      </x:c>
      <x:c r="K432" s="5" t="s">
        <x:v>83</x:v>
      </x:c>
      <x:c r="L432" s="5">
        <x:v>2689</x:v>
      </x:c>
    </x:row>
    <x:row r="433" ht="22" customHeight="1">
      <x:c r="A433" s="1">
        <x:v>2023</x:v>
      </x:c>
      <x:c r="B433" s="1" t="s">
        <x:v>59</x:v>
      </x:c>
      <x:c r="C433" s="7" t="s">
        <x:v>60</x:v>
      </x:c>
      <x:c r="D433" s="1" t="s">
        <x:v>97</x:v>
      </x:c>
      <x:c r="E433" s="9">
        <x:v>0</x:v>
      </x:c>
      <x:c r="F433" s="9">
        <x:v>0</x:v>
      </x:c>
      <x:c r="G433" s="11">
        <x:v>0</x:v>
      </x:c>
      <x:c r="H433" s="9">
        <x:v>0</x:v>
      </x:c>
      <x:c r="I433" s="9">
        <x:v>0</x:v>
      </x:c>
      <x:c r="J433" s="11">
        <x:v>0</x:v>
      </x:c>
      <x:c r="K433" s="1" t="s">
        <x:v>83</x:v>
      </x:c>
      <x:c r="L433" s="1">
        <x:v>2689</x:v>
      </x:c>
    </x:row>
    <x:row r="434" ht="22" customHeight="1">
      <x:c r="A434" s="5">
        <x:v>2023</x:v>
      </x:c>
      <x:c r="B434" s="5" t="s">
        <x:v>61</x:v>
      </x:c>
      <x:c r="C434" s="6" t="s">
        <x:v>62</x:v>
      </x:c>
      <x:c r="D434" s="5" t="s">
        <x:v>94</x:v>
      </x:c>
      <x:c r="E434" s="8">
        <x:v>82</x:v>
      </x:c>
      <x:c r="F434" s="8">
        <x:v>82</x:v>
      </x:c>
      <x:c r="G434" s="10">
        <x:v>24938000</x:v>
      </x:c>
      <x:c r="H434" s="8">
        <x:v>82</x:v>
      </x:c>
      <x:c r="I434" s="8">
        <x:v>82</x:v>
      </x:c>
      <x:c r="J434" s="10">
        <x:v>24938000</x:v>
      </x:c>
      <x:c r="K434" s="5" t="s">
        <x:v>83</x:v>
      </x:c>
      <x:c r="L434" s="5">
        <x:v>2690</x:v>
      </x:c>
    </x:row>
    <x:row r="435" ht="22" customHeight="1">
      <x:c r="A435" s="1">
        <x:v>2023</x:v>
      </x:c>
      <x:c r="B435" s="1" t="s">
        <x:v>61</x:v>
      </x:c>
      <x:c r="C435" s="7" t="s">
        <x:v>62</x:v>
      </x:c>
      <x:c r="D435" s="1" t="s">
        <x:v>95</x:v>
      </x:c>
      <x:c r="E435" s="9">
        <x:v>5</x:v>
      </x:c>
      <x:c r="F435" s="9">
        <x:v>10</x:v>
      </x:c>
      <x:c r="G435" s="11">
        <x:v>1677000</x:v>
      </x:c>
      <x:c r="H435" s="9">
        <x:v>10</x:v>
      </x:c>
      <x:c r="I435" s="9">
        <x:v>5</x:v>
      </x:c>
      <x:c r="J435" s="11">
        <x:v>1677000</x:v>
      </x:c>
      <x:c r="K435" s="1" t="s">
        <x:v>83</x:v>
      </x:c>
      <x:c r="L435" s="1">
        <x:v>2690</x:v>
      </x:c>
    </x:row>
    <x:row r="436" ht="22" customHeight="1">
      <x:c r="A436" s="5">
        <x:v>2023</x:v>
      </x:c>
      <x:c r="B436" s="5" t="s">
        <x:v>61</x:v>
      </x:c>
      <x:c r="C436" s="6" t="s">
        <x:v>62</x:v>
      </x:c>
      <x:c r="D436" s="5" t="s">
        <x:v>96</x:v>
      </x:c>
      <x:c r="E436" s="8">
        <x:v>1</x:v>
      </x:c>
      <x:c r="F436" s="8">
        <x:v>4</x:v>
      </x:c>
      <x:c r="G436" s="10">
        <x:v>561000</x:v>
      </x:c>
      <x:c r="H436" s="8">
        <x:v>4</x:v>
      </x:c>
      <x:c r="I436" s="8">
        <x:v>1</x:v>
      </x:c>
      <x:c r="J436" s="10">
        <x:v>561000</x:v>
      </x:c>
      <x:c r="K436" s="5" t="s">
        <x:v>83</x:v>
      </x:c>
      <x:c r="L436" s="5">
        <x:v>2690</x:v>
      </x:c>
    </x:row>
    <x:row r="437" ht="22" customHeight="1">
      <x:c r="A437" s="1">
        <x:v>2023</x:v>
      </x:c>
      <x:c r="B437" s="1" t="s">
        <x:v>61</x:v>
      </x:c>
      <x:c r="C437" s="7" t="s">
        <x:v>62</x:v>
      </x:c>
      <x:c r="D437" s="1" t="s">
        <x:v>97</x:v>
      </x:c>
      <x:c r="E437" s="9">
        <x:v>4</x:v>
      </x:c>
      <x:c r="F437" s="9">
        <x:v>44</x:v>
      </x:c>
      <x:c r="G437" s="11">
        <x:v>5619469</x:v>
      </x:c>
      <x:c r="H437" s="9">
        <x:v>44</x:v>
      </x:c>
      <x:c r="I437" s="9">
        <x:v>4</x:v>
      </x:c>
      <x:c r="J437" s="11">
        <x:v>5619469</x:v>
      </x:c>
      <x:c r="K437" s="1" t="s">
        <x:v>83</x:v>
      </x:c>
      <x:c r="L437" s="1">
        <x:v>2690</x:v>
      </x:c>
    </x:row>
    <x:row r="438" ht="22" customHeight="1">
      <x:c r="A438" s="5">
        <x:v>2023</x:v>
      </x:c>
      <x:c r="B438" s="5" t="s">
        <x:v>63</x:v>
      </x:c>
      <x:c r="C438" s="6" t="s">
        <x:v>64</x:v>
      </x:c>
      <x:c r="D438" s="5" t="s">
        <x:v>94</x:v>
      </x:c>
      <x:c r="E438" s="8">
        <x:v>270</x:v>
      </x:c>
      <x:c r="F438" s="8">
        <x:v>270</x:v>
      </x:c>
      <x:c r="G438" s="10">
        <x:v>244990644</x:v>
      </x:c>
      <x:c r="H438" s="8">
        <x:v>270</x:v>
      </x:c>
      <x:c r="I438" s="8">
        <x:v>270</x:v>
      </x:c>
      <x:c r="J438" s="10">
        <x:v>244990644</x:v>
      </x:c>
      <x:c r="K438" s="5" t="s">
        <x:v>83</x:v>
      </x:c>
      <x:c r="L438" s="5">
        <x:v>2691</x:v>
      </x:c>
    </x:row>
    <x:row r="439" ht="22" customHeight="1">
      <x:c r="A439" s="1">
        <x:v>2023</x:v>
      </x:c>
      <x:c r="B439" s="1" t="s">
        <x:v>63</x:v>
      </x:c>
      <x:c r="C439" s="7" t="s">
        <x:v>64</x:v>
      </x:c>
      <x:c r="D439" s="1" t="s">
        <x:v>95</x:v>
      </x:c>
      <x:c r="E439" s="9">
        <x:v>1</x:v>
      </x:c>
      <x:c r="F439" s="9">
        <x:v>2</x:v>
      </x:c>
      <x:c r="G439" s="11">
        <x:v>413052</x:v>
      </x:c>
      <x:c r="H439" s="9">
        <x:v>2</x:v>
      </x:c>
      <x:c r="I439" s="9">
        <x:v>1</x:v>
      </x:c>
      <x:c r="J439" s="11">
        <x:v>413052</x:v>
      </x:c>
      <x:c r="K439" s="1" t="s">
        <x:v>83</x:v>
      </x:c>
      <x:c r="L439" s="1">
        <x:v>2691</x:v>
      </x:c>
    </x:row>
    <x:row r="440" ht="22" customHeight="1">
      <x:c r="A440" s="5">
        <x:v>2023</x:v>
      </x:c>
      <x:c r="B440" s="5" t="s">
        <x:v>63</x:v>
      </x:c>
      <x:c r="C440" s="6" t="s">
        <x:v>64</x:v>
      </x:c>
      <x:c r="D440" s="5" t="s">
        <x:v>96</x:v>
      </x:c>
      <x:c r="E440" s="8">
        <x:v>1</x:v>
      </x:c>
      <x:c r="F440" s="8">
        <x:v>4</x:v>
      </x:c>
      <x:c r="G440" s="10">
        <x:v>1288059</x:v>
      </x:c>
      <x:c r="H440" s="8">
        <x:v>4</x:v>
      </x:c>
      <x:c r="I440" s="8">
        <x:v>1</x:v>
      </x:c>
      <x:c r="J440" s="10">
        <x:v>1288059</x:v>
      </x:c>
      <x:c r="K440" s="5" t="s">
        <x:v>83</x:v>
      </x:c>
      <x:c r="L440" s="5">
        <x:v>2691</x:v>
      </x:c>
    </x:row>
    <x:row r="441" ht="22" customHeight="1">
      <x:c r="A441" s="1">
        <x:v>2023</x:v>
      </x:c>
      <x:c r="B441" s="1" t="s">
        <x:v>63</x:v>
      </x:c>
      <x:c r="C441" s="7" t="s">
        <x:v>64</x:v>
      </x:c>
      <x:c r="D441" s="1" t="s">
        <x:v>97</x:v>
      </x:c>
      <x:c r="E441" s="9">
        <x:v>4</x:v>
      </x:c>
      <x:c r="F441" s="9">
        <x:v>57</x:v>
      </x:c>
      <x:c r="G441" s="11">
        <x:v>61810700</x:v>
      </x:c>
      <x:c r="H441" s="9">
        <x:v>57</x:v>
      </x:c>
      <x:c r="I441" s="9">
        <x:v>4</x:v>
      </x:c>
      <x:c r="J441" s="11">
        <x:v>61810700</x:v>
      </x:c>
      <x:c r="K441" s="1" t="s">
        <x:v>83</x:v>
      </x:c>
      <x:c r="L441" s="1">
        <x:v>2691</x:v>
      </x:c>
    </x:row>
    <x:row r="442" ht="22" customHeight="1">
      <x:c r="A442" s="5">
        <x:v>2023</x:v>
      </x:c>
      <x:c r="B442" s="5" t="s">
        <x:v>65</x:v>
      </x:c>
      <x:c r="C442" s="6" t="s">
        <x:v>66</x:v>
      </x:c>
      <x:c r="D442" s="5" t="s">
        <x:v>94</x:v>
      </x:c>
      <x:c r="E442" s="8">
        <x:v>591</x:v>
      </x:c>
      <x:c r="F442" s="8">
        <x:v>591</x:v>
      </x:c>
      <x:c r="G442" s="10">
        <x:v>172912706</x:v>
      </x:c>
      <x:c r="H442" s="8">
        <x:v>591</x:v>
      </x:c>
      <x:c r="I442" s="8">
        <x:v>591</x:v>
      </x:c>
      <x:c r="J442" s="10">
        <x:v>172912706</x:v>
      </x:c>
      <x:c r="K442" s="5" t="s">
        <x:v>83</x:v>
      </x:c>
      <x:c r="L442" s="5">
        <x:v>2692</x:v>
      </x:c>
    </x:row>
    <x:row r="443" ht="22" customHeight="1">
      <x:c r="A443" s="1">
        <x:v>2023</x:v>
      </x:c>
      <x:c r="B443" s="1" t="s">
        <x:v>65</x:v>
      </x:c>
      <x:c r="C443" s="7" t="s">
        <x:v>66</x:v>
      </x:c>
      <x:c r="D443" s="1" t="s">
        <x:v>95</x:v>
      </x:c>
      <x:c r="E443" s="9">
        <x:v>13</x:v>
      </x:c>
      <x:c r="F443" s="9">
        <x:v>26</x:v>
      </x:c>
      <x:c r="G443" s="11">
        <x:v>5244038</x:v>
      </x:c>
      <x:c r="H443" s="9">
        <x:v>26</x:v>
      </x:c>
      <x:c r="I443" s="9">
        <x:v>13</x:v>
      </x:c>
      <x:c r="J443" s="11">
        <x:v>5244038</x:v>
      </x:c>
      <x:c r="K443" s="1" t="s">
        <x:v>83</x:v>
      </x:c>
      <x:c r="L443" s="1">
        <x:v>2692</x:v>
      </x:c>
    </x:row>
    <x:row r="444" ht="22" customHeight="1">
      <x:c r="A444" s="5">
        <x:v>2023</x:v>
      </x:c>
      <x:c r="B444" s="5" t="s">
        <x:v>65</x:v>
      </x:c>
      <x:c r="C444" s="6" t="s">
        <x:v>66</x:v>
      </x:c>
      <x:c r="D444" s="5" t="s">
        <x:v>96</x:v>
      </x:c>
      <x:c r="E444" s="8">
        <x:v>15</x:v>
      </x:c>
      <x:c r="F444" s="8">
        <x:v>58</x:v>
      </x:c>
      <x:c r="G444" s="10">
        <x:v>10302915</x:v>
      </x:c>
      <x:c r="H444" s="8">
        <x:v>58</x:v>
      </x:c>
      <x:c r="I444" s="8">
        <x:v>15</x:v>
      </x:c>
      <x:c r="J444" s="10">
        <x:v>10302915</x:v>
      </x:c>
      <x:c r="K444" s="5" t="s">
        <x:v>83</x:v>
      </x:c>
      <x:c r="L444" s="5">
        <x:v>2692</x:v>
      </x:c>
    </x:row>
    <x:row r="445" ht="22" customHeight="1">
      <x:c r="A445" s="1">
        <x:v>2023</x:v>
      </x:c>
      <x:c r="B445" s="1" t="s">
        <x:v>65</x:v>
      </x:c>
      <x:c r="C445" s="7" t="s">
        <x:v>66</x:v>
      </x:c>
      <x:c r="D445" s="1" t="s">
        <x:v>97</x:v>
      </x:c>
      <x:c r="E445" s="9">
        <x:v>35</x:v>
      </x:c>
      <x:c r="F445" s="9">
        <x:v>245</x:v>
      </x:c>
      <x:c r="G445" s="11">
        <x:v>37591343</x:v>
      </x:c>
      <x:c r="H445" s="9">
        <x:v>245</x:v>
      </x:c>
      <x:c r="I445" s="9">
        <x:v>35</x:v>
      </x:c>
      <x:c r="J445" s="11">
        <x:v>37591343</x:v>
      </x:c>
      <x:c r="K445" s="1" t="s">
        <x:v>83</x:v>
      </x:c>
      <x:c r="L445" s="1">
        <x:v>2692</x:v>
      </x:c>
    </x:row>
    <x:row r="446" ht="22" customHeight="1">
      <x:c r="A446" s="5">
        <x:v>2023</x:v>
      </x:c>
      <x:c r="B446" s="5" t="s">
        <x:v>67</x:v>
      </x:c>
      <x:c r="C446" s="6" t="s">
        <x:v>68</x:v>
      </x:c>
      <x:c r="D446" s="5" t="s">
        <x:v>94</x:v>
      </x:c>
      <x:c r="E446" s="8">
        <x:v>70</x:v>
      </x:c>
      <x:c r="F446" s="8">
        <x:v>70</x:v>
      </x:c>
      <x:c r="G446" s="10">
        <x:v>27263252</x:v>
      </x:c>
      <x:c r="H446" s="8">
        <x:v>70</x:v>
      </x:c>
      <x:c r="I446" s="8">
        <x:v>70</x:v>
      </x:c>
      <x:c r="J446" s="10">
        <x:v>27263252</x:v>
      </x:c>
      <x:c r="K446" s="5" t="s">
        <x:v>83</x:v>
      </x:c>
      <x:c r="L446" s="5">
        <x:v>2693</x:v>
      </x:c>
    </x:row>
    <x:row r="447" ht="22" customHeight="1">
      <x:c r="A447" s="1">
        <x:v>2023</x:v>
      </x:c>
      <x:c r="B447" s="1" t="s">
        <x:v>67</x:v>
      </x:c>
      <x:c r="C447" s="7" t="s">
        <x:v>68</x:v>
      </x:c>
      <x:c r="D447" s="1" t="s">
        <x:v>95</x:v>
      </x:c>
      <x:c r="E447" s="9">
        <x:v>4</x:v>
      </x:c>
      <x:c r="F447" s="9">
        <x:v>8</x:v>
      </x:c>
      <x:c r="G447" s="11">
        <x:v>1603297</x:v>
      </x:c>
      <x:c r="H447" s="9">
        <x:v>8</x:v>
      </x:c>
      <x:c r="I447" s="9">
        <x:v>4</x:v>
      </x:c>
      <x:c r="J447" s="11">
        <x:v>1603297</x:v>
      </x:c>
      <x:c r="K447" s="1" t="s">
        <x:v>83</x:v>
      </x:c>
      <x:c r="L447" s="1">
        <x:v>2693</x:v>
      </x:c>
    </x:row>
    <x:row r="448" ht="22" customHeight="1">
      <x:c r="A448" s="5">
        <x:v>2023</x:v>
      </x:c>
      <x:c r="B448" s="5" t="s">
        <x:v>67</x:v>
      </x:c>
      <x:c r="C448" s="6" t="s">
        <x:v>68</x:v>
      </x:c>
      <x:c r="D448" s="5" t="s">
        <x:v>96</x:v>
      </x:c>
      <x:c r="E448" s="8">
        <x:v>2</x:v>
      </x:c>
      <x:c r="F448" s="8">
        <x:v>8</x:v>
      </x:c>
      <x:c r="G448" s="10">
        <x:v>1609677</x:v>
      </x:c>
      <x:c r="H448" s="8">
        <x:v>8</x:v>
      </x:c>
      <x:c r="I448" s="8">
        <x:v>2</x:v>
      </x:c>
      <x:c r="J448" s="10">
        <x:v>1609677</x:v>
      </x:c>
      <x:c r="K448" s="5" t="s">
        <x:v>83</x:v>
      </x:c>
      <x:c r="L448" s="5">
        <x:v>2693</x:v>
      </x:c>
    </x:row>
    <x:row r="449" ht="22" customHeight="1">
      <x:c r="A449" s="1">
        <x:v>2023</x:v>
      </x:c>
      <x:c r="B449" s="1" t="s">
        <x:v>67</x:v>
      </x:c>
      <x:c r="C449" s="7" t="s">
        <x:v>68</x:v>
      </x:c>
      <x:c r="D449" s="1" t="s">
        <x:v>97</x:v>
      </x:c>
      <x:c r="E449" s="9">
        <x:v>0</x:v>
      </x:c>
      <x:c r="F449" s="9">
        <x:v>0</x:v>
      </x:c>
      <x:c r="G449" s="11">
        <x:v>0</x:v>
      </x:c>
      <x:c r="H449" s="9">
        <x:v>0</x:v>
      </x:c>
      <x:c r="I449" s="9">
        <x:v>0</x:v>
      </x:c>
      <x:c r="J449" s="11">
        <x:v>0</x:v>
      </x:c>
      <x:c r="K449" s="1" t="s">
        <x:v>83</x:v>
      </x:c>
      <x:c r="L449" s="1">
        <x:v>2693</x:v>
      </x:c>
    </x:row>
    <x:row r="450" ht="22" customHeight="1">
      <x:c r="A450" s="5">
        <x:v>2023</x:v>
      </x:c>
      <x:c r="B450" s="5" t="s">
        <x:v>69</x:v>
      </x:c>
      <x:c r="C450" s="6" t="s">
        <x:v>70</x:v>
      </x:c>
      <x:c r="D450" s="5" t="s">
        <x:v>94</x:v>
      </x:c>
      <x:c r="E450" s="8">
        <x:v>4575</x:v>
      </x:c>
      <x:c r="F450" s="8">
        <x:v>4575</x:v>
      </x:c>
      <x:c r="G450" s="10">
        <x:v>1465872140</x:v>
      </x:c>
      <x:c r="H450" s="8">
        <x:v>4529</x:v>
      </x:c>
      <x:c r="I450" s="8">
        <x:v>4529</x:v>
      </x:c>
      <x:c r="J450" s="10">
        <x:v>1420266871</x:v>
      </x:c>
      <x:c r="K450" s="5" t="s">
        <x:v>83</x:v>
      </x:c>
      <x:c r="L450" s="5">
        <x:v>2694</x:v>
      </x:c>
    </x:row>
    <x:row r="451" ht="22" customHeight="1">
      <x:c r="A451" s="1">
        <x:v>2023</x:v>
      </x:c>
      <x:c r="B451" s="1" t="s">
        <x:v>69</x:v>
      </x:c>
      <x:c r="C451" s="7" t="s">
        <x:v>70</x:v>
      </x:c>
      <x:c r="D451" s="1" t="s">
        <x:v>95</x:v>
      </x:c>
      <x:c r="E451" s="9">
        <x:v>19</x:v>
      </x:c>
      <x:c r="F451" s="9">
        <x:v>38</x:v>
      </x:c>
      <x:c r="G451" s="11">
        <x:v>9516518</x:v>
      </x:c>
      <x:c r="H451" s="9">
        <x:v>36</x:v>
      </x:c>
      <x:c r="I451" s="9">
        <x:v>18</x:v>
      </x:c>
      <x:c r="J451" s="11">
        <x:v>8847185</x:v>
      </x:c>
      <x:c r="K451" s="1" t="s">
        <x:v>83</x:v>
      </x:c>
      <x:c r="L451" s="1">
        <x:v>2694</x:v>
      </x:c>
    </x:row>
    <x:row r="452" ht="22" customHeight="1">
      <x:c r="A452" s="5">
        <x:v>2023</x:v>
      </x:c>
      <x:c r="B452" s="5" t="s">
        <x:v>69</x:v>
      </x:c>
      <x:c r="C452" s="6" t="s">
        <x:v>70</x:v>
      </x:c>
      <x:c r="D452" s="5" t="s">
        <x:v>96</x:v>
      </x:c>
      <x:c r="E452" s="8">
        <x:v>28</x:v>
      </x:c>
      <x:c r="F452" s="8">
        <x:v>108</x:v>
      </x:c>
      <x:c r="G452" s="10">
        <x:v>23002575</x:v>
      </x:c>
      <x:c r="H452" s="8">
        <x:v>108</x:v>
      </x:c>
      <x:c r="I452" s="8">
        <x:v>28</x:v>
      </x:c>
      <x:c r="J452" s="10">
        <x:v>23002575</x:v>
      </x:c>
      <x:c r="K452" s="5" t="s">
        <x:v>83</x:v>
      </x:c>
      <x:c r="L452" s="5">
        <x:v>2694</x:v>
      </x:c>
    </x:row>
    <x:row r="453" ht="22" customHeight="1">
      <x:c r="A453" s="1">
        <x:v>2023</x:v>
      </x:c>
      <x:c r="B453" s="1" t="s">
        <x:v>69</x:v>
      </x:c>
      <x:c r="C453" s="7" t="s">
        <x:v>70</x:v>
      </x:c>
      <x:c r="D453" s="1" t="s">
        <x:v>97</x:v>
      </x:c>
      <x:c r="E453" s="9">
        <x:v>73</x:v>
      </x:c>
      <x:c r="F453" s="9">
        <x:v>1315</x:v>
      </x:c>
      <x:c r="G453" s="11">
        <x:v>273166044</x:v>
      </x:c>
      <x:c r="H453" s="9">
        <x:v>1315</x:v>
      </x:c>
      <x:c r="I453" s="9">
        <x:v>73</x:v>
      </x:c>
      <x:c r="J453" s="11">
        <x:v>273166044</x:v>
      </x:c>
      <x:c r="K453" s="1" t="s">
        <x:v>83</x:v>
      </x:c>
      <x:c r="L453" s="1">
        <x:v>2694</x:v>
      </x:c>
    </x:row>
    <x:row r="454" ht="22" customHeight="1">
      <x:c r="A454" s="5">
        <x:v>2023</x:v>
      </x:c>
      <x:c r="B454" s="5" t="s">
        <x:v>71</x:v>
      </x:c>
      <x:c r="C454" s="6" t="s">
        <x:v>72</x:v>
      </x:c>
      <x:c r="D454" s="5" t="s">
        <x:v>94</x:v>
      </x:c>
      <x:c r="E454" s="8">
        <x:v>669</x:v>
      </x:c>
      <x:c r="F454" s="8">
        <x:v>669</x:v>
      </x:c>
      <x:c r="G454" s="10">
        <x:v>516087391</x:v>
      </x:c>
      <x:c r="H454" s="8">
        <x:v>669</x:v>
      </x:c>
      <x:c r="I454" s="8">
        <x:v>669</x:v>
      </x:c>
      <x:c r="J454" s="10">
        <x:v>516087391</x:v>
      </x:c>
      <x:c r="K454" s="5" t="s">
        <x:v>83</x:v>
      </x:c>
      <x:c r="L454" s="5">
        <x:v>2695</x:v>
      </x:c>
    </x:row>
    <x:row r="455" ht="22" customHeight="1">
      <x:c r="A455" s="1">
        <x:v>2023</x:v>
      </x:c>
      <x:c r="B455" s="1" t="s">
        <x:v>71</x:v>
      </x:c>
      <x:c r="C455" s="7" t="s">
        <x:v>72</x:v>
      </x:c>
      <x:c r="D455" s="1" t="s">
        <x:v>95</x:v>
      </x:c>
      <x:c r="E455" s="9">
        <x:v>3</x:v>
      </x:c>
      <x:c r="F455" s="9">
        <x:v>6</x:v>
      </x:c>
      <x:c r="G455" s="11">
        <x:v>2316956</x:v>
      </x:c>
      <x:c r="H455" s="9">
        <x:v>6</x:v>
      </x:c>
      <x:c r="I455" s="9">
        <x:v>3</x:v>
      </x:c>
      <x:c r="J455" s="11">
        <x:v>2316956</x:v>
      </x:c>
      <x:c r="K455" s="1" t="s">
        <x:v>83</x:v>
      </x:c>
      <x:c r="L455" s="1">
        <x:v>2695</x:v>
      </x:c>
    </x:row>
    <x:row r="456" ht="22" customHeight="1">
      <x:c r="A456" s="5">
        <x:v>2023</x:v>
      </x:c>
      <x:c r="B456" s="5" t="s">
        <x:v>71</x:v>
      </x:c>
      <x:c r="C456" s="6" t="s">
        <x:v>72</x:v>
      </x:c>
      <x:c r="D456" s="5" t="s">
        <x:v>96</x:v>
      </x:c>
      <x:c r="E456" s="8">
        <x:v>7</x:v>
      </x:c>
      <x:c r="F456" s="8">
        <x:v>25</x:v>
      </x:c>
      <x:c r="G456" s="10">
        <x:v>7233778</x:v>
      </x:c>
      <x:c r="H456" s="8">
        <x:v>25</x:v>
      </x:c>
      <x:c r="I456" s="8">
        <x:v>7</x:v>
      </x:c>
      <x:c r="J456" s="10">
        <x:v>7233778</x:v>
      </x:c>
      <x:c r="K456" s="5" t="s">
        <x:v>83</x:v>
      </x:c>
      <x:c r="L456" s="5">
        <x:v>2695</x:v>
      </x:c>
    </x:row>
    <x:row r="457" ht="22" customHeight="1">
      <x:c r="A457" s="1">
        <x:v>2023</x:v>
      </x:c>
      <x:c r="B457" s="1" t="s">
        <x:v>71</x:v>
      </x:c>
      <x:c r="C457" s="7" t="s">
        <x:v>72</x:v>
      </x:c>
      <x:c r="D457" s="1" t="s">
        <x:v>97</x:v>
      </x:c>
      <x:c r="E457" s="9">
        <x:v>0</x:v>
      </x:c>
      <x:c r="F457" s="9">
        <x:v>0</x:v>
      </x:c>
      <x:c r="G457" s="11">
        <x:v>0</x:v>
      </x:c>
      <x:c r="H457" s="9">
        <x:v>0</x:v>
      </x:c>
      <x:c r="I457" s="9">
        <x:v>0</x:v>
      </x:c>
      <x:c r="J457" s="11">
        <x:v>0</x:v>
      </x:c>
      <x:c r="K457" s="1" t="s">
        <x:v>83</x:v>
      </x:c>
      <x:c r="L457" s="1">
        <x:v>2695</x:v>
      </x:c>
    </x:row>
    <x:row r="458" ht="22" customHeight="1">
      <x:c r="A458" s="5">
        <x:v>2023</x:v>
      </x:c>
      <x:c r="B458" s="5" t="s">
        <x:v>73</x:v>
      </x:c>
      <x:c r="C458" s="6" t="s">
        <x:v>74</x:v>
      </x:c>
      <x:c r="D458" s="5" t="s">
        <x:v>94</x:v>
      </x:c>
      <x:c r="E458" s="8">
        <x:v>2134</x:v>
      </x:c>
      <x:c r="F458" s="8">
        <x:v>2134</x:v>
      </x:c>
      <x:c r="G458" s="10">
        <x:v>435832861</x:v>
      </x:c>
      <x:c r="H458" s="8">
        <x:v>2105</x:v>
      </x:c>
      <x:c r="I458" s="8">
        <x:v>2105</x:v>
      </x:c>
      <x:c r="J458" s="10">
        <x:v>428777438</x:v>
      </x:c>
      <x:c r="K458" s="5" t="s">
        <x:v>83</x:v>
      </x:c>
      <x:c r="L458" s="5">
        <x:v>2696</x:v>
      </x:c>
    </x:row>
    <x:row r="459" ht="22" customHeight="1">
      <x:c r="A459" s="1">
        <x:v>2023</x:v>
      </x:c>
      <x:c r="B459" s="1" t="s">
        <x:v>73</x:v>
      </x:c>
      <x:c r="C459" s="7" t="s">
        <x:v>74</x:v>
      </x:c>
      <x:c r="D459" s="1" t="s">
        <x:v>95</x:v>
      </x:c>
      <x:c r="E459" s="9">
        <x:v>5</x:v>
      </x:c>
      <x:c r="F459" s="9">
        <x:v>10</x:v>
      </x:c>
      <x:c r="G459" s="11">
        <x:v>1364859</x:v>
      </x:c>
      <x:c r="H459" s="9">
        <x:v>10</x:v>
      </x:c>
      <x:c r="I459" s="9">
        <x:v>5</x:v>
      </x:c>
      <x:c r="J459" s="11">
        <x:v>1364859</x:v>
      </x:c>
      <x:c r="K459" s="1" t="s">
        <x:v>83</x:v>
      </x:c>
      <x:c r="L459" s="1">
        <x:v>2696</x:v>
      </x:c>
    </x:row>
    <x:row r="460" ht="22" customHeight="1">
      <x:c r="A460" s="5">
        <x:v>2023</x:v>
      </x:c>
      <x:c r="B460" s="5" t="s">
        <x:v>73</x:v>
      </x:c>
      <x:c r="C460" s="6" t="s">
        <x:v>74</x:v>
      </x:c>
      <x:c r="D460" s="5" t="s">
        <x:v>96</x:v>
      </x:c>
      <x:c r="E460" s="8">
        <x:v>11</x:v>
      </x:c>
      <x:c r="F460" s="8">
        <x:v>38</x:v>
      </x:c>
      <x:c r="G460" s="10">
        <x:v>8514401</x:v>
      </x:c>
      <x:c r="H460" s="8">
        <x:v>38</x:v>
      </x:c>
      <x:c r="I460" s="8">
        <x:v>11</x:v>
      </x:c>
      <x:c r="J460" s="10">
        <x:v>8514401</x:v>
      </x:c>
      <x:c r="K460" s="5" t="s">
        <x:v>83</x:v>
      </x:c>
      <x:c r="L460" s="5">
        <x:v>2696</x:v>
      </x:c>
    </x:row>
    <x:row r="461" ht="22" customHeight="1">
      <x:c r="A461" s="1">
        <x:v>2023</x:v>
      </x:c>
      <x:c r="B461" s="1" t="s">
        <x:v>73</x:v>
      </x:c>
      <x:c r="C461" s="7" t="s">
        <x:v>74</x:v>
      </x:c>
      <x:c r="D461" s="1" t="s">
        <x:v>97</x:v>
      </x:c>
      <x:c r="E461" s="9">
        <x:v>32</x:v>
      </x:c>
      <x:c r="F461" s="9">
        <x:v>638</x:v>
      </x:c>
      <x:c r="G461" s="11">
        <x:v>96532127</x:v>
      </x:c>
      <x:c r="H461" s="9">
        <x:v>638</x:v>
      </x:c>
      <x:c r="I461" s="9">
        <x:v>32</x:v>
      </x:c>
      <x:c r="J461" s="11">
        <x:v>96532127</x:v>
      </x:c>
      <x:c r="K461" s="1" t="s">
        <x:v>83</x:v>
      </x:c>
      <x:c r="L461" s="1">
        <x:v>2696</x:v>
      </x:c>
    </x:row>
    <x:row r="462" ht="22" customHeight="1">
      <x:c r="A462" s="5">
        <x:v>2023</x:v>
      </x:c>
      <x:c r="B462" s="5" t="s">
        <x:v>75</x:v>
      </x:c>
      <x:c r="C462" s="6" t="s">
        <x:v>76</x:v>
      </x:c>
      <x:c r="D462" s="5" t="s">
        <x:v>94</x:v>
      </x:c>
      <x:c r="E462" s="8">
        <x:v>20</x:v>
      </x:c>
      <x:c r="F462" s="8">
        <x:v>20</x:v>
      </x:c>
      <x:c r="G462" s="10">
        <x:v>6920969</x:v>
      </x:c>
      <x:c r="H462" s="8">
        <x:v>20</x:v>
      </x:c>
      <x:c r="I462" s="8">
        <x:v>20</x:v>
      </x:c>
      <x:c r="J462" s="10">
        <x:v>6920969</x:v>
      </x:c>
      <x:c r="K462" s="5" t="s">
        <x:v>83</x:v>
      </x:c>
      <x:c r="L462" s="5">
        <x:v>2697</x:v>
      </x:c>
    </x:row>
    <x:row r="463" ht="22" customHeight="1">
      <x:c r="A463" s="1">
        <x:v>2023</x:v>
      </x:c>
      <x:c r="B463" s="1" t="s">
        <x:v>75</x:v>
      </x:c>
      <x:c r="C463" s="7" t="s">
        <x:v>76</x:v>
      </x:c>
      <x:c r="D463" s="1" t="s">
        <x:v>95</x:v>
      </x:c>
      <x:c r="E463" s="9">
        <x:v>0</x:v>
      </x:c>
      <x:c r="F463" s="9">
        <x:v>0</x:v>
      </x:c>
      <x:c r="G463" s="11">
        <x:v>0</x:v>
      </x:c>
      <x:c r="H463" s="9">
        <x:v>0</x:v>
      </x:c>
      <x:c r="I463" s="9">
        <x:v>0</x:v>
      </x:c>
      <x:c r="J463" s="11">
        <x:v>0</x:v>
      </x:c>
      <x:c r="K463" s="1" t="s">
        <x:v>83</x:v>
      </x:c>
      <x:c r="L463" s="1">
        <x:v>2697</x:v>
      </x:c>
    </x:row>
    <x:row r="464" ht="22" customHeight="1">
      <x:c r="A464" s="5">
        <x:v>2023</x:v>
      </x:c>
      <x:c r="B464" s="5" t="s">
        <x:v>75</x:v>
      </x:c>
      <x:c r="C464" s="6" t="s">
        <x:v>76</x:v>
      </x:c>
      <x:c r="D464" s="5" t="s">
        <x:v>96</x:v>
      </x:c>
      <x:c r="E464" s="8">
        <x:v>0</x:v>
      </x:c>
      <x:c r="F464" s="8">
        <x:v>0</x:v>
      </x:c>
      <x:c r="G464" s="10">
        <x:v>0</x:v>
      </x:c>
      <x:c r="H464" s="8">
        <x:v>0</x:v>
      </x:c>
      <x:c r="I464" s="8">
        <x:v>0</x:v>
      </x:c>
      <x:c r="J464" s="10">
        <x:v>0</x:v>
      </x:c>
      <x:c r="K464" s="5" t="s">
        <x:v>83</x:v>
      </x:c>
      <x:c r="L464" s="5">
        <x:v>2697</x:v>
      </x:c>
    </x:row>
    <x:row r="465" ht="22" customHeight="1">
      <x:c r="A465" s="1">
        <x:v>2023</x:v>
      </x:c>
      <x:c r="B465" s="1" t="s">
        <x:v>75</x:v>
      </x:c>
      <x:c r="C465" s="7" t="s">
        <x:v>76</x:v>
      </x:c>
      <x:c r="D465" s="1" t="s">
        <x:v>97</x:v>
      </x:c>
      <x:c r="E465" s="9">
        <x:v>0</x:v>
      </x:c>
      <x:c r="F465" s="9">
        <x:v>0</x:v>
      </x:c>
      <x:c r="G465" s="11">
        <x:v>0</x:v>
      </x:c>
      <x:c r="H465" s="9">
        <x:v>0</x:v>
      </x:c>
      <x:c r="I465" s="9">
        <x:v>0</x:v>
      </x:c>
      <x:c r="J465" s="11">
        <x:v>0</x:v>
      </x:c>
      <x:c r="K465" s="1" t="s">
        <x:v>83</x:v>
      </x:c>
      <x:c r="L465" s="1">
        <x:v>2697</x:v>
      </x:c>
    </x:row>
    <x:row r="466" ht="22" customHeight="1">
      <x:c r="A466" s="5">
        <x:v>2023</x:v>
      </x:c>
      <x:c r="B466" s="5" t="s">
        <x:v>77</x:v>
      </x:c>
      <x:c r="C466" s="6" t="s">
        <x:v>78</x:v>
      </x:c>
      <x:c r="D466" s="5" t="s">
        <x:v>94</x:v>
      </x:c>
      <x:c r="E466" s="8">
        <x:v>876</x:v>
      </x:c>
      <x:c r="F466" s="8">
        <x:v>876</x:v>
      </x:c>
      <x:c r="G466" s="10">
        <x:v>276041572</x:v>
      </x:c>
      <x:c r="H466" s="8">
        <x:v>466</x:v>
      </x:c>
      <x:c r="I466" s="8">
        <x:v>466</x:v>
      </x:c>
      <x:c r="J466" s="10">
        <x:v>160964120</x:v>
      </x:c>
      <x:c r="K466" s="5" t="s">
        <x:v>83</x:v>
      </x:c>
      <x:c r="L466" s="5">
        <x:v>2698</x:v>
      </x:c>
    </x:row>
    <x:row r="467" ht="22" customHeight="1">
      <x:c r="A467" s="1">
        <x:v>2023</x:v>
      </x:c>
      <x:c r="B467" s="1" t="s">
        <x:v>77</x:v>
      </x:c>
      <x:c r="C467" s="7" t="s">
        <x:v>78</x:v>
      </x:c>
      <x:c r="D467" s="1" t="s">
        <x:v>95</x:v>
      </x:c>
      <x:c r="E467" s="9">
        <x:v>1</x:v>
      </x:c>
      <x:c r="F467" s="9">
        <x:v>2</x:v>
      </x:c>
      <x:c r="G467" s="11">
        <x:v>300000</x:v>
      </x:c>
      <x:c r="H467" s="9">
        <x:v>2</x:v>
      </x:c>
      <x:c r="I467" s="9">
        <x:v>1</x:v>
      </x:c>
      <x:c r="J467" s="11">
        <x:v>300000</x:v>
      </x:c>
      <x:c r="K467" s="1" t="s">
        <x:v>83</x:v>
      </x:c>
      <x:c r="L467" s="1">
        <x:v>2698</x:v>
      </x:c>
    </x:row>
    <x:row r="468" ht="22" customHeight="1">
      <x:c r="A468" s="5">
        <x:v>2023</x:v>
      </x:c>
      <x:c r="B468" s="5" t="s">
        <x:v>77</x:v>
      </x:c>
      <x:c r="C468" s="6" t="s">
        <x:v>78</x:v>
      </x:c>
      <x:c r="D468" s="5" t="s">
        <x:v>96</x:v>
      </x:c>
      <x:c r="E468" s="8">
        <x:v>23</x:v>
      </x:c>
      <x:c r="F468" s="8">
        <x:v>80</x:v>
      </x:c>
      <x:c r="G468" s="10">
        <x:v>13890156</x:v>
      </x:c>
      <x:c r="H468" s="8">
        <x:v>30</x:v>
      </x:c>
      <x:c r="I468" s="8">
        <x:v>8</x:v>
      </x:c>
      <x:c r="J468" s="10">
        <x:v>4879099</x:v>
      </x:c>
      <x:c r="K468" s="5" t="s">
        <x:v>83</x:v>
      </x:c>
      <x:c r="L468" s="5">
        <x:v>2698</x:v>
      </x:c>
    </x:row>
    <x:row r="469" ht="22" customHeight="1">
      <x:c r="A469" s="1">
        <x:v>2023</x:v>
      </x:c>
      <x:c r="B469" s="1" t="s">
        <x:v>77</x:v>
      </x:c>
      <x:c r="C469" s="7" t="s">
        <x:v>78</x:v>
      </x:c>
      <x:c r="D469" s="1" t="s">
        <x:v>97</x:v>
      </x:c>
      <x:c r="E469" s="9">
        <x:v>28</x:v>
      </x:c>
      <x:c r="F469" s="9">
        <x:v>482</x:v>
      </x:c>
      <x:c r="G469" s="11">
        <x:v>71743636</x:v>
      </x:c>
      <x:c r="H469" s="9">
        <x:v>15</x:v>
      </x:c>
      <x:c r="I469" s="9">
        <x:v>3</x:v>
      </x:c>
      <x:c r="J469" s="11">
        <x:v>3343885</x:v>
      </x:c>
      <x:c r="K469" s="1" t="s">
        <x:v>83</x:v>
      </x:c>
      <x:c r="L469" s="1">
        <x:v>2698</x:v>
      </x:c>
    </x:row>
    <x:row r="470" ht="22" customHeight="1">
      <x:c r="A470" s="5">
        <x:v>2024</x:v>
      </x:c>
      <x:c r="B470" s="5" t="s">
        <x:v>18</x:v>
      </x:c>
      <x:c r="C470" s="6" t="s">
        <x:v>19</x:v>
      </x:c>
      <x:c r="D470" s="5" t="s">
        <x:v>94</x:v>
      </x:c>
      <x:c r="E470" s="8">
        <x:v>39</x:v>
      </x:c>
      <x:c r="F470" s="8">
        <x:v>39</x:v>
      </x:c>
      <x:c r="G470" s="10">
        <x:v>14086117</x:v>
      </x:c>
      <x:c r="H470" s="8">
        <x:v>39</x:v>
      </x:c>
      <x:c r="I470" s="8">
        <x:v>39</x:v>
      </x:c>
      <x:c r="J470" s="10">
        <x:v>14086117</x:v>
      </x:c>
      <x:c r="K470" s="5" t="s">
        <x:v>84</x:v>
      </x:c>
      <x:c r="L470" s="5">
        <x:v>2669</x:v>
      </x:c>
    </x:row>
    <x:row r="471" ht="22" customHeight="1">
      <x:c r="A471" s="1">
        <x:v>2024</x:v>
      </x:c>
      <x:c r="B471" s="1" t="s">
        <x:v>18</x:v>
      </x:c>
      <x:c r="C471" s="7" t="s">
        <x:v>19</x:v>
      </x:c>
      <x:c r="D471" s="1" t="s">
        <x:v>95</x:v>
      </x:c>
      <x:c r="E471" s="9">
        <x:v>0</x:v>
      </x:c>
      <x:c r="F471" s="9">
        <x:v>0</x:v>
      </x:c>
      <x:c r="G471" s="11">
        <x:v>0</x:v>
      </x:c>
      <x:c r="H471" s="9">
        <x:v>0</x:v>
      </x:c>
      <x:c r="I471" s="9">
        <x:v>0</x:v>
      </x:c>
      <x:c r="J471" s="11">
        <x:v>0</x:v>
      </x:c>
      <x:c r="K471" s="1" t="s">
        <x:v>84</x:v>
      </x:c>
      <x:c r="L471" s="1">
        <x:v>2669</x:v>
      </x:c>
    </x:row>
    <x:row r="472" ht="22" customHeight="1">
      <x:c r="A472" s="5">
        <x:v>2024</x:v>
      </x:c>
      <x:c r="B472" s="5" t="s">
        <x:v>18</x:v>
      </x:c>
      <x:c r="C472" s="6" t="s">
        <x:v>19</x:v>
      </x:c>
      <x:c r="D472" s="5" t="s">
        <x:v>96</x:v>
      </x:c>
      <x:c r="E472" s="8">
        <x:v>0</x:v>
      </x:c>
      <x:c r="F472" s="8">
        <x:v>0</x:v>
      </x:c>
      <x:c r="G472" s="10">
        <x:v>0</x:v>
      </x:c>
      <x:c r="H472" s="8">
        <x:v>0</x:v>
      </x:c>
      <x:c r="I472" s="8">
        <x:v>0</x:v>
      </x:c>
      <x:c r="J472" s="10">
        <x:v>0</x:v>
      </x:c>
      <x:c r="K472" s="5" t="s">
        <x:v>84</x:v>
      </x:c>
      <x:c r="L472" s="5">
        <x:v>2669</x:v>
      </x:c>
    </x:row>
    <x:row r="473" ht="22" customHeight="1">
      <x:c r="A473" s="1">
        <x:v>2024</x:v>
      </x:c>
      <x:c r="B473" s="1" t="s">
        <x:v>18</x:v>
      </x:c>
      <x:c r="C473" s="7" t="s">
        <x:v>19</x:v>
      </x:c>
      <x:c r="D473" s="1" t="s">
        <x:v>97</x:v>
      </x:c>
      <x:c r="E473" s="9">
        <x:v>0</x:v>
      </x:c>
      <x:c r="F473" s="9">
        <x:v>0</x:v>
      </x:c>
      <x:c r="G473" s="11">
        <x:v>0</x:v>
      </x:c>
      <x:c r="H473" s="9">
        <x:v>0</x:v>
      </x:c>
      <x:c r="I473" s="9">
        <x:v>0</x:v>
      </x:c>
      <x:c r="J473" s="11">
        <x:v>0</x:v>
      </x:c>
      <x:c r="K473" s="1" t="s">
        <x:v>84</x:v>
      </x:c>
      <x:c r="L473" s="1">
        <x:v>2669</x:v>
      </x:c>
    </x:row>
    <x:row r="474" ht="22" customHeight="1">
      <x:c r="A474" s="5">
        <x:v>2024</x:v>
      </x:c>
      <x:c r="B474" s="5" t="s">
        <x:v>23</x:v>
      </x:c>
      <x:c r="C474" s="6" t="s">
        <x:v>24</x:v>
      </x:c>
      <x:c r="D474" s="5" t="s">
        <x:v>94</x:v>
      </x:c>
      <x:c r="E474" s="8">
        <x:v>397</x:v>
      </x:c>
      <x:c r="F474" s="8">
        <x:v>397</x:v>
      </x:c>
      <x:c r="G474" s="10">
        <x:v>124708271</x:v>
      </x:c>
      <x:c r="H474" s="8">
        <x:v>347</x:v>
      </x:c>
      <x:c r="I474" s="8">
        <x:v>347</x:v>
      </x:c>
      <x:c r="J474" s="10">
        <x:v>112081551</x:v>
      </x:c>
      <x:c r="K474" s="5" t="s">
        <x:v>84</x:v>
      </x:c>
      <x:c r="L474" s="5">
        <x:v>2670</x:v>
      </x:c>
    </x:row>
    <x:row r="475" ht="22" customHeight="1">
      <x:c r="A475" s="1">
        <x:v>2024</x:v>
      </x:c>
      <x:c r="B475" s="1" t="s">
        <x:v>23</x:v>
      </x:c>
      <x:c r="C475" s="7" t="s">
        <x:v>24</x:v>
      </x:c>
      <x:c r="D475" s="1" t="s">
        <x:v>95</x:v>
      </x:c>
      <x:c r="E475" s="9">
        <x:v>0</x:v>
      </x:c>
      <x:c r="F475" s="9">
        <x:v>0</x:v>
      </x:c>
      <x:c r="G475" s="11">
        <x:v>0</x:v>
      </x:c>
      <x:c r="H475" s="9">
        <x:v>0</x:v>
      </x:c>
      <x:c r="I475" s="9">
        <x:v>0</x:v>
      </x:c>
      <x:c r="J475" s="11">
        <x:v>0</x:v>
      </x:c>
      <x:c r="K475" s="1" t="s">
        <x:v>84</x:v>
      </x:c>
      <x:c r="L475" s="1">
        <x:v>2670</x:v>
      </x:c>
    </x:row>
    <x:row r="476" ht="22" customHeight="1">
      <x:c r="A476" s="5">
        <x:v>2024</x:v>
      </x:c>
      <x:c r="B476" s="5" t="s">
        <x:v>23</x:v>
      </x:c>
      <x:c r="C476" s="6" t="s">
        <x:v>24</x:v>
      </x:c>
      <x:c r="D476" s="5" t="s">
        <x:v>96</x:v>
      </x:c>
      <x:c r="E476" s="8">
        <x:v>2</x:v>
      </x:c>
      <x:c r="F476" s="8">
        <x:v>8</x:v>
      </x:c>
      <x:c r="G476" s="10">
        <x:v>1859301</x:v>
      </x:c>
      <x:c r="H476" s="8">
        <x:v>8</x:v>
      </x:c>
      <x:c r="I476" s="8">
        <x:v>2</x:v>
      </x:c>
      <x:c r="J476" s="10">
        <x:v>1859301</x:v>
      </x:c>
      <x:c r="K476" s="5" t="s">
        <x:v>84</x:v>
      </x:c>
      <x:c r="L476" s="5">
        <x:v>2670</x:v>
      </x:c>
    </x:row>
    <x:row r="477" ht="22" customHeight="1">
      <x:c r="A477" s="1">
        <x:v>2024</x:v>
      </x:c>
      <x:c r="B477" s="1" t="s">
        <x:v>23</x:v>
      </x:c>
      <x:c r="C477" s="7" t="s">
        <x:v>24</x:v>
      </x:c>
      <x:c r="D477" s="1" t="s">
        <x:v>97</x:v>
      </x:c>
      <x:c r="E477" s="9">
        <x:v>8</x:v>
      </x:c>
      <x:c r="F477" s="9">
        <x:v>74</x:v>
      </x:c>
      <x:c r="G477" s="11">
        <x:v>14024560</x:v>
      </x:c>
      <x:c r="H477" s="9">
        <x:v>74</x:v>
      </x:c>
      <x:c r="I477" s="9">
        <x:v>8</x:v>
      </x:c>
      <x:c r="J477" s="11">
        <x:v>14024560</x:v>
      </x:c>
      <x:c r="K477" s="1" t="s">
        <x:v>84</x:v>
      </x:c>
      <x:c r="L477" s="1">
        <x:v>2670</x:v>
      </x:c>
    </x:row>
    <x:row r="478" ht="22" customHeight="1">
      <x:c r="A478" s="5">
        <x:v>2024</x:v>
      </x:c>
      <x:c r="B478" s="5" t="s">
        <x:v>25</x:v>
      </x:c>
      <x:c r="C478" s="6" t="s">
        <x:v>26</x:v>
      </x:c>
      <x:c r="D478" s="5" t="s">
        <x:v>94</x:v>
      </x:c>
      <x:c r="E478" s="8">
        <x:v>871</x:v>
      </x:c>
      <x:c r="F478" s="8">
        <x:v>871</x:v>
      </x:c>
      <x:c r="G478" s="10">
        <x:v>328743992</x:v>
      </x:c>
      <x:c r="H478" s="8">
        <x:v>871</x:v>
      </x:c>
      <x:c r="I478" s="8">
        <x:v>871</x:v>
      </x:c>
      <x:c r="J478" s="10">
        <x:v>328743992</x:v>
      </x:c>
      <x:c r="K478" s="5" t="s">
        <x:v>84</x:v>
      </x:c>
      <x:c r="L478" s="5">
        <x:v>2671</x:v>
      </x:c>
    </x:row>
    <x:row r="479" ht="22" customHeight="1">
      <x:c r="A479" s="1">
        <x:v>2024</x:v>
      </x:c>
      <x:c r="B479" s="1" t="s">
        <x:v>25</x:v>
      </x:c>
      <x:c r="C479" s="7" t="s">
        <x:v>26</x:v>
      </x:c>
      <x:c r="D479" s="1" t="s">
        <x:v>95</x:v>
      </x:c>
      <x:c r="E479" s="9">
        <x:v>2</x:v>
      </x:c>
      <x:c r="F479" s="9">
        <x:v>4</x:v>
      </x:c>
      <x:c r="G479" s="11">
        <x:v>812500</x:v>
      </x:c>
      <x:c r="H479" s="9">
        <x:v>4</x:v>
      </x:c>
      <x:c r="I479" s="9">
        <x:v>2</x:v>
      </x:c>
      <x:c r="J479" s="11">
        <x:v>812500</x:v>
      </x:c>
      <x:c r="K479" s="1" t="s">
        <x:v>84</x:v>
      </x:c>
      <x:c r="L479" s="1">
        <x:v>2671</x:v>
      </x:c>
    </x:row>
    <x:row r="480" ht="22" customHeight="1">
      <x:c r="A480" s="5">
        <x:v>2024</x:v>
      </x:c>
      <x:c r="B480" s="5" t="s">
        <x:v>25</x:v>
      </x:c>
      <x:c r="C480" s="6" t="s">
        <x:v>26</x:v>
      </x:c>
      <x:c r="D480" s="5" t="s">
        <x:v>96</x:v>
      </x:c>
      <x:c r="E480" s="8">
        <x:v>0</x:v>
      </x:c>
      <x:c r="F480" s="8">
        <x:v>0</x:v>
      </x:c>
      <x:c r="G480" s="10">
        <x:v>0</x:v>
      </x:c>
      <x:c r="H480" s="8">
        <x:v>0</x:v>
      </x:c>
      <x:c r="I480" s="8">
        <x:v>0</x:v>
      </x:c>
      <x:c r="J480" s="10">
        <x:v>0</x:v>
      </x:c>
      <x:c r="K480" s="5" t="s">
        <x:v>84</x:v>
      </x:c>
      <x:c r="L480" s="5">
        <x:v>2671</x:v>
      </x:c>
    </x:row>
    <x:row r="481" ht="22" customHeight="1">
      <x:c r="A481" s="1">
        <x:v>2024</x:v>
      </x:c>
      <x:c r="B481" s="1" t="s">
        <x:v>25</x:v>
      </x:c>
      <x:c r="C481" s="7" t="s">
        <x:v>26</x:v>
      </x:c>
      <x:c r="D481" s="1" t="s">
        <x:v>97</x:v>
      </x:c>
      <x:c r="E481" s="9">
        <x:v>9</x:v>
      </x:c>
      <x:c r="F481" s="9">
        <x:v>146</x:v>
      </x:c>
      <x:c r="G481" s="11">
        <x:v>14598000</x:v>
      </x:c>
      <x:c r="H481" s="9">
        <x:v>146</x:v>
      </x:c>
      <x:c r="I481" s="9">
        <x:v>9</x:v>
      </x:c>
      <x:c r="J481" s="11">
        <x:v>14598000</x:v>
      </x:c>
      <x:c r="K481" s="1" t="s">
        <x:v>84</x:v>
      </x:c>
      <x:c r="L481" s="1">
        <x:v>2671</x:v>
      </x:c>
    </x:row>
    <x:row r="482" ht="22" customHeight="1">
      <x:c r="A482" s="5">
        <x:v>2024</x:v>
      </x:c>
      <x:c r="B482" s="5" t="s">
        <x:v>27</x:v>
      </x:c>
      <x:c r="C482" s="6" t="s">
        <x:v>28</x:v>
      </x:c>
      <x:c r="D482" s="5" t="s">
        <x:v>94</x:v>
      </x:c>
      <x:c r="E482" s="8">
        <x:v>28</x:v>
      </x:c>
      <x:c r="F482" s="8">
        <x:v>28</x:v>
      </x:c>
      <x:c r="G482" s="10">
        <x:v>13269748</x:v>
      </x:c>
      <x:c r="H482" s="8">
        <x:v>28</x:v>
      </x:c>
      <x:c r="I482" s="8">
        <x:v>28</x:v>
      </x:c>
      <x:c r="J482" s="10">
        <x:v>13269748</x:v>
      </x:c>
      <x:c r="K482" s="5" t="s">
        <x:v>84</x:v>
      </x:c>
      <x:c r="L482" s="5">
        <x:v>2672</x:v>
      </x:c>
    </x:row>
    <x:row r="483" ht="22" customHeight="1">
      <x:c r="A483" s="1">
        <x:v>2024</x:v>
      </x:c>
      <x:c r="B483" s="1" t="s">
        <x:v>27</x:v>
      </x:c>
      <x:c r="C483" s="7" t="s">
        <x:v>28</x:v>
      </x:c>
      <x:c r="D483" s="1" t="s">
        <x:v>95</x:v>
      </x:c>
      <x:c r="E483" s="9">
        <x:v>0</x:v>
      </x:c>
      <x:c r="F483" s="9">
        <x:v>0</x:v>
      </x:c>
      <x:c r="G483" s="11">
        <x:v>0</x:v>
      </x:c>
      <x:c r="H483" s="9">
        <x:v>0</x:v>
      </x:c>
      <x:c r="I483" s="9">
        <x:v>0</x:v>
      </x:c>
      <x:c r="J483" s="11">
        <x:v>0</x:v>
      </x:c>
      <x:c r="K483" s="1" t="s">
        <x:v>84</x:v>
      </x:c>
      <x:c r="L483" s="1">
        <x:v>2672</x:v>
      </x:c>
    </x:row>
    <x:row r="484" ht="22" customHeight="1">
      <x:c r="A484" s="5">
        <x:v>2024</x:v>
      </x:c>
      <x:c r="B484" s="5" t="s">
        <x:v>27</x:v>
      </x:c>
      <x:c r="C484" s="6" t="s">
        <x:v>28</x:v>
      </x:c>
      <x:c r="D484" s="5" t="s">
        <x:v>96</x:v>
      </x:c>
      <x:c r="E484" s="8">
        <x:v>0</x:v>
      </x:c>
      <x:c r="F484" s="8">
        <x:v>0</x:v>
      </x:c>
      <x:c r="G484" s="10">
        <x:v>0</x:v>
      </x:c>
      <x:c r="H484" s="8">
        <x:v>0</x:v>
      </x:c>
      <x:c r="I484" s="8">
        <x:v>0</x:v>
      </x:c>
      <x:c r="J484" s="10">
        <x:v>0</x:v>
      </x:c>
      <x:c r="K484" s="5" t="s">
        <x:v>84</x:v>
      </x:c>
      <x:c r="L484" s="5">
        <x:v>2672</x:v>
      </x:c>
    </x:row>
    <x:row r="485" ht="22" customHeight="1">
      <x:c r="A485" s="1">
        <x:v>2024</x:v>
      </x:c>
      <x:c r="B485" s="1" t="s">
        <x:v>27</x:v>
      </x:c>
      <x:c r="C485" s="7" t="s">
        <x:v>28</x:v>
      </x:c>
      <x:c r="D485" s="1" t="s">
        <x:v>97</x:v>
      </x:c>
      <x:c r="E485" s="9">
        <x:v>7</x:v>
      </x:c>
      <x:c r="F485" s="9">
        <x:v>168</x:v>
      </x:c>
      <x:c r="G485" s="11">
        <x:v>26472156</x:v>
      </x:c>
      <x:c r="H485" s="9">
        <x:v>168</x:v>
      </x:c>
      <x:c r="I485" s="9">
        <x:v>7</x:v>
      </x:c>
      <x:c r="J485" s="11">
        <x:v>26472156</x:v>
      </x:c>
      <x:c r="K485" s="1" t="s">
        <x:v>84</x:v>
      </x:c>
      <x:c r="L485" s="1">
        <x:v>2672</x:v>
      </x:c>
    </x:row>
    <x:row r="486" ht="22" customHeight="1">
      <x:c r="A486" s="5">
        <x:v>2024</x:v>
      </x:c>
      <x:c r="B486" s="5" t="s">
        <x:v>29</x:v>
      </x:c>
      <x:c r="C486" s="6" t="s">
        <x:v>30</x:v>
      </x:c>
      <x:c r="D486" s="5" t="s">
        <x:v>94</x:v>
      </x:c>
      <x:c r="E486" s="8">
        <x:v>10</x:v>
      </x:c>
      <x:c r="F486" s="8">
        <x:v>10</x:v>
      </x:c>
      <x:c r="G486" s="10">
        <x:v>3566205</x:v>
      </x:c>
      <x:c r="H486" s="8">
        <x:v>10</x:v>
      </x:c>
      <x:c r="I486" s="8">
        <x:v>10</x:v>
      </x:c>
      <x:c r="J486" s="10">
        <x:v>3566205</x:v>
      </x:c>
      <x:c r="K486" s="5" t="s">
        <x:v>84</x:v>
      </x:c>
      <x:c r="L486" s="5">
        <x:v>2673</x:v>
      </x:c>
    </x:row>
    <x:row r="487" ht="22" customHeight="1">
      <x:c r="A487" s="1">
        <x:v>2024</x:v>
      </x:c>
      <x:c r="B487" s="1" t="s">
        <x:v>29</x:v>
      </x:c>
      <x:c r="C487" s="7" t="s">
        <x:v>30</x:v>
      </x:c>
      <x:c r="D487" s="1" t="s">
        <x:v>95</x:v>
      </x:c>
      <x:c r="E487" s="9">
        <x:v>0</x:v>
      </x:c>
      <x:c r="F487" s="9">
        <x:v>0</x:v>
      </x:c>
      <x:c r="G487" s="11">
        <x:v>0</x:v>
      </x:c>
      <x:c r="H487" s="9">
        <x:v>0</x:v>
      </x:c>
      <x:c r="I487" s="9">
        <x:v>0</x:v>
      </x:c>
      <x:c r="J487" s="11">
        <x:v>0</x:v>
      </x:c>
      <x:c r="K487" s="1" t="s">
        <x:v>84</x:v>
      </x:c>
      <x:c r="L487" s="1">
        <x:v>2673</x:v>
      </x:c>
    </x:row>
    <x:row r="488" ht="22" customHeight="1">
      <x:c r="A488" s="5">
        <x:v>2024</x:v>
      </x:c>
      <x:c r="B488" s="5" t="s">
        <x:v>29</x:v>
      </x:c>
      <x:c r="C488" s="6" t="s">
        <x:v>30</x:v>
      </x:c>
      <x:c r="D488" s="5" t="s">
        <x:v>96</x:v>
      </x:c>
      <x:c r="E488" s="8">
        <x:v>0</x:v>
      </x:c>
      <x:c r="F488" s="8">
        <x:v>0</x:v>
      </x:c>
      <x:c r="G488" s="10">
        <x:v>0</x:v>
      </x:c>
      <x:c r="H488" s="8">
        <x:v>0</x:v>
      </x:c>
      <x:c r="I488" s="8">
        <x:v>0</x:v>
      </x:c>
      <x:c r="J488" s="10">
        <x:v>0</x:v>
      </x:c>
      <x:c r="K488" s="5" t="s">
        <x:v>84</x:v>
      </x:c>
      <x:c r="L488" s="5">
        <x:v>2673</x:v>
      </x:c>
    </x:row>
    <x:row r="489" ht="22" customHeight="1">
      <x:c r="A489" s="1">
        <x:v>2024</x:v>
      </x:c>
      <x:c r="B489" s="1" t="s">
        <x:v>29</x:v>
      </x:c>
      <x:c r="C489" s="7" t="s">
        <x:v>30</x:v>
      </x:c>
      <x:c r="D489" s="1" t="s">
        <x:v>97</x:v>
      </x:c>
      <x:c r="E489" s="9">
        <x:v>0</x:v>
      </x:c>
      <x:c r="F489" s="9">
        <x:v>0</x:v>
      </x:c>
      <x:c r="G489" s="11">
        <x:v>0</x:v>
      </x:c>
      <x:c r="H489" s="9">
        <x:v>0</x:v>
      </x:c>
      <x:c r="I489" s="9">
        <x:v>0</x:v>
      </x:c>
      <x:c r="J489" s="11">
        <x:v>0</x:v>
      </x:c>
      <x:c r="K489" s="1" t="s">
        <x:v>84</x:v>
      </x:c>
      <x:c r="L489" s="1">
        <x:v>2673</x:v>
      </x:c>
    </x:row>
    <x:row r="490" ht="22" customHeight="1">
      <x:c r="A490" s="5">
        <x:v>2024</x:v>
      </x:c>
      <x:c r="B490" s="5" t="s">
        <x:v>31</x:v>
      </x:c>
      <x:c r="C490" s="6" t="s">
        <x:v>32</x:v>
      </x:c>
      <x:c r="D490" s="5" t="s">
        <x:v>94</x:v>
      </x:c>
      <x:c r="E490" s="8">
        <x:v>920</x:v>
      </x:c>
      <x:c r="F490" s="8">
        <x:v>920</x:v>
      </x:c>
      <x:c r="G490" s="10">
        <x:v>312353818</x:v>
      </x:c>
      <x:c r="H490" s="8">
        <x:v>920</x:v>
      </x:c>
      <x:c r="I490" s="8">
        <x:v>920</x:v>
      </x:c>
      <x:c r="J490" s="10">
        <x:v>312353818</x:v>
      </x:c>
      <x:c r="K490" s="5" t="s">
        <x:v>84</x:v>
      </x:c>
      <x:c r="L490" s="5">
        <x:v>2674</x:v>
      </x:c>
    </x:row>
    <x:row r="491" ht="22" customHeight="1">
      <x:c r="A491" s="1">
        <x:v>2024</x:v>
      </x:c>
      <x:c r="B491" s="1" t="s">
        <x:v>31</x:v>
      </x:c>
      <x:c r="C491" s="7" t="s">
        <x:v>32</x:v>
      </x:c>
      <x:c r="D491" s="1" t="s">
        <x:v>95</x:v>
      </x:c>
      <x:c r="E491" s="9">
        <x:v>1</x:v>
      </x:c>
      <x:c r="F491" s="9">
        <x:v>2</x:v>
      </x:c>
      <x:c r="G491" s="11">
        <x:v>586000</x:v>
      </x:c>
      <x:c r="H491" s="9">
        <x:v>2</x:v>
      </x:c>
      <x:c r="I491" s="9">
        <x:v>1</x:v>
      </x:c>
      <x:c r="J491" s="11">
        <x:v>586000</x:v>
      </x:c>
      <x:c r="K491" s="1" t="s">
        <x:v>84</x:v>
      </x:c>
      <x:c r="L491" s="1">
        <x:v>2674</x:v>
      </x:c>
    </x:row>
    <x:row r="492" ht="22" customHeight="1">
      <x:c r="A492" s="5">
        <x:v>2024</x:v>
      </x:c>
      <x:c r="B492" s="5" t="s">
        <x:v>31</x:v>
      </x:c>
      <x:c r="C492" s="6" t="s">
        <x:v>32</x:v>
      </x:c>
      <x:c r="D492" s="5" t="s">
        <x:v>96</x:v>
      </x:c>
      <x:c r="E492" s="8">
        <x:v>10</x:v>
      </x:c>
      <x:c r="F492" s="8">
        <x:v>38</x:v>
      </x:c>
      <x:c r="G492" s="10">
        <x:v>9432788</x:v>
      </x:c>
      <x:c r="H492" s="8">
        <x:v>38</x:v>
      </x:c>
      <x:c r="I492" s="8">
        <x:v>10</x:v>
      </x:c>
      <x:c r="J492" s="10">
        <x:v>9432788</x:v>
      </x:c>
      <x:c r="K492" s="5" t="s">
        <x:v>84</x:v>
      </x:c>
      <x:c r="L492" s="5">
        <x:v>2674</x:v>
      </x:c>
    </x:row>
    <x:row r="493" ht="22" customHeight="1">
      <x:c r="A493" s="1">
        <x:v>2024</x:v>
      </x:c>
      <x:c r="B493" s="1" t="s">
        <x:v>31</x:v>
      </x:c>
      <x:c r="C493" s="7" t="s">
        <x:v>32</x:v>
      </x:c>
      <x:c r="D493" s="1" t="s">
        <x:v>97</x:v>
      </x:c>
      <x:c r="E493" s="9">
        <x:v>29</x:v>
      </x:c>
      <x:c r="F493" s="9">
        <x:v>508</x:v>
      </x:c>
      <x:c r="G493" s="11">
        <x:v>100906556</x:v>
      </x:c>
      <x:c r="H493" s="9">
        <x:v>508</x:v>
      </x:c>
      <x:c r="I493" s="9">
        <x:v>29</x:v>
      </x:c>
      <x:c r="J493" s="11">
        <x:v>100906556</x:v>
      </x:c>
      <x:c r="K493" s="1" t="s">
        <x:v>84</x:v>
      </x:c>
      <x:c r="L493" s="1">
        <x:v>2674</x:v>
      </x:c>
    </x:row>
    <x:row r="494" ht="22" customHeight="1">
      <x:c r="A494" s="5">
        <x:v>2024</x:v>
      </x:c>
      <x:c r="B494" s="5" t="s">
        <x:v>33</x:v>
      </x:c>
      <x:c r="C494" s="6" t="s">
        <x:v>34</x:v>
      </x:c>
      <x:c r="D494" s="5" t="s">
        <x:v>94</x:v>
      </x:c>
      <x:c r="E494" s="8">
        <x:v>123</x:v>
      </x:c>
      <x:c r="F494" s="8">
        <x:v>123</x:v>
      </x:c>
      <x:c r="G494" s="10">
        <x:v>41080142</x:v>
      </x:c>
      <x:c r="H494" s="8">
        <x:v>70</x:v>
      </x:c>
      <x:c r="I494" s="8">
        <x:v>70</x:v>
      </x:c>
      <x:c r="J494" s="10">
        <x:v>29617661</x:v>
      </x:c>
      <x:c r="K494" s="5" t="s">
        <x:v>84</x:v>
      </x:c>
      <x:c r="L494" s="5">
        <x:v>2675</x:v>
      </x:c>
    </x:row>
    <x:row r="495" ht="22" customHeight="1">
      <x:c r="A495" s="1">
        <x:v>2024</x:v>
      </x:c>
      <x:c r="B495" s="1" t="s">
        <x:v>33</x:v>
      </x:c>
      <x:c r="C495" s="7" t="s">
        <x:v>34</x:v>
      </x:c>
      <x:c r="D495" s="1" t="s">
        <x:v>95</x:v>
      </x:c>
      <x:c r="E495" s="9">
        <x:v>0</x:v>
      </x:c>
      <x:c r="F495" s="9">
        <x:v>0</x:v>
      </x:c>
      <x:c r="G495" s="11">
        <x:v>0</x:v>
      </x:c>
      <x:c r="H495" s="9">
        <x:v>0</x:v>
      </x:c>
      <x:c r="I495" s="9">
        <x:v>0</x:v>
      </x:c>
      <x:c r="J495" s="11">
        <x:v>0</x:v>
      </x:c>
      <x:c r="K495" s="1" t="s">
        <x:v>84</x:v>
      </x:c>
      <x:c r="L495" s="1">
        <x:v>2675</x:v>
      </x:c>
    </x:row>
    <x:row r="496" ht="22" customHeight="1">
      <x:c r="A496" s="5">
        <x:v>2024</x:v>
      </x:c>
      <x:c r="B496" s="5" t="s">
        <x:v>33</x:v>
      </x:c>
      <x:c r="C496" s="6" t="s">
        <x:v>34</x:v>
      </x:c>
      <x:c r="D496" s="5" t="s">
        <x:v>96</x:v>
      </x:c>
      <x:c r="E496" s="8">
        <x:v>0</x:v>
      </x:c>
      <x:c r="F496" s="8">
        <x:v>0</x:v>
      </x:c>
      <x:c r="G496" s="10">
        <x:v>0</x:v>
      </x:c>
      <x:c r="H496" s="8">
        <x:v>0</x:v>
      </x:c>
      <x:c r="I496" s="8">
        <x:v>0</x:v>
      </x:c>
      <x:c r="J496" s="10">
        <x:v>0</x:v>
      </x:c>
      <x:c r="K496" s="5" t="s">
        <x:v>84</x:v>
      </x:c>
      <x:c r="L496" s="5">
        <x:v>2675</x:v>
      </x:c>
    </x:row>
    <x:row r="497" ht="22" customHeight="1">
      <x:c r="A497" s="1">
        <x:v>2024</x:v>
      </x:c>
      <x:c r="B497" s="1" t="s">
        <x:v>33</x:v>
      </x:c>
      <x:c r="C497" s="7" t="s">
        <x:v>34</x:v>
      </x:c>
      <x:c r="D497" s="1" t="s">
        <x:v>97</x:v>
      </x:c>
      <x:c r="E497" s="9">
        <x:v>0</x:v>
      </x:c>
      <x:c r="F497" s="9">
        <x:v>0</x:v>
      </x:c>
      <x:c r="G497" s="11">
        <x:v>0</x:v>
      </x:c>
      <x:c r="H497" s="9">
        <x:v>0</x:v>
      </x:c>
      <x:c r="I497" s="9">
        <x:v>0</x:v>
      </x:c>
      <x:c r="J497" s="11">
        <x:v>0</x:v>
      </x:c>
      <x:c r="K497" s="1" t="s">
        <x:v>84</x:v>
      </x:c>
      <x:c r="L497" s="1">
        <x:v>2675</x:v>
      </x:c>
    </x:row>
    <x:row r="498" ht="22" customHeight="1">
      <x:c r="A498" s="5">
        <x:v>2024</x:v>
      </x:c>
      <x:c r="B498" s="5" t="s">
        <x:v>35</x:v>
      </x:c>
      <x:c r="C498" s="6" t="s">
        <x:v>36</x:v>
      </x:c>
      <x:c r="D498" s="5" t="s">
        <x:v>94</x:v>
      </x:c>
      <x:c r="E498" s="8">
        <x:v>55</x:v>
      </x:c>
      <x:c r="F498" s="8">
        <x:v>55</x:v>
      </x:c>
      <x:c r="G498" s="10">
        <x:v>6092325</x:v>
      </x:c>
      <x:c r="H498" s="8">
        <x:v>55</x:v>
      </x:c>
      <x:c r="I498" s="8">
        <x:v>55</x:v>
      </x:c>
      <x:c r="J498" s="10">
        <x:v>6092325</x:v>
      </x:c>
      <x:c r="K498" s="5" t="s">
        <x:v>84</x:v>
      </x:c>
      <x:c r="L498" s="5">
        <x:v>2676</x:v>
      </x:c>
    </x:row>
    <x:row r="499" ht="22" customHeight="1">
      <x:c r="A499" s="1">
        <x:v>2024</x:v>
      </x:c>
      <x:c r="B499" s="1" t="s">
        <x:v>35</x:v>
      </x:c>
      <x:c r="C499" s="7" t="s">
        <x:v>36</x:v>
      </x:c>
      <x:c r="D499" s="1" t="s">
        <x:v>95</x:v>
      </x:c>
      <x:c r="E499" s="9">
        <x:v>0</x:v>
      </x:c>
      <x:c r="F499" s="9">
        <x:v>0</x:v>
      </x:c>
      <x:c r="G499" s="11">
        <x:v>0</x:v>
      </x:c>
      <x:c r="H499" s="9">
        <x:v>0</x:v>
      </x:c>
      <x:c r="I499" s="9">
        <x:v>0</x:v>
      </x:c>
      <x:c r="J499" s="11">
        <x:v>0</x:v>
      </x:c>
      <x:c r="K499" s="1" t="s">
        <x:v>84</x:v>
      </x:c>
      <x:c r="L499" s="1">
        <x:v>2676</x:v>
      </x:c>
    </x:row>
    <x:row r="500" ht="22" customHeight="1">
      <x:c r="A500" s="5">
        <x:v>2024</x:v>
      </x:c>
      <x:c r="B500" s="5" t="s">
        <x:v>35</x:v>
      </x:c>
      <x:c r="C500" s="6" t="s">
        <x:v>36</x:v>
      </x:c>
      <x:c r="D500" s="5" t="s">
        <x:v>96</x:v>
      </x:c>
      <x:c r="E500" s="8">
        <x:v>0</x:v>
      </x:c>
      <x:c r="F500" s="8">
        <x:v>0</x:v>
      </x:c>
      <x:c r="G500" s="10">
        <x:v>0</x:v>
      </x:c>
      <x:c r="H500" s="8">
        <x:v>0</x:v>
      </x:c>
      <x:c r="I500" s="8">
        <x:v>0</x:v>
      </x:c>
      <x:c r="J500" s="10">
        <x:v>0</x:v>
      </x:c>
      <x:c r="K500" s="5" t="s">
        <x:v>84</x:v>
      </x:c>
      <x:c r="L500" s="5">
        <x:v>2676</x:v>
      </x:c>
    </x:row>
    <x:row r="501" ht="22" customHeight="1">
      <x:c r="A501" s="1">
        <x:v>2024</x:v>
      </x:c>
      <x:c r="B501" s="1" t="s">
        <x:v>35</x:v>
      </x:c>
      <x:c r="C501" s="7" t="s">
        <x:v>36</x:v>
      </x:c>
      <x:c r="D501" s="1" t="s">
        <x:v>97</x:v>
      </x:c>
      <x:c r="E501" s="9">
        <x:v>0</x:v>
      </x:c>
      <x:c r="F501" s="9">
        <x:v>0</x:v>
      </x:c>
      <x:c r="G501" s="11">
        <x:v>0</x:v>
      </x:c>
      <x:c r="H501" s="9">
        <x:v>0</x:v>
      </x:c>
      <x:c r="I501" s="9">
        <x:v>0</x:v>
      </x:c>
      <x:c r="J501" s="11">
        <x:v>0</x:v>
      </x:c>
      <x:c r="K501" s="1" t="s">
        <x:v>84</x:v>
      </x:c>
      <x:c r="L501" s="1">
        <x:v>2676</x:v>
      </x:c>
    </x:row>
    <x:row r="502" ht="22" customHeight="1">
      <x:c r="A502" s="5">
        <x:v>2024</x:v>
      </x:c>
      <x:c r="B502" s="5" t="s">
        <x:v>37</x:v>
      </x:c>
      <x:c r="C502" s="6" t="s">
        <x:v>38</x:v>
      </x:c>
      <x:c r="D502" s="5" t="s">
        <x:v>94</x:v>
      </x:c>
      <x:c r="E502" s="8">
        <x:v>57</x:v>
      </x:c>
      <x:c r="F502" s="8">
        <x:v>57</x:v>
      </x:c>
      <x:c r="G502" s="10">
        <x:v>17217025</x:v>
      </x:c>
      <x:c r="H502" s="8">
        <x:v>57</x:v>
      </x:c>
      <x:c r="I502" s="8">
        <x:v>57</x:v>
      </x:c>
      <x:c r="J502" s="10">
        <x:v>17217025</x:v>
      </x:c>
      <x:c r="K502" s="5" t="s">
        <x:v>84</x:v>
      </x:c>
      <x:c r="L502" s="5">
        <x:v>2677</x:v>
      </x:c>
    </x:row>
    <x:row r="503" ht="22" customHeight="1">
      <x:c r="A503" s="1">
        <x:v>2024</x:v>
      </x:c>
      <x:c r="B503" s="1" t="s">
        <x:v>37</x:v>
      </x:c>
      <x:c r="C503" s="7" t="s">
        <x:v>38</x:v>
      </x:c>
      <x:c r="D503" s="1" t="s">
        <x:v>95</x:v>
      </x:c>
      <x:c r="E503" s="9">
        <x:v>0</x:v>
      </x:c>
      <x:c r="F503" s="9">
        <x:v>0</x:v>
      </x:c>
      <x:c r="G503" s="11">
        <x:v>0</x:v>
      </x:c>
      <x:c r="H503" s="9">
        <x:v>0</x:v>
      </x:c>
      <x:c r="I503" s="9">
        <x:v>0</x:v>
      </x:c>
      <x:c r="J503" s="11">
        <x:v>0</x:v>
      </x:c>
      <x:c r="K503" s="1" t="s">
        <x:v>84</x:v>
      </x:c>
      <x:c r="L503" s="1">
        <x:v>2677</x:v>
      </x:c>
    </x:row>
    <x:row r="504" ht="22" customHeight="1">
      <x:c r="A504" s="5">
        <x:v>2024</x:v>
      </x:c>
      <x:c r="B504" s="5" t="s">
        <x:v>37</x:v>
      </x:c>
      <x:c r="C504" s="6" t="s">
        <x:v>38</x:v>
      </x:c>
      <x:c r="D504" s="5" t="s">
        <x:v>96</x:v>
      </x:c>
      <x:c r="E504" s="8">
        <x:v>0</x:v>
      </x:c>
      <x:c r="F504" s="8">
        <x:v>0</x:v>
      </x:c>
      <x:c r="G504" s="10">
        <x:v>0</x:v>
      </x:c>
      <x:c r="H504" s="8">
        <x:v>0</x:v>
      </x:c>
      <x:c r="I504" s="8">
        <x:v>0</x:v>
      </x:c>
      <x:c r="J504" s="10">
        <x:v>0</x:v>
      </x:c>
      <x:c r="K504" s="5" t="s">
        <x:v>84</x:v>
      </x:c>
      <x:c r="L504" s="5">
        <x:v>2677</x:v>
      </x:c>
    </x:row>
    <x:row r="505" ht="22" customHeight="1">
      <x:c r="A505" s="1">
        <x:v>2024</x:v>
      </x:c>
      <x:c r="B505" s="1" t="s">
        <x:v>37</x:v>
      </x:c>
      <x:c r="C505" s="7" t="s">
        <x:v>38</x:v>
      </x:c>
      <x:c r="D505" s="1" t="s">
        <x:v>97</x:v>
      </x:c>
      <x:c r="E505" s="9">
        <x:v>0</x:v>
      </x:c>
      <x:c r="F505" s="9">
        <x:v>0</x:v>
      </x:c>
      <x:c r="G505" s="11">
        <x:v>0</x:v>
      </x:c>
      <x:c r="H505" s="9">
        <x:v>0</x:v>
      </x:c>
      <x:c r="I505" s="9">
        <x:v>0</x:v>
      </x:c>
      <x:c r="J505" s="11">
        <x:v>0</x:v>
      </x:c>
      <x:c r="K505" s="1" t="s">
        <x:v>84</x:v>
      </x:c>
      <x:c r="L505" s="1">
        <x:v>2677</x:v>
      </x:c>
    </x:row>
    <x:row r="506" ht="22" customHeight="1">
      <x:c r="A506" s="5">
        <x:v>2024</x:v>
      </x:c>
      <x:c r="B506" s="5" t="s">
        <x:v>39</x:v>
      </x:c>
      <x:c r="C506" s="6" t="s">
        <x:v>40</x:v>
      </x:c>
      <x:c r="D506" s="5" t="s">
        <x:v>94</x:v>
      </x:c>
      <x:c r="E506" s="8">
        <x:v>120</x:v>
      </x:c>
      <x:c r="F506" s="8">
        <x:v>120</x:v>
      </x:c>
      <x:c r="G506" s="10">
        <x:v>34810024</x:v>
      </x:c>
      <x:c r="H506" s="8">
        <x:v>120</x:v>
      </x:c>
      <x:c r="I506" s="8">
        <x:v>120</x:v>
      </x:c>
      <x:c r="J506" s="10">
        <x:v>34810024</x:v>
      </x:c>
      <x:c r="K506" s="5" t="s">
        <x:v>84</x:v>
      </x:c>
      <x:c r="L506" s="5">
        <x:v>2678</x:v>
      </x:c>
    </x:row>
    <x:row r="507" ht="22" customHeight="1">
      <x:c r="A507" s="1">
        <x:v>2024</x:v>
      </x:c>
      <x:c r="B507" s="1" t="s">
        <x:v>39</x:v>
      </x:c>
      <x:c r="C507" s="7" t="s">
        <x:v>40</x:v>
      </x:c>
      <x:c r="D507" s="1" t="s">
        <x:v>95</x:v>
      </x:c>
      <x:c r="E507" s="9">
        <x:v>9</x:v>
      </x:c>
      <x:c r="F507" s="9">
        <x:v>18</x:v>
      </x:c>
      <x:c r="G507" s="11">
        <x:v>2708132</x:v>
      </x:c>
      <x:c r="H507" s="9">
        <x:v>18</x:v>
      </x:c>
      <x:c r="I507" s="9">
        <x:v>9</x:v>
      </x:c>
      <x:c r="J507" s="11">
        <x:v>2708132</x:v>
      </x:c>
      <x:c r="K507" s="1" t="s">
        <x:v>84</x:v>
      </x:c>
      <x:c r="L507" s="1">
        <x:v>2678</x:v>
      </x:c>
    </x:row>
    <x:row r="508" ht="22" customHeight="1">
      <x:c r="A508" s="5">
        <x:v>2024</x:v>
      </x:c>
      <x:c r="B508" s="5" t="s">
        <x:v>39</x:v>
      </x:c>
      <x:c r="C508" s="6" t="s">
        <x:v>40</x:v>
      </x:c>
      <x:c r="D508" s="5" t="s">
        <x:v>96</x:v>
      </x:c>
      <x:c r="E508" s="8">
        <x:v>0</x:v>
      </x:c>
      <x:c r="F508" s="8">
        <x:v>0</x:v>
      </x:c>
      <x:c r="G508" s="10">
        <x:v>0</x:v>
      </x:c>
      <x:c r="H508" s="8">
        <x:v>0</x:v>
      </x:c>
      <x:c r="I508" s="8">
        <x:v>0</x:v>
      </x:c>
      <x:c r="J508" s="10">
        <x:v>0</x:v>
      </x:c>
      <x:c r="K508" s="5" t="s">
        <x:v>84</x:v>
      </x:c>
      <x:c r="L508" s="5">
        <x:v>2678</x:v>
      </x:c>
    </x:row>
    <x:row r="509" ht="22" customHeight="1">
      <x:c r="A509" s="1">
        <x:v>2024</x:v>
      </x:c>
      <x:c r="B509" s="1" t="s">
        <x:v>39</x:v>
      </x:c>
      <x:c r="C509" s="7" t="s">
        <x:v>40</x:v>
      </x:c>
      <x:c r="D509" s="1" t="s">
        <x:v>97</x:v>
      </x:c>
      <x:c r="E509" s="9">
        <x:v>6</x:v>
      </x:c>
      <x:c r="F509" s="9">
        <x:v>100</x:v>
      </x:c>
      <x:c r="G509" s="11">
        <x:v>4266330</x:v>
      </x:c>
      <x:c r="H509" s="9">
        <x:v>100</x:v>
      </x:c>
      <x:c r="I509" s="9">
        <x:v>6</x:v>
      </x:c>
      <x:c r="J509" s="11">
        <x:v>4266330</x:v>
      </x:c>
      <x:c r="K509" s="1" t="s">
        <x:v>84</x:v>
      </x:c>
      <x:c r="L509" s="1">
        <x:v>2678</x:v>
      </x:c>
    </x:row>
    <x:row r="510" ht="22" customHeight="1">
      <x:c r="A510" s="5">
        <x:v>2024</x:v>
      </x:c>
      <x:c r="B510" s="5" t="s">
        <x:v>41</x:v>
      </x:c>
      <x:c r="C510" s="6" t="s">
        <x:v>42</x:v>
      </x:c>
      <x:c r="D510" s="5" t="s">
        <x:v>94</x:v>
      </x:c>
      <x:c r="E510" s="8">
        <x:v>655</x:v>
      </x:c>
      <x:c r="F510" s="8">
        <x:v>655</x:v>
      </x:c>
      <x:c r="G510" s="10">
        <x:v>202538802</x:v>
      </x:c>
      <x:c r="H510" s="8">
        <x:v>655</x:v>
      </x:c>
      <x:c r="I510" s="8">
        <x:v>655</x:v>
      </x:c>
      <x:c r="J510" s="10">
        <x:v>202538802</x:v>
      </x:c>
      <x:c r="K510" s="5" t="s">
        <x:v>84</x:v>
      </x:c>
      <x:c r="L510" s="5">
        <x:v>2679</x:v>
      </x:c>
    </x:row>
    <x:row r="511" ht="22" customHeight="1">
      <x:c r="A511" s="1">
        <x:v>2024</x:v>
      </x:c>
      <x:c r="B511" s="1" t="s">
        <x:v>41</x:v>
      </x:c>
      <x:c r="C511" s="7" t="s">
        <x:v>42</x:v>
      </x:c>
      <x:c r="D511" s="1" t="s">
        <x:v>95</x:v>
      </x:c>
      <x:c r="E511" s="9">
        <x:v>0</x:v>
      </x:c>
      <x:c r="F511" s="9">
        <x:v>0</x:v>
      </x:c>
      <x:c r="G511" s="11">
        <x:v>0</x:v>
      </x:c>
      <x:c r="H511" s="9">
        <x:v>0</x:v>
      </x:c>
      <x:c r="I511" s="9">
        <x:v>0</x:v>
      </x:c>
      <x:c r="J511" s="11">
        <x:v>0</x:v>
      </x:c>
      <x:c r="K511" s="1" t="s">
        <x:v>84</x:v>
      </x:c>
      <x:c r="L511" s="1">
        <x:v>2679</x:v>
      </x:c>
    </x:row>
    <x:row r="512" ht="22" customHeight="1">
      <x:c r="A512" s="5">
        <x:v>2024</x:v>
      </x:c>
      <x:c r="B512" s="5" t="s">
        <x:v>41</x:v>
      </x:c>
      <x:c r="C512" s="6" t="s">
        <x:v>42</x:v>
      </x:c>
      <x:c r="D512" s="5" t="s">
        <x:v>96</x:v>
      </x:c>
      <x:c r="E512" s="8">
        <x:v>0</x:v>
      </x:c>
      <x:c r="F512" s="8">
        <x:v>0</x:v>
      </x:c>
      <x:c r="G512" s="10">
        <x:v>0</x:v>
      </x:c>
      <x:c r="H512" s="8">
        <x:v>0</x:v>
      </x:c>
      <x:c r="I512" s="8">
        <x:v>0</x:v>
      </x:c>
      <x:c r="J512" s="10">
        <x:v>0</x:v>
      </x:c>
      <x:c r="K512" s="5" t="s">
        <x:v>84</x:v>
      </x:c>
      <x:c r="L512" s="5">
        <x:v>2679</x:v>
      </x:c>
    </x:row>
    <x:row r="513" ht="22" customHeight="1">
      <x:c r="A513" s="1">
        <x:v>2024</x:v>
      </x:c>
      <x:c r="B513" s="1" t="s">
        <x:v>41</x:v>
      </x:c>
      <x:c r="C513" s="7" t="s">
        <x:v>42</x:v>
      </x:c>
      <x:c r="D513" s="1" t="s">
        <x:v>97</x:v>
      </x:c>
      <x:c r="E513" s="9">
        <x:v>0</x:v>
      </x:c>
      <x:c r="F513" s="9">
        <x:v>0</x:v>
      </x:c>
      <x:c r="G513" s="11">
        <x:v>0</x:v>
      </x:c>
      <x:c r="H513" s="9">
        <x:v>0</x:v>
      </x:c>
      <x:c r="I513" s="9">
        <x:v>0</x:v>
      </x:c>
      <x:c r="J513" s="11">
        <x:v>0</x:v>
      </x:c>
      <x:c r="K513" s="1" t="s">
        <x:v>84</x:v>
      </x:c>
      <x:c r="L513" s="1">
        <x:v>2679</x:v>
      </x:c>
    </x:row>
    <x:row r="514" ht="22" customHeight="1">
      <x:c r="A514" s="5">
        <x:v>2024</x:v>
      </x:c>
      <x:c r="B514" s="5" t="s">
        <x:v>43</x:v>
      </x:c>
      <x:c r="C514" s="6" t="s">
        <x:v>44</x:v>
      </x:c>
      <x:c r="D514" s="5" t="s">
        <x:v>94</x:v>
      </x:c>
      <x:c r="E514" s="8">
        <x:v>72</x:v>
      </x:c>
      <x:c r="F514" s="8">
        <x:v>72</x:v>
      </x:c>
      <x:c r="G514" s="10">
        <x:v>28396331</x:v>
      </x:c>
      <x:c r="H514" s="8">
        <x:v>72</x:v>
      </x:c>
      <x:c r="I514" s="8">
        <x:v>72</x:v>
      </x:c>
      <x:c r="J514" s="10">
        <x:v>28396331</x:v>
      </x:c>
      <x:c r="K514" s="5" t="s">
        <x:v>84</x:v>
      </x:c>
      <x:c r="L514" s="5">
        <x:v>2680</x:v>
      </x:c>
    </x:row>
    <x:row r="515" ht="22" customHeight="1">
      <x:c r="A515" s="1">
        <x:v>2024</x:v>
      </x:c>
      <x:c r="B515" s="1" t="s">
        <x:v>43</x:v>
      </x:c>
      <x:c r="C515" s="7" t="s">
        <x:v>44</x:v>
      </x:c>
      <x:c r="D515" s="1" t="s">
        <x:v>95</x:v>
      </x:c>
      <x:c r="E515" s="9">
        <x:v>3</x:v>
      </x:c>
      <x:c r="F515" s="9">
        <x:v>6</x:v>
      </x:c>
      <x:c r="G515" s="11">
        <x:v>1148512</x:v>
      </x:c>
      <x:c r="H515" s="9">
        <x:v>6</x:v>
      </x:c>
      <x:c r="I515" s="9">
        <x:v>3</x:v>
      </x:c>
      <x:c r="J515" s="11">
        <x:v>1148512</x:v>
      </x:c>
      <x:c r="K515" s="1" t="s">
        <x:v>84</x:v>
      </x:c>
      <x:c r="L515" s="1">
        <x:v>2680</x:v>
      </x:c>
    </x:row>
    <x:row r="516" ht="22" customHeight="1">
      <x:c r="A516" s="5">
        <x:v>2024</x:v>
      </x:c>
      <x:c r="B516" s="5" t="s">
        <x:v>43</x:v>
      </x:c>
      <x:c r="C516" s="6" t="s">
        <x:v>44</x:v>
      </x:c>
      <x:c r="D516" s="5" t="s">
        <x:v>96</x:v>
      </x:c>
      <x:c r="E516" s="8">
        <x:v>7</x:v>
      </x:c>
      <x:c r="F516" s="8">
        <x:v>22</x:v>
      </x:c>
      <x:c r="G516" s="10">
        <x:v>4424877</x:v>
      </x:c>
      <x:c r="H516" s="8">
        <x:v>22</x:v>
      </x:c>
      <x:c r="I516" s="8">
        <x:v>7</x:v>
      </x:c>
      <x:c r="J516" s="10">
        <x:v>4424877</x:v>
      </x:c>
      <x:c r="K516" s="5" t="s">
        <x:v>84</x:v>
      </x:c>
      <x:c r="L516" s="5">
        <x:v>2680</x:v>
      </x:c>
    </x:row>
    <x:row r="517" ht="22" customHeight="1">
      <x:c r="A517" s="1">
        <x:v>2024</x:v>
      </x:c>
      <x:c r="B517" s="1" t="s">
        <x:v>43</x:v>
      </x:c>
      <x:c r="C517" s="7" t="s">
        <x:v>44</x:v>
      </x:c>
      <x:c r="D517" s="1" t="s">
        <x:v>97</x:v>
      </x:c>
      <x:c r="E517" s="9">
        <x:v>1</x:v>
      </x:c>
      <x:c r="F517" s="9">
        <x:v>7</x:v>
      </x:c>
      <x:c r="G517" s="11">
        <x:v>1467905</x:v>
      </x:c>
      <x:c r="H517" s="9">
        <x:v>7</x:v>
      </x:c>
      <x:c r="I517" s="9">
        <x:v>1</x:v>
      </x:c>
      <x:c r="J517" s="11">
        <x:v>1467905</x:v>
      </x:c>
      <x:c r="K517" s="1" t="s">
        <x:v>84</x:v>
      </x:c>
      <x:c r="L517" s="1">
        <x:v>2680</x:v>
      </x:c>
    </x:row>
    <x:row r="518" ht="22" customHeight="1">
      <x:c r="A518" s="5">
        <x:v>2024</x:v>
      </x:c>
      <x:c r="B518" s="5" t="s">
        <x:v>45</x:v>
      </x:c>
      <x:c r="C518" s="6" t="s">
        <x:v>46</x:v>
      </x:c>
      <x:c r="D518" s="5" t="s">
        <x:v>94</x:v>
      </x:c>
      <x:c r="E518" s="8">
        <x:v>196</x:v>
      </x:c>
      <x:c r="F518" s="8">
        <x:v>196</x:v>
      </x:c>
      <x:c r="G518" s="10">
        <x:v>69581717</x:v>
      </x:c>
      <x:c r="H518" s="8">
        <x:v>165</x:v>
      </x:c>
      <x:c r="I518" s="8">
        <x:v>165</x:v>
      </x:c>
      <x:c r="J518" s="10">
        <x:v>62438003</x:v>
      </x:c>
      <x:c r="K518" s="5" t="s">
        <x:v>84</x:v>
      </x:c>
      <x:c r="L518" s="5">
        <x:v>2681</x:v>
      </x:c>
    </x:row>
    <x:row r="519" ht="22" customHeight="1">
      <x:c r="A519" s="1">
        <x:v>2024</x:v>
      </x:c>
      <x:c r="B519" s="1" t="s">
        <x:v>45</x:v>
      </x:c>
      <x:c r="C519" s="7" t="s">
        <x:v>46</x:v>
      </x:c>
      <x:c r="D519" s="1" t="s">
        <x:v>95</x:v>
      </x:c>
      <x:c r="E519" s="9">
        <x:v>1</x:v>
      </x:c>
      <x:c r="F519" s="9">
        <x:v>2</x:v>
      </x:c>
      <x:c r="G519" s="11">
        <x:v>549000</x:v>
      </x:c>
      <x:c r="H519" s="9">
        <x:v>2</x:v>
      </x:c>
      <x:c r="I519" s="9">
        <x:v>1</x:v>
      </x:c>
      <x:c r="J519" s="11">
        <x:v>549000</x:v>
      </x:c>
      <x:c r="K519" s="1" t="s">
        <x:v>84</x:v>
      </x:c>
      <x:c r="L519" s="1">
        <x:v>2681</x:v>
      </x:c>
    </x:row>
    <x:row r="520" ht="22" customHeight="1">
      <x:c r="A520" s="5">
        <x:v>2024</x:v>
      </x:c>
      <x:c r="B520" s="5" t="s">
        <x:v>45</x:v>
      </x:c>
      <x:c r="C520" s="6" t="s">
        <x:v>46</x:v>
      </x:c>
      <x:c r="D520" s="5" t="s">
        <x:v>96</x:v>
      </x:c>
      <x:c r="E520" s="8">
        <x:v>1</x:v>
      </x:c>
      <x:c r="F520" s="8">
        <x:v>4</x:v>
      </x:c>
      <x:c r="G520" s="10">
        <x:v>875000</x:v>
      </x:c>
      <x:c r="H520" s="8">
        <x:v>4</x:v>
      </x:c>
      <x:c r="I520" s="8">
        <x:v>1</x:v>
      </x:c>
      <x:c r="J520" s="10">
        <x:v>875000</x:v>
      </x:c>
      <x:c r="K520" s="5" t="s">
        <x:v>84</x:v>
      </x:c>
      <x:c r="L520" s="5">
        <x:v>2681</x:v>
      </x:c>
    </x:row>
    <x:row r="521" ht="22" customHeight="1">
      <x:c r="A521" s="1">
        <x:v>2024</x:v>
      </x:c>
      <x:c r="B521" s="1" t="s">
        <x:v>45</x:v>
      </x:c>
      <x:c r="C521" s="7" t="s">
        <x:v>46</x:v>
      </x:c>
      <x:c r="D521" s="1" t="s">
        <x:v>97</x:v>
      </x:c>
      <x:c r="E521" s="9">
        <x:v>0</x:v>
      </x:c>
      <x:c r="F521" s="9">
        <x:v>0</x:v>
      </x:c>
      <x:c r="G521" s="11">
        <x:v>0</x:v>
      </x:c>
      <x:c r="H521" s="9">
        <x:v>0</x:v>
      </x:c>
      <x:c r="I521" s="9">
        <x:v>0</x:v>
      </x:c>
      <x:c r="J521" s="11">
        <x:v>0</x:v>
      </x:c>
      <x:c r="K521" s="1" t="s">
        <x:v>84</x:v>
      </x:c>
      <x:c r="L521" s="1">
        <x:v>2681</x:v>
      </x:c>
    </x:row>
    <x:row r="522" ht="22" customHeight="1">
      <x:c r="A522" s="5">
        <x:v>2024</x:v>
      </x:c>
      <x:c r="B522" s="5" t="s">
        <x:v>47</x:v>
      </x:c>
      <x:c r="C522" s="6" t="s">
        <x:v>48</x:v>
      </x:c>
      <x:c r="D522" s="5" t="s">
        <x:v>94</x:v>
      </x:c>
      <x:c r="E522" s="8">
        <x:v>76</x:v>
      </x:c>
      <x:c r="F522" s="8">
        <x:v>76</x:v>
      </x:c>
      <x:c r="G522" s="10">
        <x:v>16431077</x:v>
      </x:c>
      <x:c r="H522" s="8">
        <x:v>74</x:v>
      </x:c>
      <x:c r="I522" s="8">
        <x:v>74</x:v>
      </x:c>
      <x:c r="J522" s="10">
        <x:v>15837409</x:v>
      </x:c>
      <x:c r="K522" s="5" t="s">
        <x:v>84</x:v>
      </x:c>
      <x:c r="L522" s="5">
        <x:v>2682</x:v>
      </x:c>
    </x:row>
    <x:row r="523" ht="22" customHeight="1">
      <x:c r="A523" s="1">
        <x:v>2024</x:v>
      </x:c>
      <x:c r="B523" s="1" t="s">
        <x:v>47</x:v>
      </x:c>
      <x:c r="C523" s="7" t="s">
        <x:v>48</x:v>
      </x:c>
      <x:c r="D523" s="1" t="s">
        <x:v>95</x:v>
      </x:c>
      <x:c r="E523" s="9">
        <x:v>1</x:v>
      </x:c>
      <x:c r="F523" s="9">
        <x:v>2</x:v>
      </x:c>
      <x:c r="G523" s="11">
        <x:v>254000</x:v>
      </x:c>
      <x:c r="H523" s="9">
        <x:v>2</x:v>
      </x:c>
      <x:c r="I523" s="9">
        <x:v>1</x:v>
      </x:c>
      <x:c r="J523" s="11">
        <x:v>254000</x:v>
      </x:c>
      <x:c r="K523" s="1" t="s">
        <x:v>84</x:v>
      </x:c>
      <x:c r="L523" s="1">
        <x:v>2682</x:v>
      </x:c>
    </x:row>
    <x:row r="524" ht="22" customHeight="1">
      <x:c r="A524" s="5">
        <x:v>2024</x:v>
      </x:c>
      <x:c r="B524" s="5" t="s">
        <x:v>47</x:v>
      </x:c>
      <x:c r="C524" s="6" t="s">
        <x:v>48</x:v>
      </x:c>
      <x:c r="D524" s="5" t="s">
        <x:v>96</x:v>
      </x:c>
      <x:c r="E524" s="8">
        <x:v>4</x:v>
      </x:c>
      <x:c r="F524" s="8">
        <x:v>15</x:v>
      </x:c>
      <x:c r="G524" s="10">
        <x:v>1752435</x:v>
      </x:c>
      <x:c r="H524" s="8">
        <x:v>15</x:v>
      </x:c>
      <x:c r="I524" s="8">
        <x:v>4</x:v>
      </x:c>
      <x:c r="J524" s="10">
        <x:v>1752435</x:v>
      </x:c>
      <x:c r="K524" s="5" t="s">
        <x:v>84</x:v>
      </x:c>
      <x:c r="L524" s="5">
        <x:v>2682</x:v>
      </x:c>
    </x:row>
    <x:row r="525" ht="22" customHeight="1">
      <x:c r="A525" s="1">
        <x:v>2024</x:v>
      </x:c>
      <x:c r="B525" s="1" t="s">
        <x:v>47</x:v>
      </x:c>
      <x:c r="C525" s="7" t="s">
        <x:v>48</x:v>
      </x:c>
      <x:c r="D525" s="1" t="s">
        <x:v>97</x:v>
      </x:c>
      <x:c r="E525" s="9">
        <x:v>0</x:v>
      </x:c>
      <x:c r="F525" s="9">
        <x:v>0</x:v>
      </x:c>
      <x:c r="G525" s="11">
        <x:v>0</x:v>
      </x:c>
      <x:c r="H525" s="9">
        <x:v>0</x:v>
      </x:c>
      <x:c r="I525" s="9">
        <x:v>0</x:v>
      </x:c>
      <x:c r="J525" s="11">
        <x:v>0</x:v>
      </x:c>
      <x:c r="K525" s="1" t="s">
        <x:v>84</x:v>
      </x:c>
      <x:c r="L525" s="1">
        <x:v>2682</x:v>
      </x:c>
    </x:row>
    <x:row r="526" ht="22" customHeight="1">
      <x:c r="A526" s="5">
        <x:v>2024</x:v>
      </x:c>
      <x:c r="B526" s="5" t="s">
        <x:v>49</x:v>
      </x:c>
      <x:c r="C526" s="6" t="s">
        <x:v>50</x:v>
      </x:c>
      <x:c r="D526" s="5" t="s">
        <x:v>94</x:v>
      </x:c>
      <x:c r="E526" s="8">
        <x:v>132</x:v>
      </x:c>
      <x:c r="F526" s="8">
        <x:v>132</x:v>
      </x:c>
      <x:c r="G526" s="10">
        <x:v>60565445</x:v>
      </x:c>
      <x:c r="H526" s="8">
        <x:v>132</x:v>
      </x:c>
      <x:c r="I526" s="8">
        <x:v>132</x:v>
      </x:c>
      <x:c r="J526" s="10">
        <x:v>60565445</x:v>
      </x:c>
      <x:c r="K526" s="5" t="s">
        <x:v>84</x:v>
      </x:c>
      <x:c r="L526" s="5">
        <x:v>2683</x:v>
      </x:c>
    </x:row>
    <x:row r="527" ht="22" customHeight="1">
      <x:c r="A527" s="1">
        <x:v>2024</x:v>
      </x:c>
      <x:c r="B527" s="1" t="s">
        <x:v>49</x:v>
      </x:c>
      <x:c r="C527" s="7" t="s">
        <x:v>50</x:v>
      </x:c>
      <x:c r="D527" s="1" t="s">
        <x:v>95</x:v>
      </x:c>
      <x:c r="E527" s="9">
        <x:v>8</x:v>
      </x:c>
      <x:c r="F527" s="9">
        <x:v>16</x:v>
      </x:c>
      <x:c r="G527" s="11">
        <x:v>3084473</x:v>
      </x:c>
      <x:c r="H527" s="9">
        <x:v>16</x:v>
      </x:c>
      <x:c r="I527" s="9">
        <x:v>8</x:v>
      </x:c>
      <x:c r="J527" s="11">
        <x:v>3084473</x:v>
      </x:c>
      <x:c r="K527" s="1" t="s">
        <x:v>84</x:v>
      </x:c>
      <x:c r="L527" s="1">
        <x:v>2683</x:v>
      </x:c>
    </x:row>
    <x:row r="528" ht="22" customHeight="1">
      <x:c r="A528" s="5">
        <x:v>2024</x:v>
      </x:c>
      <x:c r="B528" s="5" t="s">
        <x:v>49</x:v>
      </x:c>
      <x:c r="C528" s="6" t="s">
        <x:v>50</x:v>
      </x:c>
      <x:c r="D528" s="5" t="s">
        <x:v>96</x:v>
      </x:c>
      <x:c r="E528" s="8">
        <x:v>5</x:v>
      </x:c>
      <x:c r="F528" s="8">
        <x:v>19</x:v>
      </x:c>
      <x:c r="G528" s="10">
        <x:v>3733035</x:v>
      </x:c>
      <x:c r="H528" s="8">
        <x:v>19</x:v>
      </x:c>
      <x:c r="I528" s="8">
        <x:v>5</x:v>
      </x:c>
      <x:c r="J528" s="10">
        <x:v>3733035</x:v>
      </x:c>
      <x:c r="K528" s="5" t="s">
        <x:v>84</x:v>
      </x:c>
      <x:c r="L528" s="5">
        <x:v>2683</x:v>
      </x:c>
    </x:row>
    <x:row r="529" ht="22" customHeight="1">
      <x:c r="A529" s="1">
        <x:v>2024</x:v>
      </x:c>
      <x:c r="B529" s="1" t="s">
        <x:v>49</x:v>
      </x:c>
      <x:c r="C529" s="7" t="s">
        <x:v>50</x:v>
      </x:c>
      <x:c r="D529" s="1" t="s">
        <x:v>97</x:v>
      </x:c>
      <x:c r="E529" s="9">
        <x:v>4</x:v>
      </x:c>
      <x:c r="F529" s="9">
        <x:v>29</x:v>
      </x:c>
      <x:c r="G529" s="11">
        <x:v>4399366</x:v>
      </x:c>
      <x:c r="H529" s="9">
        <x:v>29</x:v>
      </x:c>
      <x:c r="I529" s="9">
        <x:v>4</x:v>
      </x:c>
      <x:c r="J529" s="11">
        <x:v>4399366</x:v>
      </x:c>
      <x:c r="K529" s="1" t="s">
        <x:v>84</x:v>
      </x:c>
      <x:c r="L529" s="1">
        <x:v>2683</x:v>
      </x:c>
    </x:row>
    <x:row r="530" ht="22" customHeight="1">
      <x:c r="A530" s="5">
        <x:v>2024</x:v>
      </x:c>
      <x:c r="B530" s="5" t="s">
        <x:v>51</x:v>
      </x:c>
      <x:c r="C530" s="6" t="s">
        <x:v>52</x:v>
      </x:c>
      <x:c r="D530" s="5" t="s">
        <x:v>94</x:v>
      </x:c>
      <x:c r="E530" s="8">
        <x:v>25</x:v>
      </x:c>
      <x:c r="F530" s="8">
        <x:v>25</x:v>
      </x:c>
      <x:c r="G530" s="10">
        <x:v>3847375</x:v>
      </x:c>
      <x:c r="H530" s="8">
        <x:v>1</x:v>
      </x:c>
      <x:c r="I530" s="8">
        <x:v>1</x:v>
      </x:c>
      <x:c r="J530" s="10">
        <x:v>228175</x:v>
      </x:c>
      <x:c r="K530" s="5" t="s">
        <x:v>84</x:v>
      </x:c>
      <x:c r="L530" s="5">
        <x:v>2684</x:v>
      </x:c>
    </x:row>
    <x:row r="531" ht="22" customHeight="1">
      <x:c r="A531" s="1">
        <x:v>2024</x:v>
      </x:c>
      <x:c r="B531" s="1" t="s">
        <x:v>51</x:v>
      </x:c>
      <x:c r="C531" s="7" t="s">
        <x:v>52</x:v>
      </x:c>
      <x:c r="D531" s="1" t="s">
        <x:v>95</x:v>
      </x:c>
      <x:c r="E531" s="9">
        <x:v>0</x:v>
      </x:c>
      <x:c r="F531" s="9">
        <x:v>0</x:v>
      </x:c>
      <x:c r="G531" s="11">
        <x:v>0</x:v>
      </x:c>
      <x:c r="H531" s="9">
        <x:v>0</x:v>
      </x:c>
      <x:c r="I531" s="9">
        <x:v>0</x:v>
      </x:c>
      <x:c r="J531" s="11">
        <x:v>0</x:v>
      </x:c>
      <x:c r="K531" s="1" t="s">
        <x:v>84</x:v>
      </x:c>
      <x:c r="L531" s="1">
        <x:v>2684</x:v>
      </x:c>
    </x:row>
    <x:row r="532" ht="22" customHeight="1">
      <x:c r="A532" s="5">
        <x:v>2024</x:v>
      </x:c>
      <x:c r="B532" s="5" t="s">
        <x:v>51</x:v>
      </x:c>
      <x:c r="C532" s="6" t="s">
        <x:v>52</x:v>
      </x:c>
      <x:c r="D532" s="5" t="s">
        <x:v>96</x:v>
      </x:c>
      <x:c r="E532" s="8">
        <x:v>0</x:v>
      </x:c>
      <x:c r="F532" s="8">
        <x:v>0</x:v>
      </x:c>
      <x:c r="G532" s="10">
        <x:v>0</x:v>
      </x:c>
      <x:c r="H532" s="8">
        <x:v>0</x:v>
      </x:c>
      <x:c r="I532" s="8">
        <x:v>0</x:v>
      </x:c>
      <x:c r="J532" s="10">
        <x:v>0</x:v>
      </x:c>
      <x:c r="K532" s="5" t="s">
        <x:v>84</x:v>
      </x:c>
      <x:c r="L532" s="5">
        <x:v>2684</x:v>
      </x:c>
    </x:row>
    <x:row r="533" ht="22" customHeight="1">
      <x:c r="A533" s="1">
        <x:v>2024</x:v>
      </x:c>
      <x:c r="B533" s="1" t="s">
        <x:v>51</x:v>
      </x:c>
      <x:c r="C533" s="7" t="s">
        <x:v>52</x:v>
      </x:c>
      <x:c r="D533" s="1" t="s">
        <x:v>97</x:v>
      </x:c>
      <x:c r="E533" s="9">
        <x:v>0</x:v>
      </x:c>
      <x:c r="F533" s="9">
        <x:v>0</x:v>
      </x:c>
      <x:c r="G533" s="11">
        <x:v>0</x:v>
      </x:c>
      <x:c r="H533" s="9">
        <x:v>0</x:v>
      </x:c>
      <x:c r="I533" s="9">
        <x:v>0</x:v>
      </x:c>
      <x:c r="J533" s="11">
        <x:v>0</x:v>
      </x:c>
      <x:c r="K533" s="1" t="s">
        <x:v>84</x:v>
      </x:c>
      <x:c r="L533" s="1">
        <x:v>2684</x:v>
      </x:c>
    </x:row>
    <x:row r="534" ht="22" customHeight="1">
      <x:c r="A534" s="5">
        <x:v>2024</x:v>
      </x:c>
      <x:c r="B534" s="5" t="s">
        <x:v>53</x:v>
      </x:c>
      <x:c r="C534" s="6" t="s">
        <x:v>54</x:v>
      </x:c>
      <x:c r="D534" s="5" t="s">
        <x:v>94</x:v>
      </x:c>
      <x:c r="E534" s="8">
        <x:v>72</x:v>
      </x:c>
      <x:c r="F534" s="8">
        <x:v>72</x:v>
      </x:c>
      <x:c r="G534" s="10">
        <x:v>41168316</x:v>
      </x:c>
      <x:c r="H534" s="8">
        <x:v>29</x:v>
      </x:c>
      <x:c r="I534" s="8">
        <x:v>29</x:v>
      </x:c>
      <x:c r="J534" s="10">
        <x:v>25973339</x:v>
      </x:c>
      <x:c r="K534" s="5" t="s">
        <x:v>84</x:v>
      </x:c>
      <x:c r="L534" s="5">
        <x:v>2685</x:v>
      </x:c>
    </x:row>
    <x:row r="535" ht="22" customHeight="1">
      <x:c r="A535" s="1">
        <x:v>2024</x:v>
      </x:c>
      <x:c r="B535" s="1" t="s">
        <x:v>53</x:v>
      </x:c>
      <x:c r="C535" s="7" t="s">
        <x:v>54</x:v>
      </x:c>
      <x:c r="D535" s="1" t="s">
        <x:v>95</x:v>
      </x:c>
      <x:c r="E535" s="9">
        <x:v>1</x:v>
      </x:c>
      <x:c r="F535" s="9">
        <x:v>2</x:v>
      </x:c>
      <x:c r="G535" s="11">
        <x:v>500000</x:v>
      </x:c>
      <x:c r="H535" s="9">
        <x:v>2</x:v>
      </x:c>
      <x:c r="I535" s="9">
        <x:v>1</x:v>
      </x:c>
      <x:c r="J535" s="11">
        <x:v>500000</x:v>
      </x:c>
      <x:c r="K535" s="1" t="s">
        <x:v>84</x:v>
      </x:c>
      <x:c r="L535" s="1">
        <x:v>2685</x:v>
      </x:c>
    </x:row>
    <x:row r="536" ht="22" customHeight="1">
      <x:c r="A536" s="5">
        <x:v>2024</x:v>
      </x:c>
      <x:c r="B536" s="5" t="s">
        <x:v>53</x:v>
      </x:c>
      <x:c r="C536" s="6" t="s">
        <x:v>54</x:v>
      </x:c>
      <x:c r="D536" s="5" t="s">
        <x:v>96</x:v>
      </x:c>
      <x:c r="E536" s="8">
        <x:v>1</x:v>
      </x:c>
      <x:c r="F536" s="8">
        <x:v>4</x:v>
      </x:c>
      <x:c r="G536" s="10">
        <x:v>1200000</x:v>
      </x:c>
      <x:c r="H536" s="8">
        <x:v>4</x:v>
      </x:c>
      <x:c r="I536" s="8">
        <x:v>1</x:v>
      </x:c>
      <x:c r="J536" s="10">
        <x:v>1200000</x:v>
      </x:c>
      <x:c r="K536" s="5" t="s">
        <x:v>84</x:v>
      </x:c>
      <x:c r="L536" s="5">
        <x:v>2685</x:v>
      </x:c>
    </x:row>
    <x:row r="537" ht="22" customHeight="1">
      <x:c r="A537" s="1">
        <x:v>2024</x:v>
      </x:c>
      <x:c r="B537" s="1" t="s">
        <x:v>53</x:v>
      </x:c>
      <x:c r="C537" s="7" t="s">
        <x:v>54</x:v>
      </x:c>
      <x:c r="D537" s="1" t="s">
        <x:v>97</x:v>
      </x:c>
      <x:c r="E537" s="9">
        <x:v>2</x:v>
      </x:c>
      <x:c r="F537" s="9">
        <x:v>19</x:v>
      </x:c>
      <x:c r="G537" s="11">
        <x:v>5250000</x:v>
      </x:c>
      <x:c r="H537" s="9">
        <x:v>19</x:v>
      </x:c>
      <x:c r="I537" s="9">
        <x:v>2</x:v>
      </x:c>
      <x:c r="J537" s="11">
        <x:v>5250000</x:v>
      </x:c>
      <x:c r="K537" s="1" t="s">
        <x:v>84</x:v>
      </x:c>
      <x:c r="L537" s="1">
        <x:v>2685</x:v>
      </x:c>
    </x:row>
    <x:row r="538" ht="22" customHeight="1">
      <x:c r="A538" s="5">
        <x:v>2024</x:v>
      </x:c>
      <x:c r="B538" s="5" t="s">
        <x:v>55</x:v>
      </x:c>
      <x:c r="C538" s="6" t="s">
        <x:v>56</x:v>
      </x:c>
      <x:c r="D538" s="5" t="s">
        <x:v>94</x:v>
      </x:c>
      <x:c r="E538" s="8">
        <x:v>2848</x:v>
      </x:c>
      <x:c r="F538" s="8">
        <x:v>2848</x:v>
      </x:c>
      <x:c r="G538" s="10">
        <x:v>934075043</x:v>
      </x:c>
      <x:c r="H538" s="8">
        <x:v>2836</x:v>
      </x:c>
      <x:c r="I538" s="8">
        <x:v>2836</x:v>
      </x:c>
      <x:c r="J538" s="10">
        <x:v>926993566</x:v>
      </x:c>
      <x:c r="K538" s="5" t="s">
        <x:v>84</x:v>
      </x:c>
      <x:c r="L538" s="5">
        <x:v>2686</x:v>
      </x:c>
    </x:row>
    <x:row r="539" ht="22" customHeight="1">
      <x:c r="A539" s="1">
        <x:v>2024</x:v>
      </x:c>
      <x:c r="B539" s="1" t="s">
        <x:v>55</x:v>
      </x:c>
      <x:c r="C539" s="7" t="s">
        <x:v>56</x:v>
      </x:c>
      <x:c r="D539" s="1" t="s">
        <x:v>95</x:v>
      </x:c>
      <x:c r="E539" s="9">
        <x:v>15</x:v>
      </x:c>
      <x:c r="F539" s="9">
        <x:v>30</x:v>
      </x:c>
      <x:c r="G539" s="11">
        <x:v>5299462</x:v>
      </x:c>
      <x:c r="H539" s="9">
        <x:v>20</x:v>
      </x:c>
      <x:c r="I539" s="9">
        <x:v>10</x:v>
      </x:c>
      <x:c r="J539" s="11">
        <x:v>3326056</x:v>
      </x:c>
      <x:c r="K539" s="1" t="s">
        <x:v>84</x:v>
      </x:c>
      <x:c r="L539" s="1">
        <x:v>2686</x:v>
      </x:c>
    </x:row>
    <x:row r="540" ht="22" customHeight="1">
      <x:c r="A540" s="5">
        <x:v>2024</x:v>
      </x:c>
      <x:c r="B540" s="5" t="s">
        <x:v>55</x:v>
      </x:c>
      <x:c r="C540" s="6" t="s">
        <x:v>56</x:v>
      </x:c>
      <x:c r="D540" s="5" t="s">
        <x:v>96</x:v>
      </x:c>
      <x:c r="E540" s="8">
        <x:v>27</x:v>
      </x:c>
      <x:c r="F540" s="8">
        <x:v>93</x:v>
      </x:c>
      <x:c r="G540" s="10">
        <x:v>26047545</x:v>
      </x:c>
      <x:c r="H540" s="8">
        <x:v>87</x:v>
      </x:c>
      <x:c r="I540" s="8">
        <x:v>25</x:v>
      </x:c>
      <x:c r="J540" s="10">
        <x:v>24845841</x:v>
      </x:c>
      <x:c r="K540" s="5" t="s">
        <x:v>84</x:v>
      </x:c>
      <x:c r="L540" s="5">
        <x:v>2686</x:v>
      </x:c>
    </x:row>
    <x:row r="541" ht="22" customHeight="1">
      <x:c r="A541" s="1">
        <x:v>2024</x:v>
      </x:c>
      <x:c r="B541" s="1" t="s">
        <x:v>55</x:v>
      </x:c>
      <x:c r="C541" s="7" t="s">
        <x:v>56</x:v>
      </x:c>
      <x:c r="D541" s="1" t="s">
        <x:v>97</x:v>
      </x:c>
      <x:c r="E541" s="9">
        <x:v>54</x:v>
      </x:c>
      <x:c r="F541" s="9">
        <x:v>1579</x:v>
      </x:c>
      <x:c r="G541" s="11">
        <x:v>319785089</x:v>
      </x:c>
      <x:c r="H541" s="9">
        <x:v>1579</x:v>
      </x:c>
      <x:c r="I541" s="9">
        <x:v>54</x:v>
      </x:c>
      <x:c r="J541" s="11">
        <x:v>319785089</x:v>
      </x:c>
      <x:c r="K541" s="1" t="s">
        <x:v>84</x:v>
      </x:c>
      <x:c r="L541" s="1">
        <x:v>2686</x:v>
      </x:c>
    </x:row>
    <x:row r="542" ht="22" customHeight="1">
      <x:c r="A542" s="5">
        <x:v>2024</x:v>
      </x:c>
      <x:c r="B542" s="5" t="s">
        <x:v>57</x:v>
      </x:c>
      <x:c r="C542" s="6" t="s">
        <x:v>58</x:v>
      </x:c>
      <x:c r="D542" s="5" t="s">
        <x:v>94</x:v>
      </x:c>
      <x:c r="E542" s="8">
        <x:v>48</x:v>
      </x:c>
      <x:c r="F542" s="8">
        <x:v>48</x:v>
      </x:c>
      <x:c r="G542" s="10">
        <x:v>18931162</x:v>
      </x:c>
      <x:c r="H542" s="8">
        <x:v>48</x:v>
      </x:c>
      <x:c r="I542" s="8">
        <x:v>48</x:v>
      </x:c>
      <x:c r="J542" s="10">
        <x:v>18931162</x:v>
      </x:c>
      <x:c r="K542" s="5" t="s">
        <x:v>84</x:v>
      </x:c>
      <x:c r="L542" s="5">
        <x:v>2687</x:v>
      </x:c>
    </x:row>
    <x:row r="543" ht="22" customHeight="1">
      <x:c r="A543" s="1">
        <x:v>2024</x:v>
      </x:c>
      <x:c r="B543" s="1" t="s">
        <x:v>57</x:v>
      </x:c>
      <x:c r="C543" s="7" t="s">
        <x:v>58</x:v>
      </x:c>
      <x:c r="D543" s="1" t="s">
        <x:v>95</x:v>
      </x:c>
      <x:c r="E543" s="9">
        <x:v>2</x:v>
      </x:c>
      <x:c r="F543" s="9">
        <x:v>4</x:v>
      </x:c>
      <x:c r="G543" s="11">
        <x:v>838025</x:v>
      </x:c>
      <x:c r="H543" s="9">
        <x:v>4</x:v>
      </x:c>
      <x:c r="I543" s="9">
        <x:v>2</x:v>
      </x:c>
      <x:c r="J543" s="11">
        <x:v>838025</x:v>
      </x:c>
      <x:c r="K543" s="1" t="s">
        <x:v>84</x:v>
      </x:c>
      <x:c r="L543" s="1">
        <x:v>2687</x:v>
      </x:c>
    </x:row>
    <x:row r="544" ht="22" customHeight="1">
      <x:c r="A544" s="5">
        <x:v>2024</x:v>
      </x:c>
      <x:c r="B544" s="5" t="s">
        <x:v>57</x:v>
      </x:c>
      <x:c r="C544" s="6" t="s">
        <x:v>58</x:v>
      </x:c>
      <x:c r="D544" s="5" t="s">
        <x:v>96</x:v>
      </x:c>
      <x:c r="E544" s="8">
        <x:v>0</x:v>
      </x:c>
      <x:c r="F544" s="8">
        <x:v>0</x:v>
      </x:c>
      <x:c r="G544" s="10">
        <x:v>0</x:v>
      </x:c>
      <x:c r="H544" s="8">
        <x:v>0</x:v>
      </x:c>
      <x:c r="I544" s="8">
        <x:v>0</x:v>
      </x:c>
      <x:c r="J544" s="10">
        <x:v>0</x:v>
      </x:c>
      <x:c r="K544" s="5" t="s">
        <x:v>84</x:v>
      </x:c>
      <x:c r="L544" s="5">
        <x:v>2687</x:v>
      </x:c>
    </x:row>
    <x:row r="545" ht="22" customHeight="1">
      <x:c r="A545" s="1">
        <x:v>2024</x:v>
      </x:c>
      <x:c r="B545" s="1" t="s">
        <x:v>57</x:v>
      </x:c>
      <x:c r="C545" s="7" t="s">
        <x:v>58</x:v>
      </x:c>
      <x:c r="D545" s="1" t="s">
        <x:v>97</x:v>
      </x:c>
      <x:c r="E545" s="9">
        <x:v>0</x:v>
      </x:c>
      <x:c r="F545" s="9">
        <x:v>0</x:v>
      </x:c>
      <x:c r="G545" s="11">
        <x:v>0</x:v>
      </x:c>
      <x:c r="H545" s="9">
        <x:v>0</x:v>
      </x:c>
      <x:c r="I545" s="9">
        <x:v>0</x:v>
      </x:c>
      <x:c r="J545" s="11">
        <x:v>0</x:v>
      </x:c>
      <x:c r="K545" s="1" t="s">
        <x:v>84</x:v>
      </x:c>
      <x:c r="L545" s="1">
        <x:v>2687</x:v>
      </x:c>
    </x:row>
    <x:row r="546" ht="22" customHeight="1">
      <x:c r="A546" s="5">
        <x:v>2024</x:v>
      </x:c>
      <x:c r="B546" s="5" t="s">
        <x:v>59</x:v>
      </x:c>
      <x:c r="C546" s="6" t="s">
        <x:v>60</x:v>
      </x:c>
      <x:c r="D546" s="5" t="s">
        <x:v>94</x:v>
      </x:c>
      <x:c r="E546" s="8">
        <x:v>210</x:v>
      </x:c>
      <x:c r="F546" s="8">
        <x:v>210</x:v>
      </x:c>
      <x:c r="G546" s="10">
        <x:v>85875329</x:v>
      </x:c>
      <x:c r="H546" s="8">
        <x:v>210</x:v>
      </x:c>
      <x:c r="I546" s="8">
        <x:v>210</x:v>
      </x:c>
      <x:c r="J546" s="10">
        <x:v>85875329</x:v>
      </x:c>
      <x:c r="K546" s="5" t="s">
        <x:v>84</x:v>
      </x:c>
      <x:c r="L546" s="5">
        <x:v>2688</x:v>
      </x:c>
    </x:row>
    <x:row r="547" ht="22" customHeight="1">
      <x:c r="A547" s="1">
        <x:v>2024</x:v>
      </x:c>
      <x:c r="B547" s="1" t="s">
        <x:v>59</x:v>
      </x:c>
      <x:c r="C547" s="7" t="s">
        <x:v>60</x:v>
      </x:c>
      <x:c r="D547" s="1" t="s">
        <x:v>95</x:v>
      </x:c>
      <x:c r="E547" s="9">
        <x:v>4</x:v>
      </x:c>
      <x:c r="F547" s="9">
        <x:v>8</x:v>
      </x:c>
      <x:c r="G547" s="11">
        <x:v>2111832</x:v>
      </x:c>
      <x:c r="H547" s="9">
        <x:v>8</x:v>
      </x:c>
      <x:c r="I547" s="9">
        <x:v>4</x:v>
      </x:c>
      <x:c r="J547" s="11">
        <x:v>2111832</x:v>
      </x:c>
      <x:c r="K547" s="1" t="s">
        <x:v>84</x:v>
      </x:c>
      <x:c r="L547" s="1">
        <x:v>2688</x:v>
      </x:c>
    </x:row>
    <x:row r="548" ht="22" customHeight="1">
      <x:c r="A548" s="5">
        <x:v>2024</x:v>
      </x:c>
      <x:c r="B548" s="5" t="s">
        <x:v>59</x:v>
      </x:c>
      <x:c r="C548" s="6" t="s">
        <x:v>60</x:v>
      </x:c>
      <x:c r="D548" s="5" t="s">
        <x:v>96</x:v>
      </x:c>
      <x:c r="E548" s="8">
        <x:v>1</x:v>
      </x:c>
      <x:c r="F548" s="8">
        <x:v>4</x:v>
      </x:c>
      <x:c r="G548" s="10">
        <x:v>719929</x:v>
      </x:c>
      <x:c r="H548" s="8">
        <x:v>4</x:v>
      </x:c>
      <x:c r="I548" s="8">
        <x:v>1</x:v>
      </x:c>
      <x:c r="J548" s="10">
        <x:v>719929</x:v>
      </x:c>
      <x:c r="K548" s="5" t="s">
        <x:v>84</x:v>
      </x:c>
      <x:c r="L548" s="5">
        <x:v>2688</x:v>
      </x:c>
    </x:row>
    <x:row r="549" ht="22" customHeight="1">
      <x:c r="A549" s="1">
        <x:v>2024</x:v>
      </x:c>
      <x:c r="B549" s="1" t="s">
        <x:v>59</x:v>
      </x:c>
      <x:c r="C549" s="7" t="s">
        <x:v>60</x:v>
      </x:c>
      <x:c r="D549" s="1" t="s">
        <x:v>97</x:v>
      </x:c>
      <x:c r="E549" s="9">
        <x:v>5</x:v>
      </x:c>
      <x:c r="F549" s="9">
        <x:v>44</x:v>
      </x:c>
      <x:c r="G549" s="11">
        <x:v>8479901</x:v>
      </x:c>
      <x:c r="H549" s="9">
        <x:v>44</x:v>
      </x:c>
      <x:c r="I549" s="9">
        <x:v>5</x:v>
      </x:c>
      <x:c r="J549" s="11">
        <x:v>8479901</x:v>
      </x:c>
      <x:c r="K549" s="1" t="s">
        <x:v>84</x:v>
      </x:c>
      <x:c r="L549" s="1">
        <x:v>2688</x:v>
      </x:c>
    </x:row>
    <x:row r="550" ht="22" customHeight="1">
      <x:c r="A550" s="5">
        <x:v>2024</x:v>
      </x:c>
      <x:c r="B550" s="5" t="s">
        <x:v>61</x:v>
      </x:c>
      <x:c r="C550" s="6" t="s">
        <x:v>62</x:v>
      </x:c>
      <x:c r="D550" s="5" t="s">
        <x:v>94</x:v>
      </x:c>
      <x:c r="E550" s="8">
        <x:v>91</x:v>
      </x:c>
      <x:c r="F550" s="8">
        <x:v>91</x:v>
      </x:c>
      <x:c r="G550" s="10">
        <x:v>33285210</x:v>
      </x:c>
      <x:c r="H550" s="8">
        <x:v>91</x:v>
      </x:c>
      <x:c r="I550" s="8">
        <x:v>91</x:v>
      </x:c>
      <x:c r="J550" s="10">
        <x:v>33285210</x:v>
      </x:c>
      <x:c r="K550" s="5" t="s">
        <x:v>84</x:v>
      </x:c>
      <x:c r="L550" s="5">
        <x:v>2689</x:v>
      </x:c>
    </x:row>
    <x:row r="551" ht="22" customHeight="1">
      <x:c r="A551" s="1">
        <x:v>2024</x:v>
      </x:c>
      <x:c r="B551" s="1" t="s">
        <x:v>61</x:v>
      </x:c>
      <x:c r="C551" s="7" t="s">
        <x:v>62</x:v>
      </x:c>
      <x:c r="D551" s="1" t="s">
        <x:v>95</x:v>
      </x:c>
      <x:c r="E551" s="9">
        <x:v>7</x:v>
      </x:c>
      <x:c r="F551" s="9">
        <x:v>14</x:v>
      </x:c>
      <x:c r="G551" s="11">
        <x:v>2274000</x:v>
      </x:c>
      <x:c r="H551" s="9">
        <x:v>14</x:v>
      </x:c>
      <x:c r="I551" s="9">
        <x:v>7</x:v>
      </x:c>
      <x:c r="J551" s="11">
        <x:v>2274000</x:v>
      </x:c>
      <x:c r="K551" s="1" t="s">
        <x:v>84</x:v>
      </x:c>
      <x:c r="L551" s="1">
        <x:v>2689</x:v>
      </x:c>
    </x:row>
    <x:row r="552" ht="22" customHeight="1">
      <x:c r="A552" s="5">
        <x:v>2024</x:v>
      </x:c>
      <x:c r="B552" s="5" t="s">
        <x:v>61</x:v>
      </x:c>
      <x:c r="C552" s="6" t="s">
        <x:v>62</x:v>
      </x:c>
      <x:c r="D552" s="5" t="s">
        <x:v>96</x:v>
      </x:c>
      <x:c r="E552" s="8">
        <x:v>1</x:v>
      </x:c>
      <x:c r="F552" s="8">
        <x:v>4</x:v>
      </x:c>
      <x:c r="G552" s="10">
        <x:v>1300000</x:v>
      </x:c>
      <x:c r="H552" s="8">
        <x:v>4</x:v>
      </x:c>
      <x:c r="I552" s="8">
        <x:v>1</x:v>
      </x:c>
      <x:c r="J552" s="10">
        <x:v>1300000</x:v>
      </x:c>
      <x:c r="K552" s="5" t="s">
        <x:v>84</x:v>
      </x:c>
      <x:c r="L552" s="5">
        <x:v>2689</x:v>
      </x:c>
    </x:row>
    <x:row r="553" ht="22" customHeight="1">
      <x:c r="A553" s="1">
        <x:v>2024</x:v>
      </x:c>
      <x:c r="B553" s="1" t="s">
        <x:v>61</x:v>
      </x:c>
      <x:c r="C553" s="7" t="s">
        <x:v>62</x:v>
      </x:c>
      <x:c r="D553" s="1" t="s">
        <x:v>97</x:v>
      </x:c>
      <x:c r="E553" s="9">
        <x:v>0</x:v>
      </x:c>
      <x:c r="F553" s="9">
        <x:v>0</x:v>
      </x:c>
      <x:c r="G553" s="11">
        <x:v>0</x:v>
      </x:c>
      <x:c r="H553" s="9">
        <x:v>0</x:v>
      </x:c>
      <x:c r="I553" s="9">
        <x:v>0</x:v>
      </x:c>
      <x:c r="J553" s="11">
        <x:v>0</x:v>
      </x:c>
      <x:c r="K553" s="1" t="s">
        <x:v>84</x:v>
      </x:c>
      <x:c r="L553" s="1">
        <x:v>2689</x:v>
      </x:c>
    </x:row>
    <x:row r="554" ht="22" customHeight="1">
      <x:c r="A554" s="5">
        <x:v>2024</x:v>
      </x:c>
      <x:c r="B554" s="5" t="s">
        <x:v>63</x:v>
      </x:c>
      <x:c r="C554" s="6" t="s">
        <x:v>64</x:v>
      </x:c>
      <x:c r="D554" s="5" t="s">
        <x:v>94</x:v>
      </x:c>
      <x:c r="E554" s="8">
        <x:v>388</x:v>
      </x:c>
      <x:c r="F554" s="8">
        <x:v>388</x:v>
      </x:c>
      <x:c r="G554" s="10">
        <x:v>311038030</x:v>
      </x:c>
      <x:c r="H554" s="8">
        <x:v>388</x:v>
      </x:c>
      <x:c r="I554" s="8">
        <x:v>388</x:v>
      </x:c>
      <x:c r="J554" s="10">
        <x:v>311038030</x:v>
      </x:c>
      <x:c r="K554" s="5" t="s">
        <x:v>84</x:v>
      </x:c>
      <x:c r="L554" s="5">
        <x:v>2690</x:v>
      </x:c>
    </x:row>
    <x:row r="555" ht="22" customHeight="1">
      <x:c r="A555" s="1">
        <x:v>2024</x:v>
      </x:c>
      <x:c r="B555" s="1" t="s">
        <x:v>63</x:v>
      </x:c>
      <x:c r="C555" s="7" t="s">
        <x:v>64</x:v>
      </x:c>
      <x:c r="D555" s="1" t="s">
        <x:v>95</x:v>
      </x:c>
      <x:c r="E555" s="9">
        <x:v>1</x:v>
      </x:c>
      <x:c r="F555" s="9">
        <x:v>2</x:v>
      </x:c>
      <x:c r="G555" s="11">
        <x:v>413052</x:v>
      </x:c>
      <x:c r="H555" s="9">
        <x:v>2</x:v>
      </x:c>
      <x:c r="I555" s="9">
        <x:v>1</x:v>
      </x:c>
      <x:c r="J555" s="11">
        <x:v>413052</x:v>
      </x:c>
      <x:c r="K555" s="1" t="s">
        <x:v>84</x:v>
      </x:c>
      <x:c r="L555" s="1">
        <x:v>2690</x:v>
      </x:c>
    </x:row>
    <x:row r="556" ht="22" customHeight="1">
      <x:c r="A556" s="5">
        <x:v>2024</x:v>
      </x:c>
      <x:c r="B556" s="5" t="s">
        <x:v>63</x:v>
      </x:c>
      <x:c r="C556" s="6" t="s">
        <x:v>64</x:v>
      </x:c>
      <x:c r="D556" s="5" t="s">
        <x:v>96</x:v>
      </x:c>
      <x:c r="E556" s="8">
        <x:v>0</x:v>
      </x:c>
      <x:c r="F556" s="8">
        <x:v>0</x:v>
      </x:c>
      <x:c r="G556" s="10">
        <x:v>0</x:v>
      </x:c>
      <x:c r="H556" s="8">
        <x:v>0</x:v>
      </x:c>
      <x:c r="I556" s="8">
        <x:v>0</x:v>
      </x:c>
      <x:c r="J556" s="10">
        <x:v>0</x:v>
      </x:c>
      <x:c r="K556" s="5" t="s">
        <x:v>84</x:v>
      </x:c>
      <x:c r="L556" s="5">
        <x:v>2690</x:v>
      </x:c>
    </x:row>
    <x:row r="557" ht="22" customHeight="1">
      <x:c r="A557" s="1">
        <x:v>2024</x:v>
      </x:c>
      <x:c r="B557" s="1" t="s">
        <x:v>63</x:v>
      </x:c>
      <x:c r="C557" s="7" t="s">
        <x:v>64</x:v>
      </x:c>
      <x:c r="D557" s="1" t="s">
        <x:v>97</x:v>
      </x:c>
      <x:c r="E557" s="9">
        <x:v>3</x:v>
      </x:c>
      <x:c r="F557" s="9">
        <x:v>529</x:v>
      </x:c>
      <x:c r="G557" s="11">
        <x:v>169159418</x:v>
      </x:c>
      <x:c r="H557" s="9">
        <x:v>529</x:v>
      </x:c>
      <x:c r="I557" s="9">
        <x:v>3</x:v>
      </x:c>
      <x:c r="J557" s="11">
        <x:v>169159418</x:v>
      </x:c>
      <x:c r="K557" s="1" t="s">
        <x:v>84</x:v>
      </x:c>
      <x:c r="L557" s="1">
        <x:v>2690</x:v>
      </x:c>
    </x:row>
    <x:row r="558" ht="22" customHeight="1">
      <x:c r="A558" s="5">
        <x:v>2024</x:v>
      </x:c>
      <x:c r="B558" s="5" t="s">
        <x:v>65</x:v>
      </x:c>
      <x:c r="C558" s="6" t="s">
        <x:v>66</x:v>
      </x:c>
      <x:c r="D558" s="5" t="s">
        <x:v>94</x:v>
      </x:c>
      <x:c r="E558" s="8">
        <x:v>677</x:v>
      </x:c>
      <x:c r="F558" s="8">
        <x:v>677</x:v>
      </x:c>
      <x:c r="G558" s="10">
        <x:v>277819548</x:v>
      </x:c>
      <x:c r="H558" s="8">
        <x:v>677</x:v>
      </x:c>
      <x:c r="I558" s="8">
        <x:v>677</x:v>
      </x:c>
      <x:c r="J558" s="10">
        <x:v>277819548</x:v>
      </x:c>
      <x:c r="K558" s="5" t="s">
        <x:v>84</x:v>
      </x:c>
      <x:c r="L558" s="5">
        <x:v>2691</x:v>
      </x:c>
    </x:row>
    <x:row r="559" ht="22" customHeight="1">
      <x:c r="A559" s="1">
        <x:v>2024</x:v>
      </x:c>
      <x:c r="B559" s="1" t="s">
        <x:v>65</x:v>
      </x:c>
      <x:c r="C559" s="7" t="s">
        <x:v>66</x:v>
      </x:c>
      <x:c r="D559" s="1" t="s">
        <x:v>95</x:v>
      </x:c>
      <x:c r="E559" s="9">
        <x:v>25</x:v>
      </x:c>
      <x:c r="F559" s="9">
        <x:v>50</x:v>
      </x:c>
      <x:c r="G559" s="11">
        <x:v>10960098</x:v>
      </x:c>
      <x:c r="H559" s="9">
        <x:v>50</x:v>
      </x:c>
      <x:c r="I559" s="9">
        <x:v>25</x:v>
      </x:c>
      <x:c r="J559" s="11">
        <x:v>10960098</x:v>
      </x:c>
      <x:c r="K559" s="1" t="s">
        <x:v>84</x:v>
      </x:c>
      <x:c r="L559" s="1">
        <x:v>2691</x:v>
      </x:c>
    </x:row>
    <x:row r="560" ht="22" customHeight="1">
      <x:c r="A560" s="5">
        <x:v>2024</x:v>
      </x:c>
      <x:c r="B560" s="5" t="s">
        <x:v>65</x:v>
      </x:c>
      <x:c r="C560" s="6" t="s">
        <x:v>66</x:v>
      </x:c>
      <x:c r="D560" s="5" t="s">
        <x:v>96</x:v>
      </x:c>
      <x:c r="E560" s="8">
        <x:v>22</x:v>
      </x:c>
      <x:c r="F560" s="8">
        <x:v>83</x:v>
      </x:c>
      <x:c r="G560" s="10">
        <x:v>26159730</x:v>
      </x:c>
      <x:c r="H560" s="8">
        <x:v>83</x:v>
      </x:c>
      <x:c r="I560" s="8">
        <x:v>22</x:v>
      </x:c>
      <x:c r="J560" s="10">
        <x:v>26159730</x:v>
      </x:c>
      <x:c r="K560" s="5" t="s">
        <x:v>84</x:v>
      </x:c>
      <x:c r="L560" s="5">
        <x:v>2691</x:v>
      </x:c>
    </x:row>
    <x:row r="561" ht="22" customHeight="1">
      <x:c r="A561" s="1">
        <x:v>2024</x:v>
      </x:c>
      <x:c r="B561" s="1" t="s">
        <x:v>65</x:v>
      </x:c>
      <x:c r="C561" s="7" t="s">
        <x:v>66</x:v>
      </x:c>
      <x:c r="D561" s="1" t="s">
        <x:v>97</x:v>
      </x:c>
      <x:c r="E561" s="9">
        <x:v>14</x:v>
      </x:c>
      <x:c r="F561" s="9">
        <x:v>87</x:v>
      </x:c>
      <x:c r="G561" s="11">
        <x:v>24118749</x:v>
      </x:c>
      <x:c r="H561" s="9">
        <x:v>87</x:v>
      </x:c>
      <x:c r="I561" s="9">
        <x:v>14</x:v>
      </x:c>
      <x:c r="J561" s="11">
        <x:v>24118749</x:v>
      </x:c>
      <x:c r="K561" s="1" t="s">
        <x:v>84</x:v>
      </x:c>
      <x:c r="L561" s="1">
        <x:v>2691</x:v>
      </x:c>
    </x:row>
    <x:row r="562" ht="22" customHeight="1">
      <x:c r="A562" s="5">
        <x:v>2024</x:v>
      </x:c>
      <x:c r="B562" s="5" t="s">
        <x:v>67</x:v>
      </x:c>
      <x:c r="C562" s="6" t="s">
        <x:v>68</x:v>
      </x:c>
      <x:c r="D562" s="5" t="s">
        <x:v>94</x:v>
      </x:c>
      <x:c r="E562" s="8">
        <x:v>74</x:v>
      </x:c>
      <x:c r="F562" s="8">
        <x:v>74</x:v>
      </x:c>
      <x:c r="G562" s="10">
        <x:v>27813857</x:v>
      </x:c>
      <x:c r="H562" s="8">
        <x:v>74</x:v>
      </x:c>
      <x:c r="I562" s="8">
        <x:v>74</x:v>
      </x:c>
      <x:c r="J562" s="10">
        <x:v>27813857</x:v>
      </x:c>
      <x:c r="K562" s="5" t="s">
        <x:v>84</x:v>
      </x:c>
      <x:c r="L562" s="5">
        <x:v>2692</x:v>
      </x:c>
    </x:row>
    <x:row r="563" ht="22" customHeight="1">
      <x:c r="A563" s="1">
        <x:v>2024</x:v>
      </x:c>
      <x:c r="B563" s="1" t="s">
        <x:v>67</x:v>
      </x:c>
      <x:c r="C563" s="7" t="s">
        <x:v>68</x:v>
      </x:c>
      <x:c r="D563" s="1" t="s">
        <x:v>95</x:v>
      </x:c>
      <x:c r="E563" s="9">
        <x:v>2</x:v>
      </x:c>
      <x:c r="F563" s="9">
        <x:v>4</x:v>
      </x:c>
      <x:c r="G563" s="11">
        <x:v>632420</x:v>
      </x:c>
      <x:c r="H563" s="9">
        <x:v>4</x:v>
      </x:c>
      <x:c r="I563" s="9">
        <x:v>2</x:v>
      </x:c>
      <x:c r="J563" s="11">
        <x:v>632420</x:v>
      </x:c>
      <x:c r="K563" s="1" t="s">
        <x:v>84</x:v>
      </x:c>
      <x:c r="L563" s="1">
        <x:v>2692</x:v>
      </x:c>
    </x:row>
    <x:row r="564" ht="22" customHeight="1">
      <x:c r="A564" s="5">
        <x:v>2024</x:v>
      </x:c>
      <x:c r="B564" s="5" t="s">
        <x:v>67</x:v>
      </x:c>
      <x:c r="C564" s="6" t="s">
        <x:v>68</x:v>
      </x:c>
      <x:c r="D564" s="5" t="s">
        <x:v>96</x:v>
      </x:c>
      <x:c r="E564" s="8">
        <x:v>2</x:v>
      </x:c>
      <x:c r="F564" s="8">
        <x:v>8</x:v>
      </x:c>
      <x:c r="G564" s="10">
        <x:v>1320000</x:v>
      </x:c>
      <x:c r="H564" s="8">
        <x:v>8</x:v>
      </x:c>
      <x:c r="I564" s="8">
        <x:v>2</x:v>
      </x:c>
      <x:c r="J564" s="10">
        <x:v>1320000</x:v>
      </x:c>
      <x:c r="K564" s="5" t="s">
        <x:v>84</x:v>
      </x:c>
      <x:c r="L564" s="5">
        <x:v>2692</x:v>
      </x:c>
    </x:row>
    <x:row r="565" ht="22" customHeight="1">
      <x:c r="A565" s="1">
        <x:v>2024</x:v>
      </x:c>
      <x:c r="B565" s="1" t="s">
        <x:v>67</x:v>
      </x:c>
      <x:c r="C565" s="7" t="s">
        <x:v>68</x:v>
      </x:c>
      <x:c r="D565" s="1" t="s">
        <x:v>97</x:v>
      </x:c>
      <x:c r="E565" s="9">
        <x:v>0</x:v>
      </x:c>
      <x:c r="F565" s="9">
        <x:v>0</x:v>
      </x:c>
      <x:c r="G565" s="11">
        <x:v>0</x:v>
      </x:c>
      <x:c r="H565" s="9">
        <x:v>0</x:v>
      </x:c>
      <x:c r="I565" s="9">
        <x:v>0</x:v>
      </x:c>
      <x:c r="J565" s="11">
        <x:v>0</x:v>
      </x:c>
      <x:c r="K565" s="1" t="s">
        <x:v>84</x:v>
      </x:c>
      <x:c r="L565" s="1">
        <x:v>2692</x:v>
      </x:c>
    </x:row>
    <x:row r="566" ht="22" customHeight="1">
      <x:c r="A566" s="5">
        <x:v>2024</x:v>
      </x:c>
      <x:c r="B566" s="5" t="s">
        <x:v>69</x:v>
      </x:c>
      <x:c r="C566" s="6" t="s">
        <x:v>70</x:v>
      </x:c>
      <x:c r="D566" s="5" t="s">
        <x:v>94</x:v>
      </x:c>
      <x:c r="E566" s="8">
        <x:v>5174</x:v>
      </x:c>
      <x:c r="F566" s="8">
        <x:v>5174</x:v>
      </x:c>
      <x:c r="G566" s="10">
        <x:v>1729118498</x:v>
      </x:c>
      <x:c r="H566" s="8">
        <x:v>5013</x:v>
      </x:c>
      <x:c r="I566" s="8">
        <x:v>5013</x:v>
      </x:c>
      <x:c r="J566" s="10">
        <x:v>1680645954</x:v>
      </x:c>
      <x:c r="K566" s="5" t="s">
        <x:v>84</x:v>
      </x:c>
      <x:c r="L566" s="5">
        <x:v>2693</x:v>
      </x:c>
    </x:row>
    <x:row r="567" ht="22" customHeight="1">
      <x:c r="A567" s="1">
        <x:v>2024</x:v>
      </x:c>
      <x:c r="B567" s="1" t="s">
        <x:v>69</x:v>
      </x:c>
      <x:c r="C567" s="7" t="s">
        <x:v>70</x:v>
      </x:c>
      <x:c r="D567" s="1" t="s">
        <x:v>95</x:v>
      </x:c>
      <x:c r="E567" s="9">
        <x:v>5</x:v>
      </x:c>
      <x:c r="F567" s="9">
        <x:v>10</x:v>
      </x:c>
      <x:c r="G567" s="11">
        <x:v>4226208</x:v>
      </x:c>
      <x:c r="H567" s="9">
        <x:v>10</x:v>
      </x:c>
      <x:c r="I567" s="9">
        <x:v>5</x:v>
      </x:c>
      <x:c r="J567" s="11">
        <x:v>4226208</x:v>
      </x:c>
      <x:c r="K567" s="1" t="s">
        <x:v>84</x:v>
      </x:c>
      <x:c r="L567" s="1">
        <x:v>2693</x:v>
      </x:c>
    </x:row>
    <x:row r="568" ht="22" customHeight="1">
      <x:c r="A568" s="5">
        <x:v>2024</x:v>
      </x:c>
      <x:c r="B568" s="5" t="s">
        <x:v>69</x:v>
      </x:c>
      <x:c r="C568" s="6" t="s">
        <x:v>70</x:v>
      </x:c>
      <x:c r="D568" s="5" t="s">
        <x:v>96</x:v>
      </x:c>
      <x:c r="E568" s="8">
        <x:v>26</x:v>
      </x:c>
      <x:c r="F568" s="8">
        <x:v>97</x:v>
      </x:c>
      <x:c r="G568" s="10">
        <x:v>23576229</x:v>
      </x:c>
      <x:c r="H568" s="8">
        <x:v>97</x:v>
      </x:c>
      <x:c r="I568" s="8">
        <x:v>26</x:v>
      </x:c>
      <x:c r="J568" s="10">
        <x:v>23576229</x:v>
      </x:c>
      <x:c r="K568" s="5" t="s">
        <x:v>84</x:v>
      </x:c>
      <x:c r="L568" s="5">
        <x:v>2693</x:v>
      </x:c>
    </x:row>
    <x:row r="569" ht="22" customHeight="1">
      <x:c r="A569" s="1">
        <x:v>2024</x:v>
      </x:c>
      <x:c r="B569" s="1" t="s">
        <x:v>69</x:v>
      </x:c>
      <x:c r="C569" s="7" t="s">
        <x:v>70</x:v>
      </x:c>
      <x:c r="D569" s="1" t="s">
        <x:v>97</x:v>
      </x:c>
      <x:c r="E569" s="9">
        <x:v>112</x:v>
      </x:c>
      <x:c r="F569" s="9">
        <x:v>1040</x:v>
      </x:c>
      <x:c r="G569" s="11">
        <x:v>176049902</x:v>
      </x:c>
      <x:c r="H569" s="9">
        <x:v>1040</x:v>
      </x:c>
      <x:c r="I569" s="9">
        <x:v>112</x:v>
      </x:c>
      <x:c r="J569" s="11">
        <x:v>176049902</x:v>
      </x:c>
      <x:c r="K569" s="1" t="s">
        <x:v>84</x:v>
      </x:c>
      <x:c r="L569" s="1">
        <x:v>2693</x:v>
      </x:c>
    </x:row>
    <x:row r="570" ht="22" customHeight="1">
      <x:c r="A570" s="5">
        <x:v>2024</x:v>
      </x:c>
      <x:c r="B570" s="5" t="s">
        <x:v>71</x:v>
      </x:c>
      <x:c r="C570" s="6" t="s">
        <x:v>72</x:v>
      </x:c>
      <x:c r="D570" s="5" t="s">
        <x:v>94</x:v>
      </x:c>
      <x:c r="E570" s="8">
        <x:v>784</x:v>
      </x:c>
      <x:c r="F570" s="8">
        <x:v>784</x:v>
      </x:c>
      <x:c r="G570" s="10">
        <x:v>549041999</x:v>
      </x:c>
      <x:c r="H570" s="8">
        <x:v>783</x:v>
      </x:c>
      <x:c r="I570" s="8">
        <x:v>783</x:v>
      </x:c>
      <x:c r="J570" s="10">
        <x:v>548606749</x:v>
      </x:c>
      <x:c r="K570" s="5" t="s">
        <x:v>84</x:v>
      </x:c>
      <x:c r="L570" s="5">
        <x:v>2694</x:v>
      </x:c>
    </x:row>
    <x:row r="571" ht="22" customHeight="1">
      <x:c r="A571" s="1">
        <x:v>2024</x:v>
      </x:c>
      <x:c r="B571" s="1" t="s">
        <x:v>71</x:v>
      </x:c>
      <x:c r="C571" s="7" t="s">
        <x:v>72</x:v>
      </x:c>
      <x:c r="D571" s="1" t="s">
        <x:v>95</x:v>
      </x:c>
      <x:c r="E571" s="9">
        <x:v>0</x:v>
      </x:c>
      <x:c r="F571" s="9">
        <x:v>0</x:v>
      </x:c>
      <x:c r="G571" s="11">
        <x:v>0</x:v>
      </x:c>
      <x:c r="H571" s="9">
        <x:v>0</x:v>
      </x:c>
      <x:c r="I571" s="9">
        <x:v>0</x:v>
      </x:c>
      <x:c r="J571" s="11">
        <x:v>0</x:v>
      </x:c>
      <x:c r="K571" s="1" t="s">
        <x:v>84</x:v>
      </x:c>
      <x:c r="L571" s="1">
        <x:v>2694</x:v>
      </x:c>
    </x:row>
    <x:row r="572" ht="22" customHeight="1">
      <x:c r="A572" s="5">
        <x:v>2024</x:v>
      </x:c>
      <x:c r="B572" s="5" t="s">
        <x:v>71</x:v>
      </x:c>
      <x:c r="C572" s="6" t="s">
        <x:v>72</x:v>
      </x:c>
      <x:c r="D572" s="5" t="s">
        <x:v>96</x:v>
      </x:c>
      <x:c r="E572" s="8">
        <x:v>8</x:v>
      </x:c>
      <x:c r="F572" s="8">
        <x:v>29</x:v>
      </x:c>
      <x:c r="G572" s="10">
        <x:v>11535032</x:v>
      </x:c>
      <x:c r="H572" s="8">
        <x:v>29</x:v>
      </x:c>
      <x:c r="I572" s="8">
        <x:v>8</x:v>
      </x:c>
      <x:c r="J572" s="10">
        <x:v>11535032</x:v>
      </x:c>
      <x:c r="K572" s="5" t="s">
        <x:v>84</x:v>
      </x:c>
      <x:c r="L572" s="5">
        <x:v>2694</x:v>
      </x:c>
    </x:row>
    <x:row r="573" ht="22" customHeight="1">
      <x:c r="A573" s="1">
        <x:v>2024</x:v>
      </x:c>
      <x:c r="B573" s="1" t="s">
        <x:v>71</x:v>
      </x:c>
      <x:c r="C573" s="7" t="s">
        <x:v>72</x:v>
      </x:c>
      <x:c r="D573" s="1" t="s">
        <x:v>97</x:v>
      </x:c>
      <x:c r="E573" s="9">
        <x:v>4</x:v>
      </x:c>
      <x:c r="F573" s="9">
        <x:v>22</x:v>
      </x:c>
      <x:c r="G573" s="11">
        <x:v>7688117</x:v>
      </x:c>
      <x:c r="H573" s="9">
        <x:v>22</x:v>
      </x:c>
      <x:c r="I573" s="9">
        <x:v>4</x:v>
      </x:c>
      <x:c r="J573" s="11">
        <x:v>7688117</x:v>
      </x:c>
      <x:c r="K573" s="1" t="s">
        <x:v>84</x:v>
      </x:c>
      <x:c r="L573" s="1">
        <x:v>2694</x:v>
      </x:c>
    </x:row>
    <x:row r="574" ht="22" customHeight="1">
      <x:c r="A574" s="5">
        <x:v>2024</x:v>
      </x:c>
      <x:c r="B574" s="5" t="s">
        <x:v>73</x:v>
      </x:c>
      <x:c r="C574" s="6" t="s">
        <x:v>74</x:v>
      </x:c>
      <x:c r="D574" s="5" t="s">
        <x:v>94</x:v>
      </x:c>
      <x:c r="E574" s="8">
        <x:v>2467</x:v>
      </x:c>
      <x:c r="F574" s="8">
        <x:v>2467</x:v>
      </x:c>
      <x:c r="G574" s="10">
        <x:v>514755174</x:v>
      </x:c>
      <x:c r="H574" s="8">
        <x:v>2380</x:v>
      </x:c>
      <x:c r="I574" s="8">
        <x:v>2380</x:v>
      </x:c>
      <x:c r="J574" s="10">
        <x:v>488322557</x:v>
      </x:c>
      <x:c r="K574" s="5" t="s">
        <x:v>84</x:v>
      </x:c>
      <x:c r="L574" s="5">
        <x:v>2695</x:v>
      </x:c>
    </x:row>
    <x:row r="575" ht="22" customHeight="1">
      <x:c r="A575" s="1">
        <x:v>2024</x:v>
      </x:c>
      <x:c r="B575" s="1" t="s">
        <x:v>73</x:v>
      </x:c>
      <x:c r="C575" s="7" t="s">
        <x:v>74</x:v>
      </x:c>
      <x:c r="D575" s="1" t="s">
        <x:v>95</x:v>
      </x:c>
      <x:c r="E575" s="9">
        <x:v>0</x:v>
      </x:c>
      <x:c r="F575" s="9">
        <x:v>0</x:v>
      </x:c>
      <x:c r="G575" s="11">
        <x:v>0</x:v>
      </x:c>
      <x:c r="H575" s="9">
        <x:v>0</x:v>
      </x:c>
      <x:c r="I575" s="9">
        <x:v>0</x:v>
      </x:c>
      <x:c r="J575" s="11">
        <x:v>0</x:v>
      </x:c>
      <x:c r="K575" s="1" t="s">
        <x:v>84</x:v>
      </x:c>
      <x:c r="L575" s="1">
        <x:v>2695</x:v>
      </x:c>
    </x:row>
    <x:row r="576" ht="22" customHeight="1">
      <x:c r="A576" s="5">
        <x:v>2024</x:v>
      </x:c>
      <x:c r="B576" s="5" t="s">
        <x:v>73</x:v>
      </x:c>
      <x:c r="C576" s="6" t="s">
        <x:v>74</x:v>
      </x:c>
      <x:c r="D576" s="5" t="s">
        <x:v>96</x:v>
      </x:c>
      <x:c r="E576" s="8">
        <x:v>9</x:v>
      </x:c>
      <x:c r="F576" s="8">
        <x:v>35</x:v>
      </x:c>
      <x:c r="G576" s="10">
        <x:v>6647685</x:v>
      </x:c>
      <x:c r="H576" s="8">
        <x:v>35</x:v>
      </x:c>
      <x:c r="I576" s="8">
        <x:v>9</x:v>
      </x:c>
      <x:c r="J576" s="10">
        <x:v>6647685</x:v>
      </x:c>
      <x:c r="K576" s="5" t="s">
        <x:v>84</x:v>
      </x:c>
      <x:c r="L576" s="5">
        <x:v>2695</x:v>
      </x:c>
    </x:row>
    <x:row r="577" ht="22" customHeight="1">
      <x:c r="A577" s="1">
        <x:v>2024</x:v>
      </x:c>
      <x:c r="B577" s="1" t="s">
        <x:v>73</x:v>
      </x:c>
      <x:c r="C577" s="7" t="s">
        <x:v>74</x:v>
      </x:c>
      <x:c r="D577" s="1" t="s">
        <x:v>97</x:v>
      </x:c>
      <x:c r="E577" s="9">
        <x:v>34</x:v>
      </x:c>
      <x:c r="F577" s="9">
        <x:v>650</x:v>
      </x:c>
      <x:c r="G577" s="11">
        <x:v>92474976</x:v>
      </x:c>
      <x:c r="H577" s="9">
        <x:v>650</x:v>
      </x:c>
      <x:c r="I577" s="9">
        <x:v>34</x:v>
      </x:c>
      <x:c r="J577" s="11">
        <x:v>92474976</x:v>
      </x:c>
      <x:c r="K577" s="1" t="s">
        <x:v>84</x:v>
      </x:c>
      <x:c r="L577" s="1">
        <x:v>2695</x:v>
      </x:c>
    </x:row>
    <x:row r="578" ht="22" customHeight="1">
      <x:c r="A578" s="5">
        <x:v>2024</x:v>
      </x:c>
      <x:c r="B578" s="5" t="s">
        <x:v>75</x:v>
      </x:c>
      <x:c r="C578" s="6" t="s">
        <x:v>76</x:v>
      </x:c>
      <x:c r="D578" s="5" t="s">
        <x:v>94</x:v>
      </x:c>
      <x:c r="E578" s="8">
        <x:v>21</x:v>
      </x:c>
      <x:c r="F578" s="8">
        <x:v>21</x:v>
      </x:c>
      <x:c r="G578" s="10">
        <x:v>6958057</x:v>
      </x:c>
      <x:c r="H578" s="8">
        <x:v>21</x:v>
      </x:c>
      <x:c r="I578" s="8">
        <x:v>21</x:v>
      </x:c>
      <x:c r="J578" s="10">
        <x:v>6958057</x:v>
      </x:c>
      <x:c r="K578" s="5" t="s">
        <x:v>84</x:v>
      </x:c>
      <x:c r="L578" s="5">
        <x:v>2696</x:v>
      </x:c>
    </x:row>
    <x:row r="579" ht="22" customHeight="1">
      <x:c r="A579" s="1">
        <x:v>2024</x:v>
      </x:c>
      <x:c r="B579" s="1" t="s">
        <x:v>75</x:v>
      </x:c>
      <x:c r="C579" s="7" t="s">
        <x:v>76</x:v>
      </x:c>
      <x:c r="D579" s="1" t="s">
        <x:v>95</x:v>
      </x:c>
      <x:c r="E579" s="9">
        <x:v>0</x:v>
      </x:c>
      <x:c r="F579" s="9">
        <x:v>0</x:v>
      </x:c>
      <x:c r="G579" s="11">
        <x:v>0</x:v>
      </x:c>
      <x:c r="H579" s="9">
        <x:v>0</x:v>
      </x:c>
      <x:c r="I579" s="9">
        <x:v>0</x:v>
      </x:c>
      <x:c r="J579" s="11">
        <x:v>0</x:v>
      </x:c>
      <x:c r="K579" s="1" t="s">
        <x:v>84</x:v>
      </x:c>
      <x:c r="L579" s="1">
        <x:v>2696</x:v>
      </x:c>
    </x:row>
    <x:row r="580" ht="22" customHeight="1">
      <x:c r="A580" s="5">
        <x:v>2024</x:v>
      </x:c>
      <x:c r="B580" s="5" t="s">
        <x:v>75</x:v>
      </x:c>
      <x:c r="C580" s="6" t="s">
        <x:v>76</x:v>
      </x:c>
      <x:c r="D580" s="5" t="s">
        <x:v>96</x:v>
      </x:c>
      <x:c r="E580" s="8">
        <x:v>1</x:v>
      </x:c>
      <x:c r="F580" s="8">
        <x:v>3</x:v>
      </x:c>
      <x:c r="G580" s="10">
        <x:v>715000</x:v>
      </x:c>
      <x:c r="H580" s="8">
        <x:v>3</x:v>
      </x:c>
      <x:c r="I580" s="8">
        <x:v>1</x:v>
      </x:c>
      <x:c r="J580" s="10">
        <x:v>715000</x:v>
      </x:c>
      <x:c r="K580" s="5" t="s">
        <x:v>84</x:v>
      </x:c>
      <x:c r="L580" s="5">
        <x:v>2696</x:v>
      </x:c>
    </x:row>
    <x:row r="581" ht="22" customHeight="1">
      <x:c r="A581" s="1">
        <x:v>2024</x:v>
      </x:c>
      <x:c r="B581" s="1" t="s">
        <x:v>75</x:v>
      </x:c>
      <x:c r="C581" s="7" t="s">
        <x:v>76</x:v>
      </x:c>
      <x:c r="D581" s="1" t="s">
        <x:v>97</x:v>
      </x:c>
      <x:c r="E581" s="9">
        <x:v>0</x:v>
      </x:c>
      <x:c r="F581" s="9">
        <x:v>0</x:v>
      </x:c>
      <x:c r="G581" s="11">
        <x:v>0</x:v>
      </x:c>
      <x:c r="H581" s="9">
        <x:v>0</x:v>
      </x:c>
      <x:c r="I581" s="9">
        <x:v>0</x:v>
      </x:c>
      <x:c r="J581" s="11">
        <x:v>0</x:v>
      </x:c>
      <x:c r="K581" s="1" t="s">
        <x:v>84</x:v>
      </x:c>
      <x:c r="L581" s="1">
        <x:v>2696</x:v>
      </x:c>
    </x:row>
    <x:row r="582" ht="22" customHeight="1">
      <x:c r="A582" s="5">
        <x:v>2024</x:v>
      </x:c>
      <x:c r="B582" s="5" t="s">
        <x:v>77</x:v>
      </x:c>
      <x:c r="C582" s="6" t="s">
        <x:v>78</x:v>
      </x:c>
      <x:c r="D582" s="5" t="s">
        <x:v>94</x:v>
      </x:c>
      <x:c r="E582" s="8">
        <x:v>1044</x:v>
      </x:c>
      <x:c r="F582" s="8">
        <x:v>1044</x:v>
      </x:c>
      <x:c r="G582" s="10">
        <x:v>387469917</x:v>
      </x:c>
      <x:c r="H582" s="8">
        <x:v>684</x:v>
      </x:c>
      <x:c r="I582" s="8">
        <x:v>684</x:v>
      </x:c>
      <x:c r="J582" s="10">
        <x:v>291457790</x:v>
      </x:c>
      <x:c r="K582" s="5" t="s">
        <x:v>84</x:v>
      </x:c>
      <x:c r="L582" s="5">
        <x:v>2697</x:v>
      </x:c>
    </x:row>
    <x:row r="583" ht="22" customHeight="1">
      <x:c r="A583" s="1">
        <x:v>2024</x:v>
      </x:c>
      <x:c r="B583" s="1" t="s">
        <x:v>77</x:v>
      </x:c>
      <x:c r="C583" s="7" t="s">
        <x:v>78</x:v>
      </x:c>
      <x:c r="D583" s="1" t="s">
        <x:v>95</x:v>
      </x:c>
      <x:c r="E583" s="9">
        <x:v>5</x:v>
      </x:c>
      <x:c r="F583" s="9">
        <x:v>10</x:v>
      </x:c>
      <x:c r="G583" s="11">
        <x:v>1868353</x:v>
      </x:c>
      <x:c r="H583" s="9">
        <x:v>10</x:v>
      </x:c>
      <x:c r="I583" s="9">
        <x:v>5</x:v>
      </x:c>
      <x:c r="J583" s="11">
        <x:v>1868353</x:v>
      </x:c>
      <x:c r="K583" s="1" t="s">
        <x:v>84</x:v>
      </x:c>
      <x:c r="L583" s="1">
        <x:v>2697</x:v>
      </x:c>
    </x:row>
    <x:row r="584" ht="22" customHeight="1">
      <x:c r="A584" s="5">
        <x:v>2024</x:v>
      </x:c>
      <x:c r="B584" s="5" t="s">
        <x:v>77</x:v>
      </x:c>
      <x:c r="C584" s="6" t="s">
        <x:v>78</x:v>
      </x:c>
      <x:c r="D584" s="5" t="s">
        <x:v>96</x:v>
      </x:c>
      <x:c r="E584" s="8">
        <x:v>16</x:v>
      </x:c>
      <x:c r="F584" s="8">
        <x:v>55</x:v>
      </x:c>
      <x:c r="G584" s="10">
        <x:v>11002865</x:v>
      </x:c>
      <x:c r="H584" s="8">
        <x:v>8</x:v>
      </x:c>
      <x:c r="I584" s="8">
        <x:v>2</x:v>
      </x:c>
      <x:c r="J584" s="10">
        <x:v>2142655</x:v>
      </x:c>
      <x:c r="K584" s="5" t="s">
        <x:v>84</x:v>
      </x:c>
      <x:c r="L584" s="5">
        <x:v>2697</x:v>
      </x:c>
    </x:row>
    <x:row r="585" ht="22" customHeight="1">
      <x:c r="A585" s="1">
        <x:v>2024</x:v>
      </x:c>
      <x:c r="B585" s="1" t="s">
        <x:v>77</x:v>
      </x:c>
      <x:c r="C585" s="7" t="s">
        <x:v>78</x:v>
      </x:c>
      <x:c r="D585" s="1" t="s">
        <x:v>97</x:v>
      </x:c>
      <x:c r="E585" s="9">
        <x:v>39</x:v>
      </x:c>
      <x:c r="F585" s="9">
        <x:v>521</x:v>
      </x:c>
      <x:c r="G585" s="11">
        <x:v>86666780</x:v>
      </x:c>
      <x:c r="H585" s="9">
        <x:v>182</x:v>
      </x:c>
      <x:c r="I585" s="9">
        <x:v>15</x:v>
      </x:c>
      <x:c r="J585" s="11">
        <x:v>36997399</x:v>
      </x:c>
      <x:c r="K585" s="1" t="s">
        <x:v>84</x:v>
      </x:c>
      <x:c r="L585" s="1">
        <x:v>2697</x:v>
      </x:c>
    </x:row>
    <x:row r="586" ht="22" customHeight="1">
      <x:c r="A586" s="5">
        <x:v>2025</x:v>
      </x:c>
      <x:c r="B586" s="5" t="s">
        <x:v>18</x:v>
      </x:c>
      <x:c r="C586" s="6" t="s">
        <x:v>19</x:v>
      </x:c>
      <x:c r="D586" s="5" t="s">
        <x:v>94</x:v>
      </x:c>
      <x:c r="E586" s="8">
        <x:v>38</x:v>
      </x:c>
      <x:c r="F586" s="8">
        <x:v>38</x:v>
      </x:c>
      <x:c r="G586" s="10">
        <x:v>15757330</x:v>
      </x:c>
      <x:c r="H586" s="8">
        <x:v>38</x:v>
      </x:c>
      <x:c r="I586" s="8">
        <x:v>38</x:v>
      </x:c>
      <x:c r="J586" s="10">
        <x:v>15757330</x:v>
      </x:c>
      <x:c r="K586" s="5" t="s">
        <x:v>85</x:v>
      </x:c>
      <x:c r="L586" s="5">
        <x:v>2670</x:v>
      </x:c>
    </x:row>
    <x:row r="587" ht="22" customHeight="1">
      <x:c r="A587" s="1">
        <x:v>2025</x:v>
      </x:c>
      <x:c r="B587" s="1" t="s">
        <x:v>18</x:v>
      </x:c>
      <x:c r="C587" s="7" t="s">
        <x:v>19</x:v>
      </x:c>
      <x:c r="D587" s="1" t="s">
        <x:v>95</x:v>
      </x:c>
      <x:c r="E587" s="9">
        <x:v>0</x:v>
      </x:c>
      <x:c r="F587" s="9">
        <x:v>0</x:v>
      </x:c>
      <x:c r="G587" s="11">
        <x:v>0</x:v>
      </x:c>
      <x:c r="H587" s="9">
        <x:v>0</x:v>
      </x:c>
      <x:c r="I587" s="9">
        <x:v>0</x:v>
      </x:c>
      <x:c r="J587" s="11">
        <x:v>0</x:v>
      </x:c>
      <x:c r="K587" s="1" t="s">
        <x:v>85</x:v>
      </x:c>
      <x:c r="L587" s="1">
        <x:v>2670</x:v>
      </x:c>
    </x:row>
    <x:row r="588" ht="22" customHeight="1">
      <x:c r="A588" s="5">
        <x:v>2025</x:v>
      </x:c>
      <x:c r="B588" s="5" t="s">
        <x:v>18</x:v>
      </x:c>
      <x:c r="C588" s="6" t="s">
        <x:v>19</x:v>
      </x:c>
      <x:c r="D588" s="5" t="s">
        <x:v>96</x:v>
      </x:c>
      <x:c r="E588" s="8">
        <x:v>0</x:v>
      </x:c>
      <x:c r="F588" s="8">
        <x:v>0</x:v>
      </x:c>
      <x:c r="G588" s="10">
        <x:v>0</x:v>
      </x:c>
      <x:c r="H588" s="8">
        <x:v>0</x:v>
      </x:c>
      <x:c r="I588" s="8">
        <x:v>0</x:v>
      </x:c>
      <x:c r="J588" s="10">
        <x:v>0</x:v>
      </x:c>
      <x:c r="K588" s="5" t="s">
        <x:v>85</x:v>
      </x:c>
      <x:c r="L588" s="5">
        <x:v>2670</x:v>
      </x:c>
    </x:row>
    <x:row r="589" ht="22" customHeight="1">
      <x:c r="A589" s="1">
        <x:v>2025</x:v>
      </x:c>
      <x:c r="B589" s="1" t="s">
        <x:v>18</x:v>
      </x:c>
      <x:c r="C589" s="7" t="s">
        <x:v>19</x:v>
      </x:c>
      <x:c r="D589" s="1" t="s">
        <x:v>97</x:v>
      </x:c>
      <x:c r="E589" s="9">
        <x:v>2</x:v>
      </x:c>
      <x:c r="F589" s="9">
        <x:v>10</x:v>
      </x:c>
      <x:c r="G589" s="11">
        <x:v>1943622</x:v>
      </x:c>
      <x:c r="H589" s="9">
        <x:v>10</x:v>
      </x:c>
      <x:c r="I589" s="9">
        <x:v>2</x:v>
      </x:c>
      <x:c r="J589" s="11">
        <x:v>1943622</x:v>
      </x:c>
      <x:c r="K589" s="1" t="s">
        <x:v>85</x:v>
      </x:c>
      <x:c r="L589" s="1">
        <x:v>2670</x:v>
      </x:c>
    </x:row>
    <x:row r="590" ht="22" customHeight="1">
      <x:c r="A590" s="5">
        <x:v>2025</x:v>
      </x:c>
      <x:c r="B590" s="5" t="s">
        <x:v>23</x:v>
      </x:c>
      <x:c r="C590" s="6" t="s">
        <x:v>24</x:v>
      </x:c>
      <x:c r="D590" s="5" t="s">
        <x:v>94</x:v>
      </x:c>
      <x:c r="E590" s="8">
        <x:v>369</x:v>
      </x:c>
      <x:c r="F590" s="8">
        <x:v>369</x:v>
      </x:c>
      <x:c r="G590" s="10">
        <x:v>133963042</x:v>
      </x:c>
      <x:c r="H590" s="8">
        <x:v>345</x:v>
      </x:c>
      <x:c r="I590" s="8">
        <x:v>345</x:v>
      </x:c>
      <x:c r="J590" s="10">
        <x:v>127176789</x:v>
      </x:c>
      <x:c r="K590" s="5" t="s">
        <x:v>85</x:v>
      </x:c>
      <x:c r="L590" s="5">
        <x:v>2671</x:v>
      </x:c>
    </x:row>
    <x:row r="591" ht="22" customHeight="1">
      <x:c r="A591" s="1">
        <x:v>2025</x:v>
      </x:c>
      <x:c r="B591" s="1" t="s">
        <x:v>23</x:v>
      </x:c>
      <x:c r="C591" s="7" t="s">
        <x:v>24</x:v>
      </x:c>
      <x:c r="D591" s="1" t="s">
        <x:v>95</x:v>
      </x:c>
      <x:c r="E591" s="9">
        <x:v>0</x:v>
      </x:c>
      <x:c r="F591" s="9">
        <x:v>0</x:v>
      </x:c>
      <x:c r="G591" s="11">
        <x:v>0</x:v>
      </x:c>
      <x:c r="H591" s="9">
        <x:v>0</x:v>
      </x:c>
      <x:c r="I591" s="9">
        <x:v>0</x:v>
      </x:c>
      <x:c r="J591" s="11">
        <x:v>0</x:v>
      </x:c>
      <x:c r="K591" s="1" t="s">
        <x:v>85</x:v>
      </x:c>
      <x:c r="L591" s="1">
        <x:v>2671</x:v>
      </x:c>
    </x:row>
    <x:row r="592" ht="22" customHeight="1">
      <x:c r="A592" s="5">
        <x:v>2025</x:v>
      </x:c>
      <x:c r="B592" s="5" t="s">
        <x:v>23</x:v>
      </x:c>
      <x:c r="C592" s="6" t="s">
        <x:v>24</x:v>
      </x:c>
      <x:c r="D592" s="5" t="s">
        <x:v>96</x:v>
      </x:c>
      <x:c r="E592" s="8">
        <x:v>9</x:v>
      </x:c>
      <x:c r="F592" s="8">
        <x:v>35</x:v>
      </x:c>
      <x:c r="G592" s="10">
        <x:v>6947830</x:v>
      </x:c>
      <x:c r="H592" s="8">
        <x:v>35</x:v>
      </x:c>
      <x:c r="I592" s="8">
        <x:v>9</x:v>
      </x:c>
      <x:c r="J592" s="10">
        <x:v>6947830</x:v>
      </x:c>
      <x:c r="K592" s="5" t="s">
        <x:v>85</x:v>
      </x:c>
      <x:c r="L592" s="5">
        <x:v>2671</x:v>
      </x:c>
    </x:row>
    <x:row r="593" ht="22" customHeight="1">
      <x:c r="A593" s="1">
        <x:v>2025</x:v>
      </x:c>
      <x:c r="B593" s="1" t="s">
        <x:v>23</x:v>
      </x:c>
      <x:c r="C593" s="7" t="s">
        <x:v>24</x:v>
      </x:c>
      <x:c r="D593" s="1" t="s">
        <x:v>97</x:v>
      </x:c>
      <x:c r="E593" s="9">
        <x:v>8</x:v>
      </x:c>
      <x:c r="F593" s="9">
        <x:v>52</x:v>
      </x:c>
      <x:c r="G593" s="11">
        <x:v>14473418</x:v>
      </x:c>
      <x:c r="H593" s="9">
        <x:v>52</x:v>
      </x:c>
      <x:c r="I593" s="9">
        <x:v>8</x:v>
      </x:c>
      <x:c r="J593" s="11">
        <x:v>14473418</x:v>
      </x:c>
      <x:c r="K593" s="1" t="s">
        <x:v>85</x:v>
      </x:c>
      <x:c r="L593" s="1">
        <x:v>2671</x:v>
      </x:c>
    </x:row>
    <x:row r="594" ht="22" customHeight="1">
      <x:c r="A594" s="5">
        <x:v>2025</x:v>
      </x:c>
      <x:c r="B594" s="5" t="s">
        <x:v>25</x:v>
      </x:c>
      <x:c r="C594" s="6" t="s">
        <x:v>26</x:v>
      </x:c>
      <x:c r="D594" s="5" t="s">
        <x:v>94</x:v>
      </x:c>
      <x:c r="E594" s="8">
        <x:v>850</x:v>
      </x:c>
      <x:c r="F594" s="8">
        <x:v>850</x:v>
      </x:c>
      <x:c r="G594" s="10">
        <x:v>330143028</x:v>
      </x:c>
      <x:c r="H594" s="8">
        <x:v>850</x:v>
      </x:c>
      <x:c r="I594" s="8">
        <x:v>850</x:v>
      </x:c>
      <x:c r="J594" s="10">
        <x:v>330143028</x:v>
      </x:c>
      <x:c r="K594" s="5" t="s">
        <x:v>85</x:v>
      </x:c>
      <x:c r="L594" s="5">
        <x:v>2672</x:v>
      </x:c>
    </x:row>
    <x:row r="595" ht="22" customHeight="1">
      <x:c r="A595" s="1">
        <x:v>2025</x:v>
      </x:c>
      <x:c r="B595" s="1" t="s">
        <x:v>25</x:v>
      </x:c>
      <x:c r="C595" s="7" t="s">
        <x:v>26</x:v>
      </x:c>
      <x:c r="D595" s="1" t="s">
        <x:v>95</x:v>
      </x:c>
      <x:c r="E595" s="9">
        <x:v>0</x:v>
      </x:c>
      <x:c r="F595" s="9">
        <x:v>0</x:v>
      </x:c>
      <x:c r="G595" s="11">
        <x:v>0</x:v>
      </x:c>
      <x:c r="H595" s="9">
        <x:v>0</x:v>
      </x:c>
      <x:c r="I595" s="9">
        <x:v>0</x:v>
      </x:c>
      <x:c r="J595" s="11">
        <x:v>0</x:v>
      </x:c>
      <x:c r="K595" s="1" t="s">
        <x:v>85</x:v>
      </x:c>
      <x:c r="L595" s="1">
        <x:v>2672</x:v>
      </x:c>
    </x:row>
    <x:row r="596" ht="22" customHeight="1">
      <x:c r="A596" s="5">
        <x:v>2025</x:v>
      </x:c>
      <x:c r="B596" s="5" t="s">
        <x:v>25</x:v>
      </x:c>
      <x:c r="C596" s="6" t="s">
        <x:v>26</x:v>
      </x:c>
      <x:c r="D596" s="5" t="s">
        <x:v>96</x:v>
      </x:c>
      <x:c r="E596" s="8">
        <x:v>0</x:v>
      </x:c>
      <x:c r="F596" s="8">
        <x:v>0</x:v>
      </x:c>
      <x:c r="G596" s="10">
        <x:v>0</x:v>
      </x:c>
      <x:c r="H596" s="8">
        <x:v>0</x:v>
      </x:c>
      <x:c r="I596" s="8">
        <x:v>0</x:v>
      </x:c>
      <x:c r="J596" s="10">
        <x:v>0</x:v>
      </x:c>
      <x:c r="K596" s="5" t="s">
        <x:v>85</x:v>
      </x:c>
      <x:c r="L596" s="5">
        <x:v>2672</x:v>
      </x:c>
    </x:row>
    <x:row r="597" ht="22" customHeight="1">
      <x:c r="A597" s="1">
        <x:v>2025</x:v>
      </x:c>
      <x:c r="B597" s="1" t="s">
        <x:v>25</x:v>
      </x:c>
      <x:c r="C597" s="7" t="s">
        <x:v>26</x:v>
      </x:c>
      <x:c r="D597" s="1" t="s">
        <x:v>97</x:v>
      </x:c>
      <x:c r="E597" s="9">
        <x:v>14</x:v>
      </x:c>
      <x:c r="F597" s="9">
        <x:v>262</x:v>
      </x:c>
      <x:c r="G597" s="11">
        <x:v>25804400</x:v>
      </x:c>
      <x:c r="H597" s="9">
        <x:v>262</x:v>
      </x:c>
      <x:c r="I597" s="9">
        <x:v>14</x:v>
      </x:c>
      <x:c r="J597" s="11">
        <x:v>25804400</x:v>
      </x:c>
      <x:c r="K597" s="1" t="s">
        <x:v>85</x:v>
      </x:c>
      <x:c r="L597" s="1">
        <x:v>2672</x:v>
      </x:c>
    </x:row>
    <x:row r="598" ht="22" customHeight="1">
      <x:c r="A598" s="5">
        <x:v>2025</x:v>
      </x:c>
      <x:c r="B598" s="5" t="s">
        <x:v>27</x:v>
      </x:c>
      <x:c r="C598" s="6" t="s">
        <x:v>28</x:v>
      </x:c>
      <x:c r="D598" s="5" t="s">
        <x:v>94</x:v>
      </x:c>
      <x:c r="E598" s="8">
        <x:v>45</x:v>
      </x:c>
      <x:c r="F598" s="8">
        <x:v>45</x:v>
      </x:c>
      <x:c r="G598" s="10">
        <x:v>19900132</x:v>
      </x:c>
      <x:c r="H598" s="8">
        <x:v>45</x:v>
      </x:c>
      <x:c r="I598" s="8">
        <x:v>45</x:v>
      </x:c>
      <x:c r="J598" s="10">
        <x:v>19900132</x:v>
      </x:c>
      <x:c r="K598" s="5" t="s">
        <x:v>85</x:v>
      </x:c>
      <x:c r="L598" s="5">
        <x:v>2673</x:v>
      </x:c>
    </x:row>
    <x:row r="599" ht="22" customHeight="1">
      <x:c r="A599" s="1">
        <x:v>2025</x:v>
      </x:c>
      <x:c r="B599" s="1" t="s">
        <x:v>27</x:v>
      </x:c>
      <x:c r="C599" s="7" t="s">
        <x:v>28</x:v>
      </x:c>
      <x:c r="D599" s="1" t="s">
        <x:v>95</x:v>
      </x:c>
      <x:c r="E599" s="9">
        <x:v>0</x:v>
      </x:c>
      <x:c r="F599" s="9">
        <x:v>0</x:v>
      </x:c>
      <x:c r="G599" s="11">
        <x:v>0</x:v>
      </x:c>
      <x:c r="H599" s="9">
        <x:v>0</x:v>
      </x:c>
      <x:c r="I599" s="9">
        <x:v>0</x:v>
      </x:c>
      <x:c r="J599" s="11">
        <x:v>0</x:v>
      </x:c>
      <x:c r="K599" s="1" t="s">
        <x:v>85</x:v>
      </x:c>
      <x:c r="L599" s="1">
        <x:v>2673</x:v>
      </x:c>
    </x:row>
    <x:row r="600" ht="22" customHeight="1">
      <x:c r="A600" s="5">
        <x:v>2025</x:v>
      </x:c>
      <x:c r="B600" s="5" t="s">
        <x:v>27</x:v>
      </x:c>
      <x:c r="C600" s="6" t="s">
        <x:v>28</x:v>
      </x:c>
      <x:c r="D600" s="5" t="s">
        <x:v>96</x:v>
      </x:c>
      <x:c r="E600" s="8">
        <x:v>0</x:v>
      </x:c>
      <x:c r="F600" s="8">
        <x:v>0</x:v>
      </x:c>
      <x:c r="G600" s="10">
        <x:v>0</x:v>
      </x:c>
      <x:c r="H600" s="8">
        <x:v>0</x:v>
      </x:c>
      <x:c r="I600" s="8">
        <x:v>0</x:v>
      </x:c>
      <x:c r="J600" s="10">
        <x:v>0</x:v>
      </x:c>
      <x:c r="K600" s="5" t="s">
        <x:v>85</x:v>
      </x:c>
      <x:c r="L600" s="5">
        <x:v>2673</x:v>
      </x:c>
    </x:row>
    <x:row r="601" ht="22" customHeight="1">
      <x:c r="A601" s="1">
        <x:v>2025</x:v>
      </x:c>
      <x:c r="B601" s="1" t="s">
        <x:v>27</x:v>
      </x:c>
      <x:c r="C601" s="7" t="s">
        <x:v>28</x:v>
      </x:c>
      <x:c r="D601" s="1" t="s">
        <x:v>97</x:v>
      </x:c>
      <x:c r="E601" s="9">
        <x:v>0</x:v>
      </x:c>
      <x:c r="F601" s="9">
        <x:v>0</x:v>
      </x:c>
      <x:c r="G601" s="11">
        <x:v>0</x:v>
      </x:c>
      <x:c r="H601" s="9">
        <x:v>0</x:v>
      </x:c>
      <x:c r="I601" s="9">
        <x:v>0</x:v>
      </x:c>
      <x:c r="J601" s="11">
        <x:v>0</x:v>
      </x:c>
      <x:c r="K601" s="1" t="s">
        <x:v>85</x:v>
      </x:c>
      <x:c r="L601" s="1">
        <x:v>2673</x:v>
      </x:c>
    </x:row>
    <x:row r="602" ht="22" customHeight="1">
      <x:c r="A602" s="5">
        <x:v>2025</x:v>
      </x:c>
      <x:c r="B602" s="5" t="s">
        <x:v>29</x:v>
      </x:c>
      <x:c r="C602" s="6" t="s">
        <x:v>30</x:v>
      </x:c>
      <x:c r="D602" s="5" t="s">
        <x:v>94</x:v>
      </x:c>
      <x:c r="E602" s="8">
        <x:v>17</x:v>
      </x:c>
      <x:c r="F602" s="8">
        <x:v>17</x:v>
      </x:c>
      <x:c r="G602" s="10">
        <x:v>6678405</x:v>
      </x:c>
      <x:c r="H602" s="8">
        <x:v>17</x:v>
      </x:c>
      <x:c r="I602" s="8">
        <x:v>17</x:v>
      </x:c>
      <x:c r="J602" s="10">
        <x:v>6678405</x:v>
      </x:c>
      <x:c r="K602" s="5" t="s">
        <x:v>85</x:v>
      </x:c>
      <x:c r="L602" s="5">
        <x:v>2674</x:v>
      </x:c>
    </x:row>
    <x:row r="603" ht="22" customHeight="1">
      <x:c r="A603" s="1">
        <x:v>2025</x:v>
      </x:c>
      <x:c r="B603" s="1" t="s">
        <x:v>29</x:v>
      </x:c>
      <x:c r="C603" s="7" t="s">
        <x:v>30</x:v>
      </x:c>
      <x:c r="D603" s="1" t="s">
        <x:v>95</x:v>
      </x:c>
      <x:c r="E603" s="9">
        <x:v>0</x:v>
      </x:c>
      <x:c r="F603" s="9">
        <x:v>0</x:v>
      </x:c>
      <x:c r="G603" s="11">
        <x:v>0</x:v>
      </x:c>
      <x:c r="H603" s="9">
        <x:v>0</x:v>
      </x:c>
      <x:c r="I603" s="9">
        <x:v>0</x:v>
      </x:c>
      <x:c r="J603" s="11">
        <x:v>0</x:v>
      </x:c>
      <x:c r="K603" s="1" t="s">
        <x:v>85</x:v>
      </x:c>
      <x:c r="L603" s="1">
        <x:v>2674</x:v>
      </x:c>
    </x:row>
    <x:row r="604" ht="22" customHeight="1">
      <x:c r="A604" s="5">
        <x:v>2025</x:v>
      </x:c>
      <x:c r="B604" s="5" t="s">
        <x:v>29</x:v>
      </x:c>
      <x:c r="C604" s="6" t="s">
        <x:v>30</x:v>
      </x:c>
      <x:c r="D604" s="5" t="s">
        <x:v>96</x:v>
      </x:c>
      <x:c r="E604" s="8">
        <x:v>0</x:v>
      </x:c>
      <x:c r="F604" s="8">
        <x:v>0</x:v>
      </x:c>
      <x:c r="G604" s="10">
        <x:v>0</x:v>
      </x:c>
      <x:c r="H604" s="8">
        <x:v>0</x:v>
      </x:c>
      <x:c r="I604" s="8">
        <x:v>0</x:v>
      </x:c>
      <x:c r="J604" s="10">
        <x:v>0</x:v>
      </x:c>
      <x:c r="K604" s="5" t="s">
        <x:v>85</x:v>
      </x:c>
      <x:c r="L604" s="5">
        <x:v>2674</x:v>
      </x:c>
    </x:row>
    <x:row r="605" ht="22" customHeight="1">
      <x:c r="A605" s="1">
        <x:v>2025</x:v>
      </x:c>
      <x:c r="B605" s="1" t="s">
        <x:v>29</x:v>
      </x:c>
      <x:c r="C605" s="7" t="s">
        <x:v>30</x:v>
      </x:c>
      <x:c r="D605" s="1" t="s">
        <x:v>97</x:v>
      </x:c>
      <x:c r="E605" s="9">
        <x:v>0</x:v>
      </x:c>
      <x:c r="F605" s="9">
        <x:v>0</x:v>
      </x:c>
      <x:c r="G605" s="11">
        <x:v>0</x:v>
      </x:c>
      <x:c r="H605" s="9">
        <x:v>0</x:v>
      </x:c>
      <x:c r="I605" s="9">
        <x:v>0</x:v>
      </x:c>
      <x:c r="J605" s="11">
        <x:v>0</x:v>
      </x:c>
      <x:c r="K605" s="1" t="s">
        <x:v>85</x:v>
      </x:c>
      <x:c r="L605" s="1">
        <x:v>2674</x:v>
      </x:c>
    </x:row>
    <x:row r="606" ht="22" customHeight="1">
      <x:c r="A606" s="5">
        <x:v>2025</x:v>
      </x:c>
      <x:c r="B606" s="5" t="s">
        <x:v>31</x:v>
      </x:c>
      <x:c r="C606" s="6" t="s">
        <x:v>32</x:v>
      </x:c>
      <x:c r="D606" s="5" t="s">
        <x:v>94</x:v>
      </x:c>
      <x:c r="E606" s="8">
        <x:v>841</x:v>
      </x:c>
      <x:c r="F606" s="8">
        <x:v>841</x:v>
      </x:c>
      <x:c r="G606" s="10">
        <x:v>340323749</x:v>
      </x:c>
      <x:c r="H606" s="8">
        <x:v>841</x:v>
      </x:c>
      <x:c r="I606" s="8">
        <x:v>841</x:v>
      </x:c>
      <x:c r="J606" s="10">
        <x:v>340323749</x:v>
      </x:c>
      <x:c r="K606" s="5" t="s">
        <x:v>85</x:v>
      </x:c>
      <x:c r="L606" s="5">
        <x:v>2675</x:v>
      </x:c>
    </x:row>
    <x:row r="607" ht="22" customHeight="1">
      <x:c r="A607" s="1">
        <x:v>2025</x:v>
      </x:c>
      <x:c r="B607" s="1" t="s">
        <x:v>31</x:v>
      </x:c>
      <x:c r="C607" s="7" t="s">
        <x:v>32</x:v>
      </x:c>
      <x:c r="D607" s="1" t="s">
        <x:v>95</x:v>
      </x:c>
      <x:c r="E607" s="9">
        <x:v>4</x:v>
      </x:c>
      <x:c r="F607" s="9">
        <x:v>8</x:v>
      </x:c>
      <x:c r="G607" s="11">
        <x:v>1288614</x:v>
      </x:c>
      <x:c r="H607" s="9">
        <x:v>8</x:v>
      </x:c>
      <x:c r="I607" s="9">
        <x:v>4</x:v>
      </x:c>
      <x:c r="J607" s="11">
        <x:v>1288614</x:v>
      </x:c>
      <x:c r="K607" s="1" t="s">
        <x:v>85</x:v>
      </x:c>
      <x:c r="L607" s="1">
        <x:v>2675</x:v>
      </x:c>
    </x:row>
    <x:row r="608" ht="22" customHeight="1">
      <x:c r="A608" s="5">
        <x:v>2025</x:v>
      </x:c>
      <x:c r="B608" s="5" t="s">
        <x:v>31</x:v>
      </x:c>
      <x:c r="C608" s="6" t="s">
        <x:v>32</x:v>
      </x:c>
      <x:c r="D608" s="5" t="s">
        <x:v>96</x:v>
      </x:c>
      <x:c r="E608" s="8">
        <x:v>18</x:v>
      </x:c>
      <x:c r="F608" s="8">
        <x:v>72</x:v>
      </x:c>
      <x:c r="G608" s="10">
        <x:v>12969165</x:v>
      </x:c>
      <x:c r="H608" s="8">
        <x:v>72</x:v>
      </x:c>
      <x:c r="I608" s="8">
        <x:v>18</x:v>
      </x:c>
      <x:c r="J608" s="10">
        <x:v>12969165</x:v>
      </x:c>
      <x:c r="K608" s="5" t="s">
        <x:v>85</x:v>
      </x:c>
      <x:c r="L608" s="5">
        <x:v>2675</x:v>
      </x:c>
    </x:row>
    <x:row r="609" ht="22" customHeight="1">
      <x:c r="A609" s="1">
        <x:v>2025</x:v>
      </x:c>
      <x:c r="B609" s="1" t="s">
        <x:v>31</x:v>
      </x:c>
      <x:c r="C609" s="7" t="s">
        <x:v>32</x:v>
      </x:c>
      <x:c r="D609" s="1" t="s">
        <x:v>97</x:v>
      </x:c>
      <x:c r="E609" s="9">
        <x:v>25</x:v>
      </x:c>
      <x:c r="F609" s="9">
        <x:v>996</x:v>
      </x:c>
      <x:c r="G609" s="11">
        <x:v>135044234</x:v>
      </x:c>
      <x:c r="H609" s="9">
        <x:v>996</x:v>
      </x:c>
      <x:c r="I609" s="9">
        <x:v>25</x:v>
      </x:c>
      <x:c r="J609" s="11">
        <x:v>135044234</x:v>
      </x:c>
      <x:c r="K609" s="1" t="s">
        <x:v>85</x:v>
      </x:c>
      <x:c r="L609" s="1">
        <x:v>2675</x:v>
      </x:c>
    </x:row>
    <x:row r="610" ht="22" customHeight="1">
      <x:c r="A610" s="5">
        <x:v>2025</x:v>
      </x:c>
      <x:c r="B610" s="5" t="s">
        <x:v>33</x:v>
      </x:c>
      <x:c r="C610" s="6" t="s">
        <x:v>34</x:v>
      </x:c>
      <x:c r="D610" s="5" t="s">
        <x:v>94</x:v>
      </x:c>
      <x:c r="E610" s="8">
        <x:v>123</x:v>
      </x:c>
      <x:c r="F610" s="8">
        <x:v>123</x:v>
      </x:c>
      <x:c r="G610" s="10">
        <x:v>38389117</x:v>
      </x:c>
      <x:c r="H610" s="8">
        <x:v>62</x:v>
      </x:c>
      <x:c r="I610" s="8">
        <x:v>62</x:v>
      </x:c>
      <x:c r="J610" s="10">
        <x:v>23284707</x:v>
      </x:c>
      <x:c r="K610" s="5" t="s">
        <x:v>85</x:v>
      </x:c>
      <x:c r="L610" s="5">
        <x:v>2676</x:v>
      </x:c>
    </x:row>
    <x:row r="611" ht="22" customHeight="1">
      <x:c r="A611" s="1">
        <x:v>2025</x:v>
      </x:c>
      <x:c r="B611" s="1" t="s">
        <x:v>33</x:v>
      </x:c>
      <x:c r="C611" s="7" t="s">
        <x:v>34</x:v>
      </x:c>
      <x:c r="D611" s="1" t="s">
        <x:v>95</x:v>
      </x:c>
      <x:c r="E611" s="9">
        <x:v>0</x:v>
      </x:c>
      <x:c r="F611" s="9">
        <x:v>0</x:v>
      </x:c>
      <x:c r="G611" s="11">
        <x:v>0</x:v>
      </x:c>
      <x:c r="H611" s="9">
        <x:v>0</x:v>
      </x:c>
      <x:c r="I611" s="9">
        <x:v>0</x:v>
      </x:c>
      <x:c r="J611" s="11">
        <x:v>0</x:v>
      </x:c>
      <x:c r="K611" s="1" t="s">
        <x:v>85</x:v>
      </x:c>
      <x:c r="L611" s="1">
        <x:v>2676</x:v>
      </x:c>
    </x:row>
    <x:row r="612" ht="22" customHeight="1">
      <x:c r="A612" s="5">
        <x:v>2025</x:v>
      </x:c>
      <x:c r="B612" s="5" t="s">
        <x:v>33</x:v>
      </x:c>
      <x:c r="C612" s="6" t="s">
        <x:v>34</x:v>
      </x:c>
      <x:c r="D612" s="5" t="s">
        <x:v>96</x:v>
      </x:c>
      <x:c r="E612" s="8">
        <x:v>1</x:v>
      </x:c>
      <x:c r="F612" s="8">
        <x:v>4</x:v>
      </x:c>
      <x:c r="G612" s="10">
        <x:v>728059</x:v>
      </x:c>
      <x:c r="H612" s="8">
        <x:v>4</x:v>
      </x:c>
      <x:c r="I612" s="8">
        <x:v>1</x:v>
      </x:c>
      <x:c r="J612" s="10">
        <x:v>728059</x:v>
      </x:c>
      <x:c r="K612" s="5" t="s">
        <x:v>85</x:v>
      </x:c>
      <x:c r="L612" s="5">
        <x:v>2676</x:v>
      </x:c>
    </x:row>
    <x:row r="613" ht="22" customHeight="1">
      <x:c r="A613" s="1">
        <x:v>2025</x:v>
      </x:c>
      <x:c r="B613" s="1" t="s">
        <x:v>33</x:v>
      </x:c>
      <x:c r="C613" s="7" t="s">
        <x:v>34</x:v>
      </x:c>
      <x:c r="D613" s="1" t="s">
        <x:v>97</x:v>
      </x:c>
      <x:c r="E613" s="9">
        <x:v>0</x:v>
      </x:c>
      <x:c r="F613" s="9">
        <x:v>0</x:v>
      </x:c>
      <x:c r="G613" s="11">
        <x:v>0</x:v>
      </x:c>
      <x:c r="H613" s="9">
        <x:v>0</x:v>
      </x:c>
      <x:c r="I613" s="9">
        <x:v>0</x:v>
      </x:c>
      <x:c r="J613" s="11">
        <x:v>0</x:v>
      </x:c>
      <x:c r="K613" s="1" t="s">
        <x:v>85</x:v>
      </x:c>
      <x:c r="L613" s="1">
        <x:v>2676</x:v>
      </x:c>
    </x:row>
    <x:row r="614" ht="22" customHeight="1">
      <x:c r="A614" s="5">
        <x:v>2025</x:v>
      </x:c>
      <x:c r="B614" s="5" t="s">
        <x:v>35</x:v>
      </x:c>
      <x:c r="C614" s="6" t="s">
        <x:v>36</x:v>
      </x:c>
      <x:c r="D614" s="5" t="s">
        <x:v>94</x:v>
      </x:c>
      <x:c r="E614" s="8">
        <x:v>77</x:v>
      </x:c>
      <x:c r="F614" s="8">
        <x:v>77</x:v>
      </x:c>
      <x:c r="G614" s="10">
        <x:v>7299770</x:v>
      </x:c>
      <x:c r="H614" s="8">
        <x:v>77</x:v>
      </x:c>
      <x:c r="I614" s="8">
        <x:v>77</x:v>
      </x:c>
      <x:c r="J614" s="10">
        <x:v>7299770</x:v>
      </x:c>
      <x:c r="K614" s="5" t="s">
        <x:v>85</x:v>
      </x:c>
      <x:c r="L614" s="5">
        <x:v>2677</x:v>
      </x:c>
    </x:row>
    <x:row r="615" ht="22" customHeight="1">
      <x:c r="A615" s="1">
        <x:v>2025</x:v>
      </x:c>
      <x:c r="B615" s="1" t="s">
        <x:v>35</x:v>
      </x:c>
      <x:c r="C615" s="7" t="s">
        <x:v>36</x:v>
      </x:c>
      <x:c r="D615" s="1" t="s">
        <x:v>95</x:v>
      </x:c>
      <x:c r="E615" s="9">
        <x:v>0</x:v>
      </x:c>
      <x:c r="F615" s="9">
        <x:v>0</x:v>
      </x:c>
      <x:c r="G615" s="11">
        <x:v>0</x:v>
      </x:c>
      <x:c r="H615" s="9">
        <x:v>0</x:v>
      </x:c>
      <x:c r="I615" s="9">
        <x:v>0</x:v>
      </x:c>
      <x:c r="J615" s="11">
        <x:v>0</x:v>
      </x:c>
      <x:c r="K615" s="1" t="s">
        <x:v>85</x:v>
      </x:c>
      <x:c r="L615" s="1">
        <x:v>2677</x:v>
      </x:c>
    </x:row>
    <x:row r="616" ht="22" customHeight="1">
      <x:c r="A616" s="5">
        <x:v>2025</x:v>
      </x:c>
      <x:c r="B616" s="5" t="s">
        <x:v>35</x:v>
      </x:c>
      <x:c r="C616" s="6" t="s">
        <x:v>36</x:v>
      </x:c>
      <x:c r="D616" s="5" t="s">
        <x:v>96</x:v>
      </x:c>
      <x:c r="E616" s="8">
        <x:v>0</x:v>
      </x:c>
      <x:c r="F616" s="8">
        <x:v>0</x:v>
      </x:c>
      <x:c r="G616" s="10">
        <x:v>0</x:v>
      </x:c>
      <x:c r="H616" s="8">
        <x:v>0</x:v>
      </x:c>
      <x:c r="I616" s="8">
        <x:v>0</x:v>
      </x:c>
      <x:c r="J616" s="10">
        <x:v>0</x:v>
      </x:c>
      <x:c r="K616" s="5" t="s">
        <x:v>85</x:v>
      </x:c>
      <x:c r="L616" s="5">
        <x:v>2677</x:v>
      </x:c>
    </x:row>
    <x:row r="617" ht="22" customHeight="1">
      <x:c r="A617" s="1">
        <x:v>2025</x:v>
      </x:c>
      <x:c r="B617" s="1" t="s">
        <x:v>35</x:v>
      </x:c>
      <x:c r="C617" s="7" t="s">
        <x:v>36</x:v>
      </x:c>
      <x:c r="D617" s="1" t="s">
        <x:v>97</x:v>
      </x:c>
      <x:c r="E617" s="9">
        <x:v>0</x:v>
      </x:c>
      <x:c r="F617" s="9">
        <x:v>0</x:v>
      </x:c>
      <x:c r="G617" s="11">
        <x:v>0</x:v>
      </x:c>
      <x:c r="H617" s="9">
        <x:v>0</x:v>
      </x:c>
      <x:c r="I617" s="9">
        <x:v>0</x:v>
      </x:c>
      <x:c r="J617" s="11">
        <x:v>0</x:v>
      </x:c>
      <x:c r="K617" s="1" t="s">
        <x:v>85</x:v>
      </x:c>
      <x:c r="L617" s="1">
        <x:v>2677</x:v>
      </x:c>
    </x:row>
    <x:row r="618" ht="22" customHeight="1">
      <x:c r="A618" s="5">
        <x:v>2025</x:v>
      </x:c>
      <x:c r="B618" s="5" t="s">
        <x:v>37</x:v>
      </x:c>
      <x:c r="C618" s="6" t="s">
        <x:v>38</x:v>
      </x:c>
      <x:c r="D618" s="5" t="s">
        <x:v>94</x:v>
      </x:c>
      <x:c r="E618" s="8">
        <x:v>27</x:v>
      </x:c>
      <x:c r="F618" s="8">
        <x:v>27</x:v>
      </x:c>
      <x:c r="G618" s="10">
        <x:v>10535601</x:v>
      </x:c>
      <x:c r="H618" s="8">
        <x:v>27</x:v>
      </x:c>
      <x:c r="I618" s="8">
        <x:v>27</x:v>
      </x:c>
      <x:c r="J618" s="10">
        <x:v>10535601</x:v>
      </x:c>
      <x:c r="K618" s="5" t="s">
        <x:v>85</x:v>
      </x:c>
      <x:c r="L618" s="5">
        <x:v>2678</x:v>
      </x:c>
    </x:row>
    <x:row r="619" ht="22" customHeight="1">
      <x:c r="A619" s="1">
        <x:v>2025</x:v>
      </x:c>
      <x:c r="B619" s="1" t="s">
        <x:v>37</x:v>
      </x:c>
      <x:c r="C619" s="7" t="s">
        <x:v>38</x:v>
      </x:c>
      <x:c r="D619" s="1" t="s">
        <x:v>95</x:v>
      </x:c>
      <x:c r="E619" s="9">
        <x:v>0</x:v>
      </x:c>
      <x:c r="F619" s="9">
        <x:v>0</x:v>
      </x:c>
      <x:c r="G619" s="11">
        <x:v>0</x:v>
      </x:c>
      <x:c r="H619" s="9">
        <x:v>0</x:v>
      </x:c>
      <x:c r="I619" s="9">
        <x:v>0</x:v>
      </x:c>
      <x:c r="J619" s="11">
        <x:v>0</x:v>
      </x:c>
      <x:c r="K619" s="1" t="s">
        <x:v>85</x:v>
      </x:c>
      <x:c r="L619" s="1">
        <x:v>2678</x:v>
      </x:c>
    </x:row>
    <x:row r="620" ht="22" customHeight="1">
      <x:c r="A620" s="5">
        <x:v>2025</x:v>
      </x:c>
      <x:c r="B620" s="5" t="s">
        <x:v>37</x:v>
      </x:c>
      <x:c r="C620" s="6" t="s">
        <x:v>38</x:v>
      </x:c>
      <x:c r="D620" s="5" t="s">
        <x:v>96</x:v>
      </x:c>
      <x:c r="E620" s="8">
        <x:v>0</x:v>
      </x:c>
      <x:c r="F620" s="8">
        <x:v>0</x:v>
      </x:c>
      <x:c r="G620" s="10">
        <x:v>0</x:v>
      </x:c>
      <x:c r="H620" s="8">
        <x:v>0</x:v>
      </x:c>
      <x:c r="I620" s="8">
        <x:v>0</x:v>
      </x:c>
      <x:c r="J620" s="10">
        <x:v>0</x:v>
      </x:c>
      <x:c r="K620" s="5" t="s">
        <x:v>85</x:v>
      </x:c>
      <x:c r="L620" s="5">
        <x:v>2678</x:v>
      </x:c>
    </x:row>
    <x:row r="621" ht="22" customHeight="1">
      <x:c r="A621" s="1">
        <x:v>2025</x:v>
      </x:c>
      <x:c r="B621" s="1" t="s">
        <x:v>37</x:v>
      </x:c>
      <x:c r="C621" s="7" t="s">
        <x:v>38</x:v>
      </x:c>
      <x:c r="D621" s="1" t="s">
        <x:v>97</x:v>
      </x:c>
      <x:c r="E621" s="9">
        <x:v>0</x:v>
      </x:c>
      <x:c r="F621" s="9">
        <x:v>0</x:v>
      </x:c>
      <x:c r="G621" s="11">
        <x:v>0</x:v>
      </x:c>
      <x:c r="H621" s="9">
        <x:v>0</x:v>
      </x:c>
      <x:c r="I621" s="9">
        <x:v>0</x:v>
      </x:c>
      <x:c r="J621" s="11">
        <x:v>0</x:v>
      </x:c>
      <x:c r="K621" s="1" t="s">
        <x:v>85</x:v>
      </x:c>
      <x:c r="L621" s="1">
        <x:v>2678</x:v>
      </x:c>
    </x:row>
    <x:row r="622" ht="22" customHeight="1">
      <x:c r="A622" s="5">
        <x:v>2025</x:v>
      </x:c>
      <x:c r="B622" s="5" t="s">
        <x:v>39</x:v>
      </x:c>
      <x:c r="C622" s="6" t="s">
        <x:v>40</x:v>
      </x:c>
      <x:c r="D622" s="5" t="s">
        <x:v>94</x:v>
      </x:c>
      <x:c r="E622" s="8">
        <x:v>42</x:v>
      </x:c>
      <x:c r="F622" s="8">
        <x:v>42</x:v>
      </x:c>
      <x:c r="G622" s="10">
        <x:v>15960382</x:v>
      </x:c>
      <x:c r="H622" s="8">
        <x:v>42</x:v>
      </x:c>
      <x:c r="I622" s="8">
        <x:v>42</x:v>
      </x:c>
      <x:c r="J622" s="10">
        <x:v>15960382</x:v>
      </x:c>
      <x:c r="K622" s="5" t="s">
        <x:v>85</x:v>
      </x:c>
      <x:c r="L622" s="5">
        <x:v>2679</x:v>
      </x:c>
    </x:row>
    <x:row r="623" ht="22" customHeight="1">
      <x:c r="A623" s="1">
        <x:v>2025</x:v>
      </x:c>
      <x:c r="B623" s="1" t="s">
        <x:v>39</x:v>
      </x:c>
      <x:c r="C623" s="7" t="s">
        <x:v>40</x:v>
      </x:c>
      <x:c r="D623" s="1" t="s">
        <x:v>95</x:v>
      </x:c>
      <x:c r="E623" s="9">
        <x:v>3</x:v>
      </x:c>
      <x:c r="F623" s="9">
        <x:v>6</x:v>
      </x:c>
      <x:c r="G623" s="11">
        <x:v>933525</x:v>
      </x:c>
      <x:c r="H623" s="9">
        <x:v>6</x:v>
      </x:c>
      <x:c r="I623" s="9">
        <x:v>3</x:v>
      </x:c>
      <x:c r="J623" s="11">
        <x:v>933525</x:v>
      </x:c>
      <x:c r="K623" s="1" t="s">
        <x:v>85</x:v>
      </x:c>
      <x:c r="L623" s="1">
        <x:v>2679</x:v>
      </x:c>
    </x:row>
    <x:row r="624" ht="22" customHeight="1">
      <x:c r="A624" s="5">
        <x:v>2025</x:v>
      </x:c>
      <x:c r="B624" s="5" t="s">
        <x:v>39</x:v>
      </x:c>
      <x:c r="C624" s="6" t="s">
        <x:v>40</x:v>
      </x:c>
      <x:c r="D624" s="5" t="s">
        <x:v>96</x:v>
      </x:c>
      <x:c r="E624" s="8">
        <x:v>0</x:v>
      </x:c>
      <x:c r="F624" s="8">
        <x:v>0</x:v>
      </x:c>
      <x:c r="G624" s="10">
        <x:v>0</x:v>
      </x:c>
      <x:c r="H624" s="8">
        <x:v>0</x:v>
      </x:c>
      <x:c r="I624" s="8">
        <x:v>0</x:v>
      </x:c>
      <x:c r="J624" s="10">
        <x:v>0</x:v>
      </x:c>
      <x:c r="K624" s="5" t="s">
        <x:v>85</x:v>
      </x:c>
      <x:c r="L624" s="5">
        <x:v>2679</x:v>
      </x:c>
    </x:row>
    <x:row r="625" ht="22" customHeight="1">
      <x:c r="A625" s="1">
        <x:v>2025</x:v>
      </x:c>
      <x:c r="B625" s="1" t="s">
        <x:v>39</x:v>
      </x:c>
      <x:c r="C625" s="7" t="s">
        <x:v>40</x:v>
      </x:c>
      <x:c r="D625" s="1" t="s">
        <x:v>97</x:v>
      </x:c>
      <x:c r="E625" s="9">
        <x:v>4</x:v>
      </x:c>
      <x:c r="F625" s="9">
        <x:v>76</x:v>
      </x:c>
      <x:c r="G625" s="11">
        <x:v>12675781</x:v>
      </x:c>
      <x:c r="H625" s="9">
        <x:v>76</x:v>
      </x:c>
      <x:c r="I625" s="9">
        <x:v>4</x:v>
      </x:c>
      <x:c r="J625" s="11">
        <x:v>12675781</x:v>
      </x:c>
      <x:c r="K625" s="1" t="s">
        <x:v>85</x:v>
      </x:c>
      <x:c r="L625" s="1">
        <x:v>2679</x:v>
      </x:c>
    </x:row>
    <x:row r="626" ht="22" customHeight="1">
      <x:c r="A626" s="5">
        <x:v>2025</x:v>
      </x:c>
      <x:c r="B626" s="5" t="s">
        <x:v>41</x:v>
      </x:c>
      <x:c r="C626" s="6" t="s">
        <x:v>42</x:v>
      </x:c>
      <x:c r="D626" s="5" t="s">
        <x:v>94</x:v>
      </x:c>
      <x:c r="E626" s="8">
        <x:v>678</x:v>
      </x:c>
      <x:c r="F626" s="8">
        <x:v>678</x:v>
      </x:c>
      <x:c r="G626" s="10">
        <x:v>190390382</x:v>
      </x:c>
      <x:c r="H626" s="8">
        <x:v>678</x:v>
      </x:c>
      <x:c r="I626" s="8">
        <x:v>678</x:v>
      </x:c>
      <x:c r="J626" s="10">
        <x:v>190390382</x:v>
      </x:c>
      <x:c r="K626" s="5" t="s">
        <x:v>85</x:v>
      </x:c>
      <x:c r="L626" s="5">
        <x:v>2680</x:v>
      </x:c>
    </x:row>
    <x:row r="627" ht="22" customHeight="1">
      <x:c r="A627" s="1">
        <x:v>2025</x:v>
      </x:c>
      <x:c r="B627" s="1" t="s">
        <x:v>41</x:v>
      </x:c>
      <x:c r="C627" s="7" t="s">
        <x:v>42</x:v>
      </x:c>
      <x:c r="D627" s="1" t="s">
        <x:v>95</x:v>
      </x:c>
      <x:c r="E627" s="9">
        <x:v>0</x:v>
      </x:c>
      <x:c r="F627" s="9">
        <x:v>0</x:v>
      </x:c>
      <x:c r="G627" s="11">
        <x:v>0</x:v>
      </x:c>
      <x:c r="H627" s="9">
        <x:v>0</x:v>
      </x:c>
      <x:c r="I627" s="9">
        <x:v>0</x:v>
      </x:c>
      <x:c r="J627" s="11">
        <x:v>0</x:v>
      </x:c>
      <x:c r="K627" s="1" t="s">
        <x:v>85</x:v>
      </x:c>
      <x:c r="L627" s="1">
        <x:v>2680</x:v>
      </x:c>
    </x:row>
    <x:row r="628" ht="22" customHeight="1">
      <x:c r="A628" s="5">
        <x:v>2025</x:v>
      </x:c>
      <x:c r="B628" s="5" t="s">
        <x:v>41</x:v>
      </x:c>
      <x:c r="C628" s="6" t="s">
        <x:v>42</x:v>
      </x:c>
      <x:c r="D628" s="5" t="s">
        <x:v>96</x:v>
      </x:c>
      <x:c r="E628" s="8">
        <x:v>0</x:v>
      </x:c>
      <x:c r="F628" s="8">
        <x:v>0</x:v>
      </x:c>
      <x:c r="G628" s="10">
        <x:v>0</x:v>
      </x:c>
      <x:c r="H628" s="8">
        <x:v>0</x:v>
      </x:c>
      <x:c r="I628" s="8">
        <x:v>0</x:v>
      </x:c>
      <x:c r="J628" s="10">
        <x:v>0</x:v>
      </x:c>
      <x:c r="K628" s="5" t="s">
        <x:v>85</x:v>
      </x:c>
      <x:c r="L628" s="5">
        <x:v>2680</x:v>
      </x:c>
    </x:row>
    <x:row r="629" ht="22" customHeight="1">
      <x:c r="A629" s="1">
        <x:v>2025</x:v>
      </x:c>
      <x:c r="B629" s="1" t="s">
        <x:v>41</x:v>
      </x:c>
      <x:c r="C629" s="7" t="s">
        <x:v>42</x:v>
      </x:c>
      <x:c r="D629" s="1" t="s">
        <x:v>97</x:v>
      </x:c>
      <x:c r="E629" s="9">
        <x:v>0</x:v>
      </x:c>
      <x:c r="F629" s="9">
        <x:v>0</x:v>
      </x:c>
      <x:c r="G629" s="11">
        <x:v>0</x:v>
      </x:c>
      <x:c r="H629" s="9">
        <x:v>0</x:v>
      </x:c>
      <x:c r="I629" s="9">
        <x:v>0</x:v>
      </x:c>
      <x:c r="J629" s="11">
        <x:v>0</x:v>
      </x:c>
      <x:c r="K629" s="1" t="s">
        <x:v>85</x:v>
      </x:c>
      <x:c r="L629" s="1">
        <x:v>2680</x:v>
      </x:c>
    </x:row>
    <x:row r="630" ht="22" customHeight="1">
      <x:c r="A630" s="5">
        <x:v>2025</x:v>
      </x:c>
      <x:c r="B630" s="5" t="s">
        <x:v>43</x:v>
      </x:c>
      <x:c r="C630" s="6" t="s">
        <x:v>44</x:v>
      </x:c>
      <x:c r="D630" s="5" t="s">
        <x:v>94</x:v>
      </x:c>
      <x:c r="E630" s="8">
        <x:v>71</x:v>
      </x:c>
      <x:c r="F630" s="8">
        <x:v>71</x:v>
      </x:c>
      <x:c r="G630" s="10">
        <x:v>30829823</x:v>
      </x:c>
      <x:c r="H630" s="8">
        <x:v>64</x:v>
      </x:c>
      <x:c r="I630" s="8">
        <x:v>64</x:v>
      </x:c>
      <x:c r="J630" s="10">
        <x:v>26897720</x:v>
      </x:c>
      <x:c r="K630" s="5" t="s">
        <x:v>85</x:v>
      </x:c>
      <x:c r="L630" s="5">
        <x:v>2681</x:v>
      </x:c>
    </x:row>
    <x:row r="631" ht="22" customHeight="1">
      <x:c r="A631" s="1">
        <x:v>2025</x:v>
      </x:c>
      <x:c r="B631" s="1" t="s">
        <x:v>43</x:v>
      </x:c>
      <x:c r="C631" s="7" t="s">
        <x:v>44</x:v>
      </x:c>
      <x:c r="D631" s="1" t="s">
        <x:v>95</x:v>
      </x:c>
      <x:c r="E631" s="9">
        <x:v>6</x:v>
      </x:c>
      <x:c r="F631" s="9">
        <x:v>12</x:v>
      </x:c>
      <x:c r="G631" s="11">
        <x:v>2575217</x:v>
      </x:c>
      <x:c r="H631" s="9">
        <x:v>10</x:v>
      </x:c>
      <x:c r="I631" s="9">
        <x:v>5</x:v>
      </x:c>
      <x:c r="J631" s="11">
        <x:v>2191090</x:v>
      </x:c>
      <x:c r="K631" s="1" t="s">
        <x:v>85</x:v>
      </x:c>
      <x:c r="L631" s="1">
        <x:v>2681</x:v>
      </x:c>
    </x:row>
    <x:row r="632" ht="22" customHeight="1">
      <x:c r="A632" s="5">
        <x:v>2025</x:v>
      </x:c>
      <x:c r="B632" s="5" t="s">
        <x:v>43</x:v>
      </x:c>
      <x:c r="C632" s="6" t="s">
        <x:v>44</x:v>
      </x:c>
      <x:c r="D632" s="5" t="s">
        <x:v>96</x:v>
      </x:c>
      <x:c r="E632" s="8">
        <x:v>3</x:v>
      </x:c>
      <x:c r="F632" s="8">
        <x:v>11</x:v>
      </x:c>
      <x:c r="G632" s="10">
        <x:v>1201634</x:v>
      </x:c>
      <x:c r="H632" s="8">
        <x:v>11</x:v>
      </x:c>
      <x:c r="I632" s="8">
        <x:v>3</x:v>
      </x:c>
      <x:c r="J632" s="10">
        <x:v>1201634</x:v>
      </x:c>
      <x:c r="K632" s="5" t="s">
        <x:v>85</x:v>
      </x:c>
      <x:c r="L632" s="5">
        <x:v>2681</x:v>
      </x:c>
    </x:row>
    <x:row r="633" ht="22" customHeight="1">
      <x:c r="A633" s="1">
        <x:v>2025</x:v>
      </x:c>
      <x:c r="B633" s="1" t="s">
        <x:v>43</x:v>
      </x:c>
      <x:c r="C633" s="7" t="s">
        <x:v>44</x:v>
      </x:c>
      <x:c r="D633" s="1" t="s">
        <x:v>97</x:v>
      </x:c>
      <x:c r="E633" s="9">
        <x:v>1</x:v>
      </x:c>
      <x:c r="F633" s="9">
        <x:v>8</x:v>
      </x:c>
      <x:c r="G633" s="11">
        <x:v>1396589</x:v>
      </x:c>
      <x:c r="H633" s="9">
        <x:v>8</x:v>
      </x:c>
      <x:c r="I633" s="9">
        <x:v>1</x:v>
      </x:c>
      <x:c r="J633" s="11">
        <x:v>1396589</x:v>
      </x:c>
      <x:c r="K633" s="1" t="s">
        <x:v>85</x:v>
      </x:c>
      <x:c r="L633" s="1">
        <x:v>2681</x:v>
      </x:c>
    </x:row>
    <x:row r="634" ht="22" customHeight="1">
      <x:c r="A634" s="5">
        <x:v>2025</x:v>
      </x:c>
      <x:c r="B634" s="5" t="s">
        <x:v>45</x:v>
      </x:c>
      <x:c r="C634" s="6" t="s">
        <x:v>46</x:v>
      </x:c>
      <x:c r="D634" s="5" t="s">
        <x:v>94</x:v>
      </x:c>
      <x:c r="E634" s="8">
        <x:v>122</x:v>
      </x:c>
      <x:c r="F634" s="8">
        <x:v>122</x:v>
      </x:c>
      <x:c r="G634" s="10">
        <x:v>47048917</x:v>
      </x:c>
      <x:c r="H634" s="8">
        <x:v>104</x:v>
      </x:c>
      <x:c r="I634" s="8">
        <x:v>104</x:v>
      </x:c>
      <x:c r="J634" s="10">
        <x:v>40990128</x:v>
      </x:c>
      <x:c r="K634" s="5" t="s">
        <x:v>85</x:v>
      </x:c>
      <x:c r="L634" s="5">
        <x:v>2682</x:v>
      </x:c>
    </x:row>
    <x:row r="635" ht="22" customHeight="1">
      <x:c r="A635" s="1">
        <x:v>2025</x:v>
      </x:c>
      <x:c r="B635" s="1" t="s">
        <x:v>45</x:v>
      </x:c>
      <x:c r="C635" s="7" t="s">
        <x:v>46</x:v>
      </x:c>
      <x:c r="D635" s="1" t="s">
        <x:v>95</x:v>
      </x:c>
      <x:c r="E635" s="9">
        <x:v>2</x:v>
      </x:c>
      <x:c r="F635" s="9">
        <x:v>4</x:v>
      </x:c>
      <x:c r="G635" s="11">
        <x:v>639952</x:v>
      </x:c>
      <x:c r="H635" s="9">
        <x:v>4</x:v>
      </x:c>
      <x:c r="I635" s="9">
        <x:v>2</x:v>
      </x:c>
      <x:c r="J635" s="11">
        <x:v>639952</x:v>
      </x:c>
      <x:c r="K635" s="1" t="s">
        <x:v>85</x:v>
      </x:c>
      <x:c r="L635" s="1">
        <x:v>2682</x:v>
      </x:c>
    </x:row>
    <x:row r="636" ht="22" customHeight="1">
      <x:c r="A636" s="5">
        <x:v>2025</x:v>
      </x:c>
      <x:c r="B636" s="5" t="s">
        <x:v>45</x:v>
      </x:c>
      <x:c r="C636" s="6" t="s">
        <x:v>46</x:v>
      </x:c>
      <x:c r="D636" s="5" t="s">
        <x:v>96</x:v>
      </x:c>
      <x:c r="E636" s="8">
        <x:v>1</x:v>
      </x:c>
      <x:c r="F636" s="8">
        <x:v>4</x:v>
      </x:c>
      <x:c r="G636" s="10">
        <x:v>875000</x:v>
      </x:c>
      <x:c r="H636" s="8">
        <x:v>0</x:v>
      </x:c>
      <x:c r="I636" s="8">
        <x:v>0</x:v>
      </x:c>
      <x:c r="J636" s="10">
        <x:v>0</x:v>
      </x:c>
      <x:c r="K636" s="5" t="s">
        <x:v>85</x:v>
      </x:c>
      <x:c r="L636" s="5">
        <x:v>2682</x:v>
      </x:c>
    </x:row>
    <x:row r="637" ht="22" customHeight="1">
      <x:c r="A637" s="1">
        <x:v>2025</x:v>
      </x:c>
      <x:c r="B637" s="1" t="s">
        <x:v>45</x:v>
      </x:c>
      <x:c r="C637" s="7" t="s">
        <x:v>46</x:v>
      </x:c>
      <x:c r="D637" s="1" t="s">
        <x:v>97</x:v>
      </x:c>
      <x:c r="E637" s="9">
        <x:v>2</x:v>
      </x:c>
      <x:c r="F637" s="9">
        <x:v>16</x:v>
      </x:c>
      <x:c r="G637" s="11">
        <x:v>2038620</x:v>
      </x:c>
      <x:c r="H637" s="9">
        <x:v>16</x:v>
      </x:c>
      <x:c r="I637" s="9">
        <x:v>2</x:v>
      </x:c>
      <x:c r="J637" s="11">
        <x:v>2038620</x:v>
      </x:c>
      <x:c r="K637" s="1" t="s">
        <x:v>85</x:v>
      </x:c>
      <x:c r="L637" s="1">
        <x:v>2682</x:v>
      </x:c>
    </x:row>
    <x:row r="638" ht="22" customHeight="1">
      <x:c r="A638" s="5">
        <x:v>2025</x:v>
      </x:c>
      <x:c r="B638" s="5" t="s">
        <x:v>47</x:v>
      </x:c>
      <x:c r="C638" s="6" t="s">
        <x:v>48</x:v>
      </x:c>
      <x:c r="D638" s="5" t="s">
        <x:v>94</x:v>
      </x:c>
      <x:c r="E638" s="8">
        <x:v>67</x:v>
      </x:c>
      <x:c r="F638" s="8">
        <x:v>67</x:v>
      </x:c>
      <x:c r="G638" s="10">
        <x:v>17848507</x:v>
      </x:c>
      <x:c r="H638" s="8">
        <x:v>67</x:v>
      </x:c>
      <x:c r="I638" s="8">
        <x:v>67</x:v>
      </x:c>
      <x:c r="J638" s="10">
        <x:v>17848507</x:v>
      </x:c>
      <x:c r="K638" s="5" t="s">
        <x:v>85</x:v>
      </x:c>
      <x:c r="L638" s="5">
        <x:v>2683</x:v>
      </x:c>
    </x:row>
    <x:row r="639" ht="22" customHeight="1">
      <x:c r="A639" s="1">
        <x:v>2025</x:v>
      </x:c>
      <x:c r="B639" s="1" t="s">
        <x:v>47</x:v>
      </x:c>
      <x:c r="C639" s="7" t="s">
        <x:v>48</x:v>
      </x:c>
      <x:c r="D639" s="1" t="s">
        <x:v>95</x:v>
      </x:c>
      <x:c r="E639" s="9">
        <x:v>3</x:v>
      </x:c>
      <x:c r="F639" s="9">
        <x:v>6</x:v>
      </x:c>
      <x:c r="G639" s="11">
        <x:v>1535646</x:v>
      </x:c>
      <x:c r="H639" s="9">
        <x:v>6</x:v>
      </x:c>
      <x:c r="I639" s="9">
        <x:v>3</x:v>
      </x:c>
      <x:c r="J639" s="11">
        <x:v>1535646</x:v>
      </x:c>
      <x:c r="K639" s="1" t="s">
        <x:v>85</x:v>
      </x:c>
      <x:c r="L639" s="1">
        <x:v>2683</x:v>
      </x:c>
    </x:row>
    <x:row r="640" ht="22" customHeight="1">
      <x:c r="A640" s="5">
        <x:v>2025</x:v>
      </x:c>
      <x:c r="B640" s="5" t="s">
        <x:v>47</x:v>
      </x:c>
      <x:c r="C640" s="6" t="s">
        <x:v>48</x:v>
      </x:c>
      <x:c r="D640" s="5" t="s">
        <x:v>96</x:v>
      </x:c>
      <x:c r="E640" s="8">
        <x:v>0</x:v>
      </x:c>
      <x:c r="F640" s="8">
        <x:v>0</x:v>
      </x:c>
      <x:c r="G640" s="10">
        <x:v>0</x:v>
      </x:c>
      <x:c r="H640" s="8">
        <x:v>0</x:v>
      </x:c>
      <x:c r="I640" s="8">
        <x:v>0</x:v>
      </x:c>
      <x:c r="J640" s="10">
        <x:v>0</x:v>
      </x:c>
      <x:c r="K640" s="5" t="s">
        <x:v>85</x:v>
      </x:c>
      <x:c r="L640" s="5">
        <x:v>2683</x:v>
      </x:c>
    </x:row>
    <x:row r="641" ht="22" customHeight="1">
      <x:c r="A641" s="1">
        <x:v>2025</x:v>
      </x:c>
      <x:c r="B641" s="1" t="s">
        <x:v>47</x:v>
      </x:c>
      <x:c r="C641" s="7" t="s">
        <x:v>48</x:v>
      </x:c>
      <x:c r="D641" s="1" t="s">
        <x:v>97</x:v>
      </x:c>
      <x:c r="E641" s="9">
        <x:v>0</x:v>
      </x:c>
      <x:c r="F641" s="9">
        <x:v>0</x:v>
      </x:c>
      <x:c r="G641" s="11">
        <x:v>0</x:v>
      </x:c>
      <x:c r="H641" s="9">
        <x:v>0</x:v>
      </x:c>
      <x:c r="I641" s="9">
        <x:v>0</x:v>
      </x:c>
      <x:c r="J641" s="11">
        <x:v>0</x:v>
      </x:c>
      <x:c r="K641" s="1" t="s">
        <x:v>85</x:v>
      </x:c>
      <x:c r="L641" s="1">
        <x:v>2683</x:v>
      </x:c>
    </x:row>
    <x:row r="642" ht="22" customHeight="1">
      <x:c r="A642" s="5">
        <x:v>2025</x:v>
      </x:c>
      <x:c r="B642" s="5" t="s">
        <x:v>49</x:v>
      </x:c>
      <x:c r="C642" s="6" t="s">
        <x:v>50</x:v>
      </x:c>
      <x:c r="D642" s="5" t="s">
        <x:v>94</x:v>
      </x:c>
      <x:c r="E642" s="8">
        <x:v>92</x:v>
      </x:c>
      <x:c r="F642" s="8">
        <x:v>92</x:v>
      </x:c>
      <x:c r="G642" s="10">
        <x:v>29875373</x:v>
      </x:c>
      <x:c r="H642" s="8">
        <x:v>92</x:v>
      </x:c>
      <x:c r="I642" s="8">
        <x:v>92</x:v>
      </x:c>
      <x:c r="J642" s="10">
        <x:v>29875373</x:v>
      </x:c>
      <x:c r="K642" s="5" t="s">
        <x:v>85</x:v>
      </x:c>
      <x:c r="L642" s="5">
        <x:v>2684</x:v>
      </x:c>
    </x:row>
    <x:row r="643" ht="22" customHeight="1">
      <x:c r="A643" s="1">
        <x:v>2025</x:v>
      </x:c>
      <x:c r="B643" s="1" t="s">
        <x:v>49</x:v>
      </x:c>
      <x:c r="C643" s="7" t="s">
        <x:v>50</x:v>
      </x:c>
      <x:c r="D643" s="1" t="s">
        <x:v>95</x:v>
      </x:c>
      <x:c r="E643" s="9">
        <x:v>6</x:v>
      </x:c>
      <x:c r="F643" s="9">
        <x:v>12</x:v>
      </x:c>
      <x:c r="G643" s="11">
        <x:v>2202287</x:v>
      </x:c>
      <x:c r="H643" s="9">
        <x:v>12</x:v>
      </x:c>
      <x:c r="I643" s="9">
        <x:v>6</x:v>
      </x:c>
      <x:c r="J643" s="11">
        <x:v>2202287</x:v>
      </x:c>
      <x:c r="K643" s="1" t="s">
        <x:v>85</x:v>
      </x:c>
      <x:c r="L643" s="1">
        <x:v>2684</x:v>
      </x:c>
    </x:row>
    <x:row r="644" ht="22" customHeight="1">
      <x:c r="A644" s="5">
        <x:v>2025</x:v>
      </x:c>
      <x:c r="B644" s="5" t="s">
        <x:v>49</x:v>
      </x:c>
      <x:c r="C644" s="6" t="s">
        <x:v>50</x:v>
      </x:c>
      <x:c r="D644" s="5" t="s">
        <x:v>96</x:v>
      </x:c>
      <x:c r="E644" s="8">
        <x:v>11</x:v>
      </x:c>
      <x:c r="F644" s="8">
        <x:v>42</x:v>
      </x:c>
      <x:c r="G644" s="10">
        <x:v>8738371</x:v>
      </x:c>
      <x:c r="H644" s="8">
        <x:v>42</x:v>
      </x:c>
      <x:c r="I644" s="8">
        <x:v>11</x:v>
      </x:c>
      <x:c r="J644" s="10">
        <x:v>8738371</x:v>
      </x:c>
      <x:c r="K644" s="5" t="s">
        <x:v>85</x:v>
      </x:c>
      <x:c r="L644" s="5">
        <x:v>2684</x:v>
      </x:c>
    </x:row>
    <x:row r="645" ht="22" customHeight="1">
      <x:c r="A645" s="1">
        <x:v>2025</x:v>
      </x:c>
      <x:c r="B645" s="1" t="s">
        <x:v>49</x:v>
      </x:c>
      <x:c r="C645" s="7" t="s">
        <x:v>50</x:v>
      </x:c>
      <x:c r="D645" s="1" t="s">
        <x:v>97</x:v>
      </x:c>
      <x:c r="E645" s="9">
        <x:v>8</x:v>
      </x:c>
      <x:c r="F645" s="9">
        <x:v>46</x:v>
      </x:c>
      <x:c r="G645" s="11">
        <x:v>7681723</x:v>
      </x:c>
      <x:c r="H645" s="9">
        <x:v>46</x:v>
      </x:c>
      <x:c r="I645" s="9">
        <x:v>8</x:v>
      </x:c>
      <x:c r="J645" s="11">
        <x:v>7681723</x:v>
      </x:c>
      <x:c r="K645" s="1" t="s">
        <x:v>85</x:v>
      </x:c>
      <x:c r="L645" s="1">
        <x:v>2684</x:v>
      </x:c>
    </x:row>
    <x:row r="646" ht="22" customHeight="1">
      <x:c r="A646" s="5">
        <x:v>2025</x:v>
      </x:c>
      <x:c r="B646" s="5" t="s">
        <x:v>51</x:v>
      </x:c>
      <x:c r="C646" s="6" t="s">
        <x:v>52</x:v>
      </x:c>
      <x:c r="D646" s="5" t="s">
        <x:v>94</x:v>
      </x:c>
      <x:c r="E646" s="8">
        <x:v>21</x:v>
      </x:c>
      <x:c r="F646" s="8">
        <x:v>21</x:v>
      </x:c>
      <x:c r="G646" s="10">
        <x:v>3166800</x:v>
      </x:c>
      <x:c r="H646" s="8">
        <x:v>0</x:v>
      </x:c>
      <x:c r="I646" s="8">
        <x:v>0</x:v>
      </x:c>
      <x:c r="J646" s="10">
        <x:v>0</x:v>
      </x:c>
      <x:c r="K646" s="5" t="s">
        <x:v>85</x:v>
      </x:c>
      <x:c r="L646" s="5">
        <x:v>2685</x:v>
      </x:c>
    </x:row>
    <x:row r="647" ht="22" customHeight="1">
      <x:c r="A647" s="1">
        <x:v>2025</x:v>
      </x:c>
      <x:c r="B647" s="1" t="s">
        <x:v>51</x:v>
      </x:c>
      <x:c r="C647" s="7" t="s">
        <x:v>52</x:v>
      </x:c>
      <x:c r="D647" s="1" t="s">
        <x:v>95</x:v>
      </x:c>
      <x:c r="E647" s="9">
        <x:v>0</x:v>
      </x:c>
      <x:c r="F647" s="9">
        <x:v>0</x:v>
      </x:c>
      <x:c r="G647" s="11">
        <x:v>0</x:v>
      </x:c>
      <x:c r="H647" s="9">
        <x:v>0</x:v>
      </x:c>
      <x:c r="I647" s="9">
        <x:v>0</x:v>
      </x:c>
      <x:c r="J647" s="11">
        <x:v>0</x:v>
      </x:c>
      <x:c r="K647" s="1" t="s">
        <x:v>85</x:v>
      </x:c>
      <x:c r="L647" s="1">
        <x:v>2685</x:v>
      </x:c>
    </x:row>
    <x:row r="648" ht="22" customHeight="1">
      <x:c r="A648" s="5">
        <x:v>2025</x:v>
      </x:c>
      <x:c r="B648" s="5" t="s">
        <x:v>51</x:v>
      </x:c>
      <x:c r="C648" s="6" t="s">
        <x:v>52</x:v>
      </x:c>
      <x:c r="D648" s="5" t="s">
        <x:v>96</x:v>
      </x:c>
      <x:c r="E648" s="8">
        <x:v>0</x:v>
      </x:c>
      <x:c r="F648" s="8">
        <x:v>0</x:v>
      </x:c>
      <x:c r="G648" s="10">
        <x:v>0</x:v>
      </x:c>
      <x:c r="H648" s="8">
        <x:v>0</x:v>
      </x:c>
      <x:c r="I648" s="8">
        <x:v>0</x:v>
      </x:c>
      <x:c r="J648" s="10">
        <x:v>0</x:v>
      </x:c>
      <x:c r="K648" s="5" t="s">
        <x:v>85</x:v>
      </x:c>
      <x:c r="L648" s="5">
        <x:v>2685</x:v>
      </x:c>
    </x:row>
    <x:row r="649" ht="22" customHeight="1">
      <x:c r="A649" s="1">
        <x:v>2025</x:v>
      </x:c>
      <x:c r="B649" s="1" t="s">
        <x:v>51</x:v>
      </x:c>
      <x:c r="C649" s="7" t="s">
        <x:v>52</x:v>
      </x:c>
      <x:c r="D649" s="1" t="s">
        <x:v>97</x:v>
      </x:c>
      <x:c r="E649" s="9">
        <x:v>0</x:v>
      </x:c>
      <x:c r="F649" s="9">
        <x:v>0</x:v>
      </x:c>
      <x:c r="G649" s="11">
        <x:v>0</x:v>
      </x:c>
      <x:c r="H649" s="9">
        <x:v>0</x:v>
      </x:c>
      <x:c r="I649" s="9">
        <x:v>0</x:v>
      </x:c>
      <x:c r="J649" s="11">
        <x:v>0</x:v>
      </x:c>
      <x:c r="K649" s="1" t="s">
        <x:v>85</x:v>
      </x:c>
      <x:c r="L649" s="1">
        <x:v>2685</x:v>
      </x:c>
    </x:row>
    <x:row r="650" ht="22" customHeight="1">
      <x:c r="A650" s="5">
        <x:v>2025</x:v>
      </x:c>
      <x:c r="B650" s="5" t="s">
        <x:v>53</x:v>
      </x:c>
      <x:c r="C650" s="6" t="s">
        <x:v>54</x:v>
      </x:c>
      <x:c r="D650" s="5" t="s">
        <x:v>94</x:v>
      </x:c>
      <x:c r="E650" s="8">
        <x:v>62</x:v>
      </x:c>
      <x:c r="F650" s="8">
        <x:v>62</x:v>
      </x:c>
      <x:c r="G650" s="10">
        <x:v>34335352</x:v>
      </x:c>
      <x:c r="H650" s="8">
        <x:v>22</x:v>
      </x:c>
      <x:c r="I650" s="8">
        <x:v>22</x:v>
      </x:c>
      <x:c r="J650" s="10">
        <x:v>20200489</x:v>
      </x:c>
      <x:c r="K650" s="5" t="s">
        <x:v>85</x:v>
      </x:c>
      <x:c r="L650" s="5">
        <x:v>2686</x:v>
      </x:c>
    </x:row>
    <x:row r="651" ht="22" customHeight="1">
      <x:c r="A651" s="1">
        <x:v>2025</x:v>
      </x:c>
      <x:c r="B651" s="1" t="s">
        <x:v>53</x:v>
      </x:c>
      <x:c r="C651" s="7" t="s">
        <x:v>54</x:v>
      </x:c>
      <x:c r="D651" s="1" t="s">
        <x:v>95</x:v>
      </x:c>
      <x:c r="E651" s="9">
        <x:v>0</x:v>
      </x:c>
      <x:c r="F651" s="9">
        <x:v>0</x:v>
      </x:c>
      <x:c r="G651" s="11">
        <x:v>0</x:v>
      </x:c>
      <x:c r="H651" s="9">
        <x:v>0</x:v>
      </x:c>
      <x:c r="I651" s="9">
        <x:v>0</x:v>
      </x:c>
      <x:c r="J651" s="11">
        <x:v>0</x:v>
      </x:c>
      <x:c r="K651" s="1" t="s">
        <x:v>85</x:v>
      </x:c>
      <x:c r="L651" s="1">
        <x:v>2686</x:v>
      </x:c>
    </x:row>
    <x:row r="652" ht="22" customHeight="1">
      <x:c r="A652" s="5">
        <x:v>2025</x:v>
      </x:c>
      <x:c r="B652" s="5" t="s">
        <x:v>53</x:v>
      </x:c>
      <x:c r="C652" s="6" t="s">
        <x:v>54</x:v>
      </x:c>
      <x:c r="D652" s="5" t="s">
        <x:v>96</x:v>
      </x:c>
      <x:c r="E652" s="8">
        <x:v>1</x:v>
      </x:c>
      <x:c r="F652" s="8">
        <x:v>4</x:v>
      </x:c>
      <x:c r="G652" s="10">
        <x:v>1400000</x:v>
      </x:c>
      <x:c r="H652" s="8">
        <x:v>4</x:v>
      </x:c>
      <x:c r="I652" s="8">
        <x:v>1</x:v>
      </x:c>
      <x:c r="J652" s="10">
        <x:v>1400000</x:v>
      </x:c>
      <x:c r="K652" s="5" t="s">
        <x:v>85</x:v>
      </x:c>
      <x:c r="L652" s="5">
        <x:v>2686</x:v>
      </x:c>
    </x:row>
    <x:row r="653" ht="22" customHeight="1">
      <x:c r="A653" s="1">
        <x:v>2025</x:v>
      </x:c>
      <x:c r="B653" s="1" t="s">
        <x:v>53</x:v>
      </x:c>
      <x:c r="C653" s="7" t="s">
        <x:v>54</x:v>
      </x:c>
      <x:c r="D653" s="1" t="s">
        <x:v>97</x:v>
      </x:c>
      <x:c r="E653" s="9">
        <x:v>2</x:v>
      </x:c>
      <x:c r="F653" s="9">
        <x:v>16</x:v>
      </x:c>
      <x:c r="G653" s="11">
        <x:v>6000000</x:v>
      </x:c>
      <x:c r="H653" s="9">
        <x:v>16</x:v>
      </x:c>
      <x:c r="I653" s="9">
        <x:v>2</x:v>
      </x:c>
      <x:c r="J653" s="11">
        <x:v>6000000</x:v>
      </x:c>
      <x:c r="K653" s="1" t="s">
        <x:v>85</x:v>
      </x:c>
      <x:c r="L653" s="1">
        <x:v>2686</x:v>
      </x:c>
    </x:row>
    <x:row r="654" ht="22" customHeight="1">
      <x:c r="A654" s="5">
        <x:v>2025</x:v>
      </x:c>
      <x:c r="B654" s="5" t="s">
        <x:v>55</x:v>
      </x:c>
      <x:c r="C654" s="6" t="s">
        <x:v>56</x:v>
      </x:c>
      <x:c r="D654" s="5" t="s">
        <x:v>94</x:v>
      </x:c>
      <x:c r="E654" s="8">
        <x:v>2576</x:v>
      </x:c>
      <x:c r="F654" s="8">
        <x:v>2576</x:v>
      </x:c>
      <x:c r="G654" s="10">
        <x:v>917035696</x:v>
      </x:c>
      <x:c r="H654" s="8">
        <x:v>2566</x:v>
      </x:c>
      <x:c r="I654" s="8">
        <x:v>2566</x:v>
      </x:c>
      <x:c r="J654" s="10">
        <x:v>911132492</x:v>
      </x:c>
      <x:c r="K654" s="5" t="s">
        <x:v>85</x:v>
      </x:c>
      <x:c r="L654" s="5">
        <x:v>2687</x:v>
      </x:c>
    </x:row>
    <x:row r="655" ht="22" customHeight="1">
      <x:c r="A655" s="1">
        <x:v>2025</x:v>
      </x:c>
      <x:c r="B655" s="1" t="s">
        <x:v>55</x:v>
      </x:c>
      <x:c r="C655" s="7" t="s">
        <x:v>56</x:v>
      </x:c>
      <x:c r="D655" s="1" t="s">
        <x:v>95</x:v>
      </x:c>
      <x:c r="E655" s="9">
        <x:v>34</x:v>
      </x:c>
      <x:c r="F655" s="9">
        <x:v>68</x:v>
      </x:c>
      <x:c r="G655" s="11">
        <x:v>16011506</x:v>
      </x:c>
      <x:c r="H655" s="9">
        <x:v>54</x:v>
      </x:c>
      <x:c r="I655" s="9">
        <x:v>27</x:v>
      </x:c>
      <x:c r="J655" s="11">
        <x:v>13321491</x:v>
      </x:c>
      <x:c r="K655" s="1" t="s">
        <x:v>85</x:v>
      </x:c>
      <x:c r="L655" s="1">
        <x:v>2687</x:v>
      </x:c>
    </x:row>
    <x:row r="656" ht="22" customHeight="1">
      <x:c r="A656" s="5">
        <x:v>2025</x:v>
      </x:c>
      <x:c r="B656" s="5" t="s">
        <x:v>55</x:v>
      </x:c>
      <x:c r="C656" s="6" t="s">
        <x:v>56</x:v>
      </x:c>
      <x:c r="D656" s="5" t="s">
        <x:v>96</x:v>
      </x:c>
      <x:c r="E656" s="8">
        <x:v>29</x:v>
      </x:c>
      <x:c r="F656" s="8">
        <x:v>101</x:v>
      </x:c>
      <x:c r="G656" s="10">
        <x:v>30508274</x:v>
      </x:c>
      <x:c r="H656" s="8">
        <x:v>101</x:v>
      </x:c>
      <x:c r="I656" s="8">
        <x:v>29</x:v>
      </x:c>
      <x:c r="J656" s="10">
        <x:v>30508274</x:v>
      </x:c>
      <x:c r="K656" s="5" t="s">
        <x:v>85</x:v>
      </x:c>
      <x:c r="L656" s="5">
        <x:v>2687</x:v>
      </x:c>
    </x:row>
    <x:row r="657" ht="22" customHeight="1">
      <x:c r="A657" s="1">
        <x:v>2025</x:v>
      </x:c>
      <x:c r="B657" s="1" t="s">
        <x:v>55</x:v>
      </x:c>
      <x:c r="C657" s="7" t="s">
        <x:v>56</x:v>
      </x:c>
      <x:c r="D657" s="1" t="s">
        <x:v>97</x:v>
      </x:c>
      <x:c r="E657" s="9">
        <x:v>82</x:v>
      </x:c>
      <x:c r="F657" s="9">
        <x:v>4434</x:v>
      </x:c>
      <x:c r="G657" s="11">
        <x:v>1023835457</x:v>
      </x:c>
      <x:c r="H657" s="9">
        <x:v>4434</x:v>
      </x:c>
      <x:c r="I657" s="9">
        <x:v>82</x:v>
      </x:c>
      <x:c r="J657" s="11">
        <x:v>1023835457</x:v>
      </x:c>
      <x:c r="K657" s="1" t="s">
        <x:v>85</x:v>
      </x:c>
      <x:c r="L657" s="1">
        <x:v>2687</x:v>
      </x:c>
    </x:row>
    <x:row r="658" ht="22" customHeight="1">
      <x:c r="A658" s="5">
        <x:v>2025</x:v>
      </x:c>
      <x:c r="B658" s="5" t="s">
        <x:v>57</x:v>
      </x:c>
      <x:c r="C658" s="6" t="s">
        <x:v>58</x:v>
      </x:c>
      <x:c r="D658" s="5" t="s">
        <x:v>94</x:v>
      </x:c>
      <x:c r="E658" s="8">
        <x:v>49</x:v>
      </x:c>
      <x:c r="F658" s="8">
        <x:v>49</x:v>
      </x:c>
      <x:c r="G658" s="10">
        <x:v>18881061</x:v>
      </x:c>
      <x:c r="H658" s="8">
        <x:v>4</x:v>
      </x:c>
      <x:c r="I658" s="8">
        <x:v>4</x:v>
      </x:c>
      <x:c r="J658" s="10">
        <x:v>1146423</x:v>
      </x:c>
      <x:c r="K658" s="5" t="s">
        <x:v>85</x:v>
      </x:c>
      <x:c r="L658" s="5">
        <x:v>2688</x:v>
      </x:c>
    </x:row>
    <x:row r="659" ht="22" customHeight="1">
      <x:c r="A659" s="1">
        <x:v>2025</x:v>
      </x:c>
      <x:c r="B659" s="1" t="s">
        <x:v>57</x:v>
      </x:c>
      <x:c r="C659" s="7" t="s">
        <x:v>58</x:v>
      </x:c>
      <x:c r="D659" s="1" t="s">
        <x:v>95</x:v>
      </x:c>
      <x:c r="E659" s="9">
        <x:v>3</x:v>
      </x:c>
      <x:c r="F659" s="9">
        <x:v>6</x:v>
      </x:c>
      <x:c r="G659" s="11">
        <x:v>896537</x:v>
      </x:c>
      <x:c r="H659" s="9">
        <x:v>4</x:v>
      </x:c>
      <x:c r="I659" s="9">
        <x:v>2</x:v>
      </x:c>
      <x:c r="J659" s="11">
        <x:v>477524</x:v>
      </x:c>
      <x:c r="K659" s="1" t="s">
        <x:v>85</x:v>
      </x:c>
      <x:c r="L659" s="1">
        <x:v>2688</x:v>
      </x:c>
    </x:row>
    <x:row r="660" ht="22" customHeight="1">
      <x:c r="A660" s="5">
        <x:v>2025</x:v>
      </x:c>
      <x:c r="B660" s="5" t="s">
        <x:v>57</x:v>
      </x:c>
      <x:c r="C660" s="6" t="s">
        <x:v>58</x:v>
      </x:c>
      <x:c r="D660" s="5" t="s">
        <x:v>96</x:v>
      </x:c>
      <x:c r="E660" s="8">
        <x:v>0</x:v>
      </x:c>
      <x:c r="F660" s="8">
        <x:v>0</x:v>
      </x:c>
      <x:c r="G660" s="10">
        <x:v>0</x:v>
      </x:c>
      <x:c r="H660" s="8">
        <x:v>0</x:v>
      </x:c>
      <x:c r="I660" s="8">
        <x:v>0</x:v>
      </x:c>
      <x:c r="J660" s="10">
        <x:v>0</x:v>
      </x:c>
      <x:c r="K660" s="5" t="s">
        <x:v>85</x:v>
      </x:c>
      <x:c r="L660" s="5">
        <x:v>2688</x:v>
      </x:c>
    </x:row>
    <x:row r="661" ht="22" customHeight="1">
      <x:c r="A661" s="1">
        <x:v>2025</x:v>
      </x:c>
      <x:c r="B661" s="1" t="s">
        <x:v>57</x:v>
      </x:c>
      <x:c r="C661" s="7" t="s">
        <x:v>58</x:v>
      </x:c>
      <x:c r="D661" s="1" t="s">
        <x:v>97</x:v>
      </x:c>
      <x:c r="E661" s="9">
        <x:v>0</x:v>
      </x:c>
      <x:c r="F661" s="9">
        <x:v>0</x:v>
      </x:c>
      <x:c r="G661" s="11">
        <x:v>0</x:v>
      </x:c>
      <x:c r="H661" s="9">
        <x:v>0</x:v>
      </x:c>
      <x:c r="I661" s="9">
        <x:v>0</x:v>
      </x:c>
      <x:c r="J661" s="11">
        <x:v>0</x:v>
      </x:c>
      <x:c r="K661" s="1" t="s">
        <x:v>85</x:v>
      </x:c>
      <x:c r="L661" s="1">
        <x:v>2688</x:v>
      </x:c>
    </x:row>
    <x:row r="662" ht="22" customHeight="1">
      <x:c r="A662" s="5">
        <x:v>2025</x:v>
      </x:c>
      <x:c r="B662" s="5" t="s">
        <x:v>59</x:v>
      </x:c>
      <x:c r="C662" s="6" t="s">
        <x:v>60</x:v>
      </x:c>
      <x:c r="D662" s="5" t="s">
        <x:v>94</x:v>
      </x:c>
      <x:c r="E662" s="8">
        <x:v>190</x:v>
      </x:c>
      <x:c r="F662" s="8">
        <x:v>190</x:v>
      </x:c>
      <x:c r="G662" s="10">
        <x:v>78638443</x:v>
      </x:c>
      <x:c r="H662" s="8">
        <x:v>190</x:v>
      </x:c>
      <x:c r="I662" s="8">
        <x:v>190</x:v>
      </x:c>
      <x:c r="J662" s="10">
        <x:v>78638443</x:v>
      </x:c>
      <x:c r="K662" s="5" t="s">
        <x:v>85</x:v>
      </x:c>
      <x:c r="L662" s="5">
        <x:v>2689</x:v>
      </x:c>
    </x:row>
    <x:row r="663" ht="22" customHeight="1">
      <x:c r="A663" s="1">
        <x:v>2025</x:v>
      </x:c>
      <x:c r="B663" s="1" t="s">
        <x:v>59</x:v>
      </x:c>
      <x:c r="C663" s="7" t="s">
        <x:v>60</x:v>
      </x:c>
      <x:c r="D663" s="1" t="s">
        <x:v>95</x:v>
      </x:c>
      <x:c r="E663" s="9">
        <x:v>16</x:v>
      </x:c>
      <x:c r="F663" s="9">
        <x:v>32</x:v>
      </x:c>
      <x:c r="G663" s="11">
        <x:v>8572342</x:v>
      </x:c>
      <x:c r="H663" s="9">
        <x:v>32</x:v>
      </x:c>
      <x:c r="I663" s="9">
        <x:v>16</x:v>
      </x:c>
      <x:c r="J663" s="11">
        <x:v>8572342</x:v>
      </x:c>
      <x:c r="K663" s="1" t="s">
        <x:v>85</x:v>
      </x:c>
      <x:c r="L663" s="1">
        <x:v>2689</x:v>
      </x:c>
    </x:row>
    <x:row r="664" ht="22" customHeight="1">
      <x:c r="A664" s="5">
        <x:v>2025</x:v>
      </x:c>
      <x:c r="B664" s="5" t="s">
        <x:v>59</x:v>
      </x:c>
      <x:c r="C664" s="6" t="s">
        <x:v>60</x:v>
      </x:c>
      <x:c r="D664" s="5" t="s">
        <x:v>96</x:v>
      </x:c>
      <x:c r="E664" s="8">
        <x:v>1</x:v>
      </x:c>
      <x:c r="F664" s="8">
        <x:v>4</x:v>
      </x:c>
      <x:c r="G664" s="10">
        <x:v>970458</x:v>
      </x:c>
      <x:c r="H664" s="8">
        <x:v>4</x:v>
      </x:c>
      <x:c r="I664" s="8">
        <x:v>1</x:v>
      </x:c>
      <x:c r="J664" s="10">
        <x:v>970458</x:v>
      </x:c>
      <x:c r="K664" s="5" t="s">
        <x:v>85</x:v>
      </x:c>
      <x:c r="L664" s="5">
        <x:v>2689</x:v>
      </x:c>
    </x:row>
    <x:row r="665" ht="22" customHeight="1">
      <x:c r="A665" s="1">
        <x:v>2025</x:v>
      </x:c>
      <x:c r="B665" s="1" t="s">
        <x:v>59</x:v>
      </x:c>
      <x:c r="C665" s="7" t="s">
        <x:v>60</x:v>
      </x:c>
      <x:c r="D665" s="1" t="s">
        <x:v>97</x:v>
      </x:c>
      <x:c r="E665" s="9">
        <x:v>2</x:v>
      </x:c>
      <x:c r="F665" s="9">
        <x:v>12</x:v>
      </x:c>
      <x:c r="G665" s="11">
        <x:v>3231184</x:v>
      </x:c>
      <x:c r="H665" s="9">
        <x:v>12</x:v>
      </x:c>
      <x:c r="I665" s="9">
        <x:v>2</x:v>
      </x:c>
      <x:c r="J665" s="11">
        <x:v>3231184</x:v>
      </x:c>
      <x:c r="K665" s="1" t="s">
        <x:v>85</x:v>
      </x:c>
      <x:c r="L665" s="1">
        <x:v>2689</x:v>
      </x:c>
    </x:row>
    <x:row r="666" ht="22" customHeight="1">
      <x:c r="A666" s="5">
        <x:v>2025</x:v>
      </x:c>
      <x:c r="B666" s="5" t="s">
        <x:v>61</x:v>
      </x:c>
      <x:c r="C666" s="6" t="s">
        <x:v>62</x:v>
      </x:c>
      <x:c r="D666" s="5" t="s">
        <x:v>94</x:v>
      </x:c>
      <x:c r="E666" s="8">
        <x:v>97</x:v>
      </x:c>
      <x:c r="F666" s="8">
        <x:v>97</x:v>
      </x:c>
      <x:c r="G666" s="10">
        <x:v>43574509</x:v>
      </x:c>
      <x:c r="H666" s="8">
        <x:v>97</x:v>
      </x:c>
      <x:c r="I666" s="8">
        <x:v>97</x:v>
      </x:c>
      <x:c r="J666" s="10">
        <x:v>43574509</x:v>
      </x:c>
      <x:c r="K666" s="5" t="s">
        <x:v>85</x:v>
      </x:c>
      <x:c r="L666" s="5">
        <x:v>2690</x:v>
      </x:c>
    </x:row>
    <x:row r="667" ht="22" customHeight="1">
      <x:c r="A667" s="1">
        <x:v>2025</x:v>
      </x:c>
      <x:c r="B667" s="1" t="s">
        <x:v>61</x:v>
      </x:c>
      <x:c r="C667" s="7" t="s">
        <x:v>62</x:v>
      </x:c>
      <x:c r="D667" s="1" t="s">
        <x:v>95</x:v>
      </x:c>
      <x:c r="E667" s="9">
        <x:v>0</x:v>
      </x:c>
      <x:c r="F667" s="9">
        <x:v>0</x:v>
      </x:c>
      <x:c r="G667" s="11">
        <x:v>0</x:v>
      </x:c>
      <x:c r="H667" s="9">
        <x:v>0</x:v>
      </x:c>
      <x:c r="I667" s="9">
        <x:v>0</x:v>
      </x:c>
      <x:c r="J667" s="11">
        <x:v>0</x:v>
      </x:c>
      <x:c r="K667" s="1" t="s">
        <x:v>85</x:v>
      </x:c>
      <x:c r="L667" s="1">
        <x:v>2690</x:v>
      </x:c>
    </x:row>
    <x:row r="668" ht="22" customHeight="1">
      <x:c r="A668" s="5">
        <x:v>2025</x:v>
      </x:c>
      <x:c r="B668" s="5" t="s">
        <x:v>61</x:v>
      </x:c>
      <x:c r="C668" s="6" t="s">
        <x:v>62</x:v>
      </x:c>
      <x:c r="D668" s="5" t="s">
        <x:v>96</x:v>
      </x:c>
      <x:c r="E668" s="8">
        <x:v>0</x:v>
      </x:c>
      <x:c r="F668" s="8">
        <x:v>0</x:v>
      </x:c>
      <x:c r="G668" s="10">
        <x:v>0</x:v>
      </x:c>
      <x:c r="H668" s="8">
        <x:v>0</x:v>
      </x:c>
      <x:c r="I668" s="8">
        <x:v>0</x:v>
      </x:c>
      <x:c r="J668" s="10">
        <x:v>0</x:v>
      </x:c>
      <x:c r="K668" s="5" t="s">
        <x:v>85</x:v>
      </x:c>
      <x:c r="L668" s="5">
        <x:v>2690</x:v>
      </x:c>
    </x:row>
    <x:row r="669" ht="22" customHeight="1">
      <x:c r="A669" s="1">
        <x:v>2025</x:v>
      </x:c>
      <x:c r="B669" s="1" t="s">
        <x:v>61</x:v>
      </x:c>
      <x:c r="C669" s="7" t="s">
        <x:v>62</x:v>
      </x:c>
      <x:c r="D669" s="1" t="s">
        <x:v>97</x:v>
      </x:c>
      <x:c r="E669" s="9">
        <x:v>0</x:v>
      </x:c>
      <x:c r="F669" s="9">
        <x:v>0</x:v>
      </x:c>
      <x:c r="G669" s="11">
        <x:v>0</x:v>
      </x:c>
      <x:c r="H669" s="9">
        <x:v>0</x:v>
      </x:c>
      <x:c r="I669" s="9">
        <x:v>0</x:v>
      </x:c>
      <x:c r="J669" s="11">
        <x:v>0</x:v>
      </x:c>
      <x:c r="K669" s="1" t="s">
        <x:v>85</x:v>
      </x:c>
      <x:c r="L669" s="1">
        <x:v>2690</x:v>
      </x:c>
    </x:row>
    <x:row r="670" ht="22" customHeight="1">
      <x:c r="A670" s="5">
        <x:v>2025</x:v>
      </x:c>
      <x:c r="B670" s="5" t="s">
        <x:v>63</x:v>
      </x:c>
      <x:c r="C670" s="6" t="s">
        <x:v>64</x:v>
      </x:c>
      <x:c r="D670" s="5" t="s">
        <x:v>94</x:v>
      </x:c>
      <x:c r="E670" s="8">
        <x:v>334</x:v>
      </x:c>
      <x:c r="F670" s="8">
        <x:v>334</x:v>
      </x:c>
      <x:c r="G670" s="10">
        <x:v>316214651</x:v>
      </x:c>
      <x:c r="H670" s="8">
        <x:v>334</x:v>
      </x:c>
      <x:c r="I670" s="8">
        <x:v>334</x:v>
      </x:c>
      <x:c r="J670" s="10">
        <x:v>316214651</x:v>
      </x:c>
      <x:c r="K670" s="5" t="s">
        <x:v>85</x:v>
      </x:c>
      <x:c r="L670" s="5">
        <x:v>2691</x:v>
      </x:c>
    </x:row>
    <x:row r="671" ht="22" customHeight="1">
      <x:c r="A671" s="1">
        <x:v>2025</x:v>
      </x:c>
      <x:c r="B671" s="1" t="s">
        <x:v>63</x:v>
      </x:c>
      <x:c r="C671" s="7" t="s">
        <x:v>64</x:v>
      </x:c>
      <x:c r="D671" s="1" t="s">
        <x:v>95</x:v>
      </x:c>
      <x:c r="E671" s="9">
        <x:v>1</x:v>
      </x:c>
      <x:c r="F671" s="9">
        <x:v>2</x:v>
      </x:c>
      <x:c r="G671" s="11">
        <x:v>3135968</x:v>
      </x:c>
      <x:c r="H671" s="9">
        <x:v>2</x:v>
      </x:c>
      <x:c r="I671" s="9">
        <x:v>1</x:v>
      </x:c>
      <x:c r="J671" s="11">
        <x:v>3135968</x:v>
      </x:c>
      <x:c r="K671" s="1" t="s">
        <x:v>85</x:v>
      </x:c>
      <x:c r="L671" s="1">
        <x:v>2691</x:v>
      </x:c>
    </x:row>
    <x:row r="672" ht="22" customHeight="1">
      <x:c r="A672" s="5">
        <x:v>2025</x:v>
      </x:c>
      <x:c r="B672" s="5" t="s">
        <x:v>63</x:v>
      </x:c>
      <x:c r="C672" s="6" t="s">
        <x:v>64</x:v>
      </x:c>
      <x:c r="D672" s="5" t="s">
        <x:v>96</x:v>
      </x:c>
      <x:c r="E672" s="8">
        <x:v>2</x:v>
      </x:c>
      <x:c r="F672" s="8">
        <x:v>8</x:v>
      </x:c>
      <x:c r="G672" s="10">
        <x:v>3483242</x:v>
      </x:c>
      <x:c r="H672" s="8">
        <x:v>8</x:v>
      </x:c>
      <x:c r="I672" s="8">
        <x:v>2</x:v>
      </x:c>
      <x:c r="J672" s="10">
        <x:v>3483242</x:v>
      </x:c>
      <x:c r="K672" s="5" t="s">
        <x:v>85</x:v>
      </x:c>
      <x:c r="L672" s="5">
        <x:v>2691</x:v>
      </x:c>
    </x:row>
    <x:row r="673" ht="22" customHeight="1">
      <x:c r="A673" s="1">
        <x:v>2025</x:v>
      </x:c>
      <x:c r="B673" s="1" t="s">
        <x:v>63</x:v>
      </x:c>
      <x:c r="C673" s="7" t="s">
        <x:v>64</x:v>
      </x:c>
      <x:c r="D673" s="1" t="s">
        <x:v>97</x:v>
      </x:c>
      <x:c r="E673" s="9">
        <x:v>8</x:v>
      </x:c>
      <x:c r="F673" s="9">
        <x:v>219</x:v>
      </x:c>
      <x:c r="G673" s="11">
        <x:v>80340026</x:v>
      </x:c>
      <x:c r="H673" s="9">
        <x:v>219</x:v>
      </x:c>
      <x:c r="I673" s="9">
        <x:v>8</x:v>
      </x:c>
      <x:c r="J673" s="11">
        <x:v>80340026</x:v>
      </x:c>
      <x:c r="K673" s="1" t="s">
        <x:v>85</x:v>
      </x:c>
      <x:c r="L673" s="1">
        <x:v>2691</x:v>
      </x:c>
    </x:row>
    <x:row r="674" ht="22" customHeight="1">
      <x:c r="A674" s="5">
        <x:v>2025</x:v>
      </x:c>
      <x:c r="B674" s="5" t="s">
        <x:v>65</x:v>
      </x:c>
      <x:c r="C674" s="6" t="s">
        <x:v>66</x:v>
      </x:c>
      <x:c r="D674" s="5" t="s">
        <x:v>94</x:v>
      </x:c>
      <x:c r="E674" s="8">
        <x:v>439</x:v>
      </x:c>
      <x:c r="F674" s="8">
        <x:v>439</x:v>
      </x:c>
      <x:c r="G674" s="10">
        <x:v>166219520</x:v>
      </x:c>
      <x:c r="H674" s="8">
        <x:v>432</x:v>
      </x:c>
      <x:c r="I674" s="8">
        <x:v>432</x:v>
      </x:c>
      <x:c r="J674" s="10">
        <x:v>163677645</x:v>
      </x:c>
      <x:c r="K674" s="5" t="s">
        <x:v>85</x:v>
      </x:c>
      <x:c r="L674" s="5">
        <x:v>2692</x:v>
      </x:c>
    </x:row>
    <x:row r="675" ht="22" customHeight="1">
      <x:c r="A675" s="1">
        <x:v>2025</x:v>
      </x:c>
      <x:c r="B675" s="1" t="s">
        <x:v>65</x:v>
      </x:c>
      <x:c r="C675" s="7" t="s">
        <x:v>66</x:v>
      </x:c>
      <x:c r="D675" s="1" t="s">
        <x:v>95</x:v>
      </x:c>
      <x:c r="E675" s="9">
        <x:v>4</x:v>
      </x:c>
      <x:c r="F675" s="9">
        <x:v>8</x:v>
      </x:c>
      <x:c r="G675" s="11">
        <x:v>2638011</x:v>
      </x:c>
      <x:c r="H675" s="9">
        <x:v>8</x:v>
      </x:c>
      <x:c r="I675" s="9">
        <x:v>4</x:v>
      </x:c>
      <x:c r="J675" s="11">
        <x:v>2638011</x:v>
      </x:c>
      <x:c r="K675" s="1" t="s">
        <x:v>85</x:v>
      </x:c>
      <x:c r="L675" s="1">
        <x:v>2692</x:v>
      </x:c>
    </x:row>
    <x:row r="676" ht="22" customHeight="1">
      <x:c r="A676" s="5">
        <x:v>2025</x:v>
      </x:c>
      <x:c r="B676" s="5" t="s">
        <x:v>65</x:v>
      </x:c>
      <x:c r="C676" s="6" t="s">
        <x:v>66</x:v>
      </x:c>
      <x:c r="D676" s="5" t="s">
        <x:v>96</x:v>
      </x:c>
      <x:c r="E676" s="8">
        <x:v>10</x:v>
      </x:c>
      <x:c r="F676" s="8">
        <x:v>39</x:v>
      </x:c>
      <x:c r="G676" s="10">
        <x:v>11220741</x:v>
      </x:c>
      <x:c r="H676" s="8">
        <x:v>39</x:v>
      </x:c>
      <x:c r="I676" s="8">
        <x:v>10</x:v>
      </x:c>
      <x:c r="J676" s="10">
        <x:v>11220741</x:v>
      </x:c>
      <x:c r="K676" s="5" t="s">
        <x:v>85</x:v>
      </x:c>
      <x:c r="L676" s="5">
        <x:v>2692</x:v>
      </x:c>
    </x:row>
    <x:row r="677" ht="22" customHeight="1">
      <x:c r="A677" s="1">
        <x:v>2025</x:v>
      </x:c>
      <x:c r="B677" s="1" t="s">
        <x:v>65</x:v>
      </x:c>
      <x:c r="C677" s="7" t="s">
        <x:v>66</x:v>
      </x:c>
      <x:c r="D677" s="1" t="s">
        <x:v>97</x:v>
      </x:c>
      <x:c r="E677" s="9">
        <x:v>7</x:v>
      </x:c>
      <x:c r="F677" s="9">
        <x:v>37</x:v>
      </x:c>
      <x:c r="G677" s="11">
        <x:v>11379178</x:v>
      </x:c>
      <x:c r="H677" s="9">
        <x:v>37</x:v>
      </x:c>
      <x:c r="I677" s="9">
        <x:v>7</x:v>
      </x:c>
      <x:c r="J677" s="11">
        <x:v>11379178</x:v>
      </x:c>
      <x:c r="K677" s="1" t="s">
        <x:v>85</x:v>
      </x:c>
      <x:c r="L677" s="1">
        <x:v>2692</x:v>
      </x:c>
    </x:row>
    <x:row r="678" ht="22" customHeight="1">
      <x:c r="A678" s="5">
        <x:v>2025</x:v>
      </x:c>
      <x:c r="B678" s="5" t="s">
        <x:v>67</x:v>
      </x:c>
      <x:c r="C678" s="6" t="s">
        <x:v>68</x:v>
      </x:c>
      <x:c r="D678" s="5" t="s">
        <x:v>94</x:v>
      </x:c>
      <x:c r="E678" s="8">
        <x:v>98</x:v>
      </x:c>
      <x:c r="F678" s="8">
        <x:v>98</x:v>
      </x:c>
      <x:c r="G678" s="10">
        <x:v>37938843</x:v>
      </x:c>
      <x:c r="H678" s="8">
        <x:v>98</x:v>
      </x:c>
      <x:c r="I678" s="8">
        <x:v>98</x:v>
      </x:c>
      <x:c r="J678" s="10">
        <x:v>37938843</x:v>
      </x:c>
      <x:c r="K678" s="5" t="s">
        <x:v>85</x:v>
      </x:c>
      <x:c r="L678" s="5">
        <x:v>2693</x:v>
      </x:c>
    </x:row>
    <x:row r="679" ht="22" customHeight="1">
      <x:c r="A679" s="1">
        <x:v>2025</x:v>
      </x:c>
      <x:c r="B679" s="1" t="s">
        <x:v>67</x:v>
      </x:c>
      <x:c r="C679" s="7" t="s">
        <x:v>68</x:v>
      </x:c>
      <x:c r="D679" s="1" t="s">
        <x:v>95</x:v>
      </x:c>
      <x:c r="E679" s="9">
        <x:v>0</x:v>
      </x:c>
      <x:c r="F679" s="9">
        <x:v>0</x:v>
      </x:c>
      <x:c r="G679" s="11">
        <x:v>0</x:v>
      </x:c>
      <x:c r="H679" s="9">
        <x:v>0</x:v>
      </x:c>
      <x:c r="I679" s="9">
        <x:v>0</x:v>
      </x:c>
      <x:c r="J679" s="11">
        <x:v>0</x:v>
      </x:c>
      <x:c r="K679" s="1" t="s">
        <x:v>85</x:v>
      </x:c>
      <x:c r="L679" s="1">
        <x:v>2693</x:v>
      </x:c>
    </x:row>
    <x:row r="680" ht="22" customHeight="1">
      <x:c r="A680" s="5">
        <x:v>2025</x:v>
      </x:c>
      <x:c r="B680" s="5" t="s">
        <x:v>67</x:v>
      </x:c>
      <x:c r="C680" s="6" t="s">
        <x:v>68</x:v>
      </x:c>
      <x:c r="D680" s="5" t="s">
        <x:v>96</x:v>
      </x:c>
      <x:c r="E680" s="8">
        <x:v>1</x:v>
      </x:c>
      <x:c r="F680" s="8">
        <x:v>4</x:v>
      </x:c>
      <x:c r="G680" s="10">
        <x:v>1227008</x:v>
      </x:c>
      <x:c r="H680" s="8">
        <x:v>4</x:v>
      </x:c>
      <x:c r="I680" s="8">
        <x:v>1</x:v>
      </x:c>
      <x:c r="J680" s="10">
        <x:v>1227008</x:v>
      </x:c>
      <x:c r="K680" s="5" t="s">
        <x:v>85</x:v>
      </x:c>
      <x:c r="L680" s="5">
        <x:v>2693</x:v>
      </x:c>
    </x:row>
    <x:row r="681" ht="22" customHeight="1">
      <x:c r="A681" s="1">
        <x:v>2025</x:v>
      </x:c>
      <x:c r="B681" s="1" t="s">
        <x:v>67</x:v>
      </x:c>
      <x:c r="C681" s="7" t="s">
        <x:v>68</x:v>
      </x:c>
      <x:c r="D681" s="1" t="s">
        <x:v>97</x:v>
      </x:c>
      <x:c r="E681" s="9">
        <x:v>3</x:v>
      </x:c>
      <x:c r="F681" s="9">
        <x:v>68</x:v>
      </x:c>
      <x:c r="G681" s="11">
        <x:v>9000000</x:v>
      </x:c>
      <x:c r="H681" s="9">
        <x:v>68</x:v>
      </x:c>
      <x:c r="I681" s="9">
        <x:v>3</x:v>
      </x:c>
      <x:c r="J681" s="11">
        <x:v>9000000</x:v>
      </x:c>
      <x:c r="K681" s="1" t="s">
        <x:v>85</x:v>
      </x:c>
      <x:c r="L681" s="1">
        <x:v>2693</x:v>
      </x:c>
    </x:row>
    <x:row r="682" ht="22" customHeight="1">
      <x:c r="A682" s="5">
        <x:v>2025</x:v>
      </x:c>
      <x:c r="B682" s="5" t="s">
        <x:v>69</x:v>
      </x:c>
      <x:c r="C682" s="6" t="s">
        <x:v>70</x:v>
      </x:c>
      <x:c r="D682" s="5" t="s">
        <x:v>94</x:v>
      </x:c>
      <x:c r="E682" s="8">
        <x:v>5324</x:v>
      </x:c>
      <x:c r="F682" s="8">
        <x:v>5324</x:v>
      </x:c>
      <x:c r="G682" s="10">
        <x:v>1782326563</x:v>
      </x:c>
      <x:c r="H682" s="8">
        <x:v>5294</x:v>
      </x:c>
      <x:c r="I682" s="8">
        <x:v>5294</x:v>
      </x:c>
      <x:c r="J682" s="10">
        <x:v>1754018661</x:v>
      </x:c>
      <x:c r="K682" s="5" t="s">
        <x:v>85</x:v>
      </x:c>
      <x:c r="L682" s="5">
        <x:v>2694</x:v>
      </x:c>
    </x:row>
    <x:row r="683" ht="22" customHeight="1">
      <x:c r="A683" s="1">
        <x:v>2025</x:v>
      </x:c>
      <x:c r="B683" s="1" t="s">
        <x:v>69</x:v>
      </x:c>
      <x:c r="C683" s="7" t="s">
        <x:v>70</x:v>
      </x:c>
      <x:c r="D683" s="1" t="s">
        <x:v>95</x:v>
      </x:c>
      <x:c r="E683" s="9">
        <x:v>11</x:v>
      </x:c>
      <x:c r="F683" s="9">
        <x:v>22</x:v>
      </x:c>
      <x:c r="G683" s="11">
        <x:v>5426800</x:v>
      </x:c>
      <x:c r="H683" s="9">
        <x:v>22</x:v>
      </x:c>
      <x:c r="I683" s="9">
        <x:v>11</x:v>
      </x:c>
      <x:c r="J683" s="11">
        <x:v>5426800</x:v>
      </x:c>
      <x:c r="K683" s="1" t="s">
        <x:v>85</x:v>
      </x:c>
      <x:c r="L683" s="1">
        <x:v>2694</x:v>
      </x:c>
    </x:row>
    <x:row r="684" ht="22" customHeight="1">
      <x:c r="A684" s="5">
        <x:v>2025</x:v>
      </x:c>
      <x:c r="B684" s="5" t="s">
        <x:v>69</x:v>
      </x:c>
      <x:c r="C684" s="6" t="s">
        <x:v>70</x:v>
      </x:c>
      <x:c r="D684" s="5" t="s">
        <x:v>96</x:v>
      </x:c>
      <x:c r="E684" s="8">
        <x:v>45</x:v>
      </x:c>
      <x:c r="F684" s="8">
        <x:v>169</x:v>
      </x:c>
      <x:c r="G684" s="10">
        <x:v>35810197</x:v>
      </x:c>
      <x:c r="H684" s="8">
        <x:v>169</x:v>
      </x:c>
      <x:c r="I684" s="8">
        <x:v>45</x:v>
      </x:c>
      <x:c r="J684" s="10">
        <x:v>35810197</x:v>
      </x:c>
      <x:c r="K684" s="5" t="s">
        <x:v>85</x:v>
      </x:c>
      <x:c r="L684" s="5">
        <x:v>2694</x:v>
      </x:c>
    </x:row>
    <x:row r="685" ht="22" customHeight="1">
      <x:c r="A685" s="1">
        <x:v>2025</x:v>
      </x:c>
      <x:c r="B685" s="1" t="s">
        <x:v>69</x:v>
      </x:c>
      <x:c r="C685" s="7" t="s">
        <x:v>70</x:v>
      </x:c>
      <x:c r="D685" s="1" t="s">
        <x:v>97</x:v>
      </x:c>
      <x:c r="E685" s="9">
        <x:v>145</x:v>
      </x:c>
      <x:c r="F685" s="9">
        <x:v>1687</x:v>
      </x:c>
      <x:c r="G685" s="11">
        <x:v>278948299</x:v>
      </x:c>
      <x:c r="H685" s="9">
        <x:v>1687</x:v>
      </x:c>
      <x:c r="I685" s="9">
        <x:v>145</x:v>
      </x:c>
      <x:c r="J685" s="11">
        <x:v>278948299</x:v>
      </x:c>
      <x:c r="K685" s="1" t="s">
        <x:v>85</x:v>
      </x:c>
      <x:c r="L685" s="1">
        <x:v>2694</x:v>
      </x:c>
    </x:row>
    <x:row r="686" ht="22" customHeight="1">
      <x:c r="A686" s="5">
        <x:v>2025</x:v>
      </x:c>
      <x:c r="B686" s="5" t="s">
        <x:v>71</x:v>
      </x:c>
      <x:c r="C686" s="6" t="s">
        <x:v>72</x:v>
      </x:c>
      <x:c r="D686" s="5" t="s">
        <x:v>94</x:v>
      </x:c>
      <x:c r="E686" s="8">
        <x:v>786</x:v>
      </x:c>
      <x:c r="F686" s="8">
        <x:v>786</x:v>
      </x:c>
      <x:c r="G686" s="10">
        <x:v>728972938</x:v>
      </x:c>
      <x:c r="H686" s="8">
        <x:v>758</x:v>
      </x:c>
      <x:c r="I686" s="8">
        <x:v>758</x:v>
      </x:c>
      <x:c r="J686" s="10">
        <x:v>701960751</x:v>
      </x:c>
      <x:c r="K686" s="5" t="s">
        <x:v>85</x:v>
      </x:c>
      <x:c r="L686" s="5">
        <x:v>2695</x:v>
      </x:c>
    </x:row>
    <x:row r="687" ht="22" customHeight="1">
      <x:c r="A687" s="1">
        <x:v>2025</x:v>
      </x:c>
      <x:c r="B687" s="1" t="s">
        <x:v>71</x:v>
      </x:c>
      <x:c r="C687" s="7" t="s">
        <x:v>72</x:v>
      </x:c>
      <x:c r="D687" s="1" t="s">
        <x:v>95</x:v>
      </x:c>
      <x:c r="E687" s="9">
        <x:v>0</x:v>
      </x:c>
      <x:c r="F687" s="9">
        <x:v>0</x:v>
      </x:c>
      <x:c r="G687" s="11">
        <x:v>0</x:v>
      </x:c>
      <x:c r="H687" s="9">
        <x:v>0</x:v>
      </x:c>
      <x:c r="I687" s="9">
        <x:v>0</x:v>
      </x:c>
      <x:c r="J687" s="11">
        <x:v>0</x:v>
      </x:c>
      <x:c r="K687" s="1" t="s">
        <x:v>85</x:v>
      </x:c>
      <x:c r="L687" s="1">
        <x:v>2695</x:v>
      </x:c>
    </x:row>
    <x:row r="688" ht="22" customHeight="1">
      <x:c r="A688" s="5">
        <x:v>2025</x:v>
      </x:c>
      <x:c r="B688" s="5" t="s">
        <x:v>71</x:v>
      </x:c>
      <x:c r="C688" s="6" t="s">
        <x:v>72</x:v>
      </x:c>
      <x:c r="D688" s="5" t="s">
        <x:v>96</x:v>
      </x:c>
      <x:c r="E688" s="8">
        <x:v>0</x:v>
      </x:c>
      <x:c r="F688" s="8">
        <x:v>0</x:v>
      </x:c>
      <x:c r="G688" s="10">
        <x:v>0</x:v>
      </x:c>
      <x:c r="H688" s="8">
        <x:v>0</x:v>
      </x:c>
      <x:c r="I688" s="8">
        <x:v>0</x:v>
      </x:c>
      <x:c r="J688" s="10">
        <x:v>0</x:v>
      </x:c>
      <x:c r="K688" s="5" t="s">
        <x:v>85</x:v>
      </x:c>
      <x:c r="L688" s="5">
        <x:v>2695</x:v>
      </x:c>
    </x:row>
    <x:row r="689" ht="22" customHeight="1">
      <x:c r="A689" s="1">
        <x:v>2025</x:v>
      </x:c>
      <x:c r="B689" s="1" t="s">
        <x:v>71</x:v>
      </x:c>
      <x:c r="C689" s="7" t="s">
        <x:v>72</x:v>
      </x:c>
      <x:c r="D689" s="1" t="s">
        <x:v>97</x:v>
      </x:c>
      <x:c r="E689" s="9">
        <x:v>8</x:v>
      </x:c>
      <x:c r="F689" s="9">
        <x:v>342</x:v>
      </x:c>
      <x:c r="G689" s="11">
        <x:v>62026492</x:v>
      </x:c>
      <x:c r="H689" s="9">
        <x:v>342</x:v>
      </x:c>
      <x:c r="I689" s="9">
        <x:v>8</x:v>
      </x:c>
      <x:c r="J689" s="11">
        <x:v>62026492</x:v>
      </x:c>
      <x:c r="K689" s="1" t="s">
        <x:v>85</x:v>
      </x:c>
      <x:c r="L689" s="1">
        <x:v>2695</x:v>
      </x:c>
    </x:row>
    <x:row r="690" ht="22" customHeight="1">
      <x:c r="A690" s="5">
        <x:v>2025</x:v>
      </x:c>
      <x:c r="B690" s="5" t="s">
        <x:v>73</x:v>
      </x:c>
      <x:c r="C690" s="6" t="s">
        <x:v>74</x:v>
      </x:c>
      <x:c r="D690" s="5" t="s">
        <x:v>94</x:v>
      </x:c>
      <x:c r="E690" s="8">
        <x:v>2497</x:v>
      </x:c>
      <x:c r="F690" s="8">
        <x:v>2497</x:v>
      </x:c>
      <x:c r="G690" s="10">
        <x:v>607103625</x:v>
      </x:c>
      <x:c r="H690" s="8">
        <x:v>2475</x:v>
      </x:c>
      <x:c r="I690" s="8">
        <x:v>2475</x:v>
      </x:c>
      <x:c r="J690" s="10">
        <x:v>603310585</x:v>
      </x:c>
      <x:c r="K690" s="5" t="s">
        <x:v>85</x:v>
      </x:c>
      <x:c r="L690" s="5">
        <x:v>2696</x:v>
      </x:c>
    </x:row>
    <x:row r="691" ht="22" customHeight="1">
      <x:c r="A691" s="1">
        <x:v>2025</x:v>
      </x:c>
      <x:c r="B691" s="1" t="s">
        <x:v>73</x:v>
      </x:c>
      <x:c r="C691" s="7" t="s">
        <x:v>74</x:v>
      </x:c>
      <x:c r="D691" s="1" t="s">
        <x:v>95</x:v>
      </x:c>
      <x:c r="E691" s="9">
        <x:v>5</x:v>
      </x:c>
      <x:c r="F691" s="9">
        <x:v>10</x:v>
      </x:c>
      <x:c r="G691" s="11">
        <x:v>2320946</x:v>
      </x:c>
      <x:c r="H691" s="9">
        <x:v>10</x:v>
      </x:c>
      <x:c r="I691" s="9">
        <x:v>5</x:v>
      </x:c>
      <x:c r="J691" s="11">
        <x:v>2320946</x:v>
      </x:c>
      <x:c r="K691" s="1" t="s">
        <x:v>85</x:v>
      </x:c>
      <x:c r="L691" s="1">
        <x:v>2696</x:v>
      </x:c>
    </x:row>
    <x:row r="692" ht="22" customHeight="1">
      <x:c r="A692" s="5">
        <x:v>2025</x:v>
      </x:c>
      <x:c r="B692" s="5" t="s">
        <x:v>73</x:v>
      </x:c>
      <x:c r="C692" s="6" t="s">
        <x:v>74</x:v>
      </x:c>
      <x:c r="D692" s="5" t="s">
        <x:v>96</x:v>
      </x:c>
      <x:c r="E692" s="8">
        <x:v>6</x:v>
      </x:c>
      <x:c r="F692" s="8">
        <x:v>24</x:v>
      </x:c>
      <x:c r="G692" s="10">
        <x:v>7181263</x:v>
      </x:c>
      <x:c r="H692" s="8">
        <x:v>24</x:v>
      </x:c>
      <x:c r="I692" s="8">
        <x:v>6</x:v>
      </x:c>
      <x:c r="J692" s="10">
        <x:v>7181263</x:v>
      </x:c>
      <x:c r="K692" s="5" t="s">
        <x:v>85</x:v>
      </x:c>
      <x:c r="L692" s="5">
        <x:v>2696</x:v>
      </x:c>
    </x:row>
    <x:row r="693" ht="22" customHeight="1">
      <x:c r="A693" s="1">
        <x:v>2025</x:v>
      </x:c>
      <x:c r="B693" s="1" t="s">
        <x:v>73</x:v>
      </x:c>
      <x:c r="C693" s="7" t="s">
        <x:v>74</x:v>
      </x:c>
      <x:c r="D693" s="1" t="s">
        <x:v>97</x:v>
      </x:c>
      <x:c r="E693" s="9">
        <x:v>20</x:v>
      </x:c>
      <x:c r="F693" s="9">
        <x:v>326</x:v>
      </x:c>
      <x:c r="G693" s="11">
        <x:v>39412227</x:v>
      </x:c>
      <x:c r="H693" s="9">
        <x:v>326</x:v>
      </x:c>
      <x:c r="I693" s="9">
        <x:v>20</x:v>
      </x:c>
      <x:c r="J693" s="11">
        <x:v>39412227</x:v>
      </x:c>
      <x:c r="K693" s="1" t="s">
        <x:v>85</x:v>
      </x:c>
      <x:c r="L693" s="1">
        <x:v>2696</x:v>
      </x:c>
    </x:row>
    <x:row r="694" ht="22" customHeight="1">
      <x:c r="A694" s="5">
        <x:v>2025</x:v>
      </x:c>
      <x:c r="B694" s="5" t="s">
        <x:v>75</x:v>
      </x:c>
      <x:c r="C694" s="6" t="s">
        <x:v>76</x:v>
      </x:c>
      <x:c r="D694" s="5" t="s">
        <x:v>94</x:v>
      </x:c>
      <x:c r="E694" s="8">
        <x:v>29</x:v>
      </x:c>
      <x:c r="F694" s="8">
        <x:v>29</x:v>
      </x:c>
      <x:c r="G694" s="10">
        <x:v>10893780</x:v>
      </x:c>
      <x:c r="H694" s="8">
        <x:v>29</x:v>
      </x:c>
      <x:c r="I694" s="8">
        <x:v>29</x:v>
      </x:c>
      <x:c r="J694" s="10">
        <x:v>10893780</x:v>
      </x:c>
      <x:c r="K694" s="5" t="s">
        <x:v>85</x:v>
      </x:c>
      <x:c r="L694" s="5">
        <x:v>2697</x:v>
      </x:c>
    </x:row>
    <x:row r="695" ht="22" customHeight="1">
      <x:c r="A695" s="1">
        <x:v>2025</x:v>
      </x:c>
      <x:c r="B695" s="1" t="s">
        <x:v>75</x:v>
      </x:c>
      <x:c r="C695" s="7" t="s">
        <x:v>76</x:v>
      </x:c>
      <x:c r="D695" s="1" t="s">
        <x:v>95</x:v>
      </x:c>
      <x:c r="E695" s="9">
        <x:v>0</x:v>
      </x:c>
      <x:c r="F695" s="9">
        <x:v>0</x:v>
      </x:c>
      <x:c r="G695" s="11">
        <x:v>0</x:v>
      </x:c>
      <x:c r="H695" s="9">
        <x:v>0</x:v>
      </x:c>
      <x:c r="I695" s="9">
        <x:v>0</x:v>
      </x:c>
      <x:c r="J695" s="11">
        <x:v>0</x:v>
      </x:c>
      <x:c r="K695" s="1" t="s">
        <x:v>85</x:v>
      </x:c>
      <x:c r="L695" s="1">
        <x:v>2697</x:v>
      </x:c>
    </x:row>
    <x:row r="696" ht="22" customHeight="1">
      <x:c r="A696" s="5">
        <x:v>2025</x:v>
      </x:c>
      <x:c r="B696" s="5" t="s">
        <x:v>75</x:v>
      </x:c>
      <x:c r="C696" s="6" t="s">
        <x:v>76</x:v>
      </x:c>
      <x:c r="D696" s="5" t="s">
        <x:v>96</x:v>
      </x:c>
      <x:c r="E696" s="8">
        <x:v>0</x:v>
      </x:c>
      <x:c r="F696" s="8">
        <x:v>0</x:v>
      </x:c>
      <x:c r="G696" s="10">
        <x:v>0</x:v>
      </x:c>
      <x:c r="H696" s="8">
        <x:v>0</x:v>
      </x:c>
      <x:c r="I696" s="8">
        <x:v>0</x:v>
      </x:c>
      <x:c r="J696" s="10">
        <x:v>0</x:v>
      </x:c>
      <x:c r="K696" s="5" t="s">
        <x:v>85</x:v>
      </x:c>
      <x:c r="L696" s="5">
        <x:v>2697</x:v>
      </x:c>
    </x:row>
    <x:row r="697" ht="22" customHeight="1">
      <x:c r="A697" s="1">
        <x:v>2025</x:v>
      </x:c>
      <x:c r="B697" s="1" t="s">
        <x:v>75</x:v>
      </x:c>
      <x:c r="C697" s="7" t="s">
        <x:v>76</x:v>
      </x:c>
      <x:c r="D697" s="1" t="s">
        <x:v>97</x:v>
      </x:c>
      <x:c r="E697" s="9">
        <x:v>0</x:v>
      </x:c>
      <x:c r="F697" s="9">
        <x:v>0</x:v>
      </x:c>
      <x:c r="G697" s="11">
        <x:v>0</x:v>
      </x:c>
      <x:c r="H697" s="9">
        <x:v>0</x:v>
      </x:c>
      <x:c r="I697" s="9">
        <x:v>0</x:v>
      </x:c>
      <x:c r="J697" s="11">
        <x:v>0</x:v>
      </x:c>
      <x:c r="K697" s="1" t="s">
        <x:v>85</x:v>
      </x:c>
      <x:c r="L697" s="1">
        <x:v>2697</x:v>
      </x:c>
    </x:row>
    <x:row r="698" ht="22" customHeight="1">
      <x:c r="A698" s="5">
        <x:v>2025</x:v>
      </x:c>
      <x:c r="B698" s="5" t="s">
        <x:v>77</x:v>
      </x:c>
      <x:c r="C698" s="6" t="s">
        <x:v>78</x:v>
      </x:c>
      <x:c r="D698" s="5" t="s">
        <x:v>94</x:v>
      </x:c>
      <x:c r="E698" s="8">
        <x:v>813</x:v>
      </x:c>
      <x:c r="F698" s="8">
        <x:v>813</x:v>
      </x:c>
      <x:c r="G698" s="10">
        <x:v>313976308</x:v>
      </x:c>
      <x:c r="H698" s="8">
        <x:v>516</x:v>
      </x:c>
      <x:c r="I698" s="8">
        <x:v>516</x:v>
      </x:c>
      <x:c r="J698" s="10">
        <x:v>223407972</x:v>
      </x:c>
      <x:c r="K698" s="5" t="s">
        <x:v>85</x:v>
      </x:c>
      <x:c r="L698" s="5">
        <x:v>2698</x:v>
      </x:c>
    </x:row>
    <x:row r="699" ht="22" customHeight="1">
      <x:c r="A699" s="1">
        <x:v>2025</x:v>
      </x:c>
      <x:c r="B699" s="1" t="s">
        <x:v>77</x:v>
      </x:c>
      <x:c r="C699" s="7" t="s">
        <x:v>78</x:v>
      </x:c>
      <x:c r="D699" s="1" t="s">
        <x:v>95</x:v>
      </x:c>
      <x:c r="E699" s="9">
        <x:v>3</x:v>
      </x:c>
      <x:c r="F699" s="9">
        <x:v>6</x:v>
      </x:c>
      <x:c r="G699" s="11">
        <x:v>1138764</x:v>
      </x:c>
      <x:c r="H699" s="9">
        <x:v>0</x:v>
      </x:c>
      <x:c r="I699" s="9">
        <x:v>0</x:v>
      </x:c>
      <x:c r="J699" s="11">
        <x:v>0</x:v>
      </x:c>
      <x:c r="K699" s="1" t="s">
        <x:v>85</x:v>
      </x:c>
      <x:c r="L699" s="1">
        <x:v>2698</x:v>
      </x:c>
    </x:row>
    <x:row r="700" ht="22" customHeight="1">
      <x:c r="A700" s="5">
        <x:v>2025</x:v>
      </x:c>
      <x:c r="B700" s="5" t="s">
        <x:v>77</x:v>
      </x:c>
      <x:c r="C700" s="6" t="s">
        <x:v>78</x:v>
      </x:c>
      <x:c r="D700" s="5" t="s">
        <x:v>96</x:v>
      </x:c>
      <x:c r="E700" s="8">
        <x:v>16</x:v>
      </x:c>
      <x:c r="F700" s="8">
        <x:v>57</x:v>
      </x:c>
      <x:c r="G700" s="10">
        <x:v>12534421</x:v>
      </x:c>
      <x:c r="H700" s="8">
        <x:v>57</x:v>
      </x:c>
      <x:c r="I700" s="8">
        <x:v>16</x:v>
      </x:c>
      <x:c r="J700" s="10">
        <x:v>12534421</x:v>
      </x:c>
      <x:c r="K700" s="5" t="s">
        <x:v>85</x:v>
      </x:c>
      <x:c r="L700" s="5">
        <x:v>2698</x:v>
      </x:c>
    </x:row>
    <x:row r="701" ht="22" customHeight="1">
      <x:c r="A701" s="1">
        <x:v>2025</x:v>
      </x:c>
      <x:c r="B701" s="1" t="s">
        <x:v>77</x:v>
      </x:c>
      <x:c r="C701" s="7" t="s">
        <x:v>78</x:v>
      </x:c>
      <x:c r="D701" s="1" t="s">
        <x:v>97</x:v>
      </x:c>
      <x:c r="E701" s="9">
        <x:v>57</x:v>
      </x:c>
      <x:c r="F701" s="9">
        <x:v>614</x:v>
      </x:c>
      <x:c r="G701" s="11">
        <x:v>114896883</x:v>
      </x:c>
      <x:c r="H701" s="9">
        <x:v>272</x:v>
      </x:c>
      <x:c r="I701" s="9">
        <x:v>42</x:v>
      </x:c>
      <x:c r="J701" s="11">
        <x:v>62117279</x:v>
      </x:c>
      <x:c r="K701" s="1" t="s">
        <x:v>85</x:v>
      </x:c>
      <x:c r="L701" s="1">
        <x:v>2698</x:v>
      </x:c>
    </x:row>
  </x:sheetData>
  <x:pageMargins left="0.7" right="0.7" top="0.75" bottom="0.75" header="0.3" footer="0.3"/>
  <x:tableParts count="1">
    <x:tablePart xmlns:r="http://schemas.openxmlformats.org/officeDocument/2006/relationships" r:id="Rd72742e3c54b4c84"/>
  </x:tableParts>
</x:worksheet>
</file>

<file path=xl/worksheets/sheet4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4.5"/>
  <x:cols>
    <x:col min="1" max="1" width="19.7265625" customWidth="1"/>
    <x:col min="2" max="2" width="36.26953125" customWidth="1"/>
    <x:col min="3" max="3" width="77.453125" customWidth="1"/>
    <x:col min="4" max="4" width="32" customWidth="1"/>
    <x:col min="5" max="5" width="32.453125" customWidth="1"/>
    <x:col min="6" max="6" width="60.6328125" customWidth="1"/>
  </x:cols>
  <x:sheetData>
    <x:row r="1" ht="30" customHeight="1">
      <x:c r="A1" s="2" t="s">
        <x:v>98</x:v>
      </x:c>
      <x:c r="B1" s="1"/>
      <x:c r="C1" s="1"/>
      <x:c r="D1" s="1"/>
      <x:c r="E1" s="1"/>
      <x:c r="F1" s="1"/>
    </x:row>
    <x:row r="2" ht="22" customHeight="1">
      <x:c r="A2" s="3" t="s">
        <x:v>99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22" customHeight="1">
      <x:c r="A4" s="1"/>
      <x:c r="B4" s="1"/>
      <x:c r="C4" s="1"/>
      <x:c r="D4" s="1"/>
      <x:c r="E4" s="1"/>
      <x:c r="F4" s="1"/>
    </x:row>
    <x:row r="5" ht="42" customHeight="1">
      <x:c r="A5" s="4" t="s">
        <x:v>16</x:v>
      </x:c>
      <x:c r="B5" s="4" t="s">
        <x:v>100</x:v>
      </x:c>
      <x:c r="C5" s="4" t="s">
        <x:v>101</x:v>
      </x:c>
      <x:c r="D5" s="4" t="s">
        <x:v>102</x:v>
      </x:c>
      <x:c r="E5" s="4" t="s">
        <x:v>103</x:v>
      </x:c>
      <x:c r="F5" s="4" t="s">
        <x:v>104</x:v>
      </x:c>
    </x:row>
    <x:row r="6" ht="48" customHeight="1">
      <x:c r="A6" s="16" t="s">
        <x:v>22</x:v>
      </x:c>
      <x:c r="B6" s="16" t="s">
        <x:v>105</x:v>
      </x:c>
      <x:c r="C6" s="16" t="s">
        <x:v>106</x:v>
      </x:c>
      <x:c r="D6" s="16" t="s">
        <x:v>107</x:v>
      </x:c>
      <x:c r="E6" s="26">
        <x:v>46296.834509826389</x:v>
      </x:c>
      <x:c r="F6" s="16" t="s">
        <x:v>108</x:v>
      </x:c>
    </x:row>
    <x:row r="7" ht="48" customHeight="1">
      <x:c r="A7" s="17" t="s">
        <x:v>109</x:v>
      </x:c>
      <x:c r="B7" s="17" t="s">
        <x:v>110</x:v>
      </x:c>
      <x:c r="C7" s="17" t="s">
        <x:v>111</x:v>
      </x:c>
      <x:c r="D7" s="17" t="s">
        <x:v>112</x:v>
      </x:c>
      <x:c r="E7" s="27">
        <x:v>46296.834511655092</x:v>
      </x:c>
      <x:c r="F7" s="17" t="s">
        <x:v>113</x:v>
      </x:c>
    </x:row>
    <x:row r="8" ht="48" customHeight="1">
      <x:c r="A8" s="16" t="s">
        <x:v>80</x:v>
      </x:c>
      <x:c r="B8" s="16" t="s">
        <x:v>114</x:v>
      </x:c>
      <x:c r="C8" s="16" t="s">
        <x:v>115</x:v>
      </x:c>
      <x:c r="D8" s="16" t="s">
        <x:v>116</x:v>
      </x:c>
      <x:c r="E8" s="26">
        <x:v>46296.834510914348</x:v>
      </x:c>
      <x:c r="F8" s="16" t="s">
        <x:v>117</x:v>
      </x:c>
    </x:row>
    <x:row r="9" ht="48" customHeight="1">
      <x:c r="A9" s="17" t="s">
        <x:v>118</x:v>
      </x:c>
      <x:c r="B9" s="17" t="s">
        <x:v>119</x:v>
      </x:c>
      <x:c r="C9" s="17" t="s">
        <x:v>120</x:v>
      </x:c>
      <x:c r="D9" s="17" t="s">
        <x:v>121</x:v>
      </x:c>
      <x:c r="E9" s="27">
        <x:v>46296.834509699074</x:v>
      </x:c>
      <x:c r="F9" s="17" t="s">
        <x:v>122</x:v>
      </x:c>
    </x:row>
    <x:row r="10" ht="48" customHeight="1">
      <x:c r="A10" s="16" t="s">
        <x:v>81</x:v>
      </x:c>
      <x:c r="B10" s="16" t="s">
        <x:v>123</x:v>
      </x:c>
      <x:c r="C10" s="16" t="s">
        <x:v>124</x:v>
      </x:c>
      <x:c r="D10" s="16" t="s">
        <x:v>125</x:v>
      </x:c>
      <x:c r="E10" s="26">
        <x:v>46296.83451390046</x:v>
      </x:c>
      <x:c r="F10" s="16" t="s">
        <x:v>126</x:v>
      </x:c>
    </x:row>
    <x:row r="11" ht="48" customHeight="1">
      <x:c r="A11" s="17" t="s">
        <x:v>127</x:v>
      </x:c>
      <x:c r="B11" s="17" t="s">
        <x:v>128</x:v>
      </x:c>
      <x:c r="C11" s="17" t="s">
        <x:v>129</x:v>
      </x:c>
      <x:c r="D11" s="17" t="s">
        <x:v>130</x:v>
      </x:c>
      <x:c r="E11" s="27">
        <x:v>46296.834511956018</x:v>
      </x:c>
      <x:c r="F11" s="17" t="s">
        <x:v>131</x:v>
      </x:c>
    </x:row>
    <x:row r="12" ht="48" customHeight="1">
      <x:c r="A12" s="16" t="s">
        <x:v>83</x:v>
      </x:c>
      <x:c r="B12" s="16" t="s">
        <x:v>132</x:v>
      </x:c>
      <x:c r="C12" s="16" t="s">
        <x:v>133</x:v>
      </x:c>
      <x:c r="D12" s="16" t="s">
        <x:v>134</x:v>
      </x:c>
      <x:c r="E12" s="26">
        <x:v>46296.83451335648</x:v>
      </x:c>
      <x:c r="F12" s="16" t="s">
        <x:v>135</x:v>
      </x:c>
    </x:row>
    <x:row r="13" ht="48" customHeight="1">
      <x:c r="A13" s="17" t="s">
        <x:v>136</x:v>
      </x:c>
      <x:c r="B13" s="17" t="s">
        <x:v>137</x:v>
      </x:c>
      <x:c r="C13" s="17" t="s">
        <x:v>138</x:v>
      </x:c>
      <x:c r="D13" s="17" t="s">
        <x:v>139</x:v>
      </x:c>
      <x:c r="E13" s="27">
        <x:v>46296.834514085647</x:v>
      </x:c>
      <x:c r="F13" s="17" t="s">
        <x:v>140</x:v>
      </x:c>
    </x:row>
    <x:row r="14" ht="48" customHeight="1">
      <x:c r="A14" s="16" t="s">
        <x:v>84</x:v>
      </x:c>
      <x:c r="B14" s="16" t="s">
        <x:v>141</x:v>
      </x:c>
      <x:c r="C14" s="16" t="s">
        <x:v>142</x:v>
      </x:c>
      <x:c r="D14" s="16" t="s">
        <x:v>143</x:v>
      </x:c>
      <x:c r="E14" s="26">
        <x:v>46296.834514259259</x:v>
      </x:c>
      <x:c r="F14" s="16" t="s">
        <x:v>144</x:v>
      </x:c>
    </x:row>
    <x:row r="15" ht="48" customHeight="1">
      <x:c r="A15" s="17" t="s">
        <x:v>145</x:v>
      </x:c>
      <x:c r="B15" s="17" t="s">
        <x:v>146</x:v>
      </x:c>
      <x:c r="C15" s="17" t="s">
        <x:v>147</x:v>
      </x:c>
      <x:c r="D15" s="17" t="s">
        <x:v>148</x:v>
      </x:c>
      <x:c r="E15" s="27">
        <x:v>46296.83451552083</x:v>
      </x:c>
      <x:c r="F15" s="17" t="s">
        <x:v>149</x:v>
      </x:c>
    </x:row>
    <x:row r="16" ht="48" customHeight="1">
      <x:c r="A16" s="16" t="s">
        <x:v>85</x:v>
      </x:c>
      <x:c r="B16" s="16" t="s">
        <x:v>150</x:v>
      </x:c>
      <x:c r="C16" s="16" t="s">
        <x:v>151</x:v>
      </x:c>
      <x:c r="D16" s="16" t="s">
        <x:v>152</x:v>
      </x:c>
      <x:c r="E16" s="26">
        <x:v>46296.83451601852</x:v>
      </x:c>
      <x:c r="F16" s="16" t="s">
        <x:v>153</x:v>
      </x:c>
    </x:row>
    <x:row r="17" ht="48" customHeight="1">
      <x:c r="A17" s="17" t="s">
        <x:v>154</x:v>
      </x:c>
      <x:c r="B17" s="17" t="s">
        <x:v>155</x:v>
      </x:c>
      <x:c r="C17" s="17" t="s">
        <x:v>156</x:v>
      </x:c>
      <x:c r="D17" s="17" t="s">
        <x:v>157</x:v>
      </x:c>
      <x:c r="E17" s="27">
        <x:v>46296.83451601852</x:v>
      </x:c>
      <x:c r="F17" s="17" t="s">
        <x:v>158</x:v>
      </x:c>
    </x:row>
    <x:row r="18" ht="48" customHeight="1">
      <x:c r="A18" s="16" t="s">
        <x:v>159</x:v>
      </x:c>
      <x:c r="B18" s="16" t="s">
        <x:v>160</x:v>
      </x:c>
      <x:c r="C18" s="16" t="s">
        <x:v>161</x:v>
      </x:c>
      <x:c r="D18" s="16" t="s">
        <x:v>162</x:v>
      </x:c>
      <x:c r="E18" s="26">
        <x:v>46296.834520532408</x:v>
      </x:c>
      <x:c r="F18" s="16" t="s">
        <x:v>163</x:v>
      </x:c>
    </x:row>
    <x:row r="19" ht="48" customHeight="1">
      <x:c r="A19" s="17" t="s">
        <x:v>164</x:v>
      </x:c>
      <x:c r="B19" s="17" t="s">
        <x:v>165</x:v>
      </x:c>
      <x:c r="C19" s="17" t="s">
        <x:v>166</x:v>
      </x:c>
      <x:c r="D19" s="17" t="s">
        <x:v>167</x:v>
      </x:c>
      <x:c r="E19" s="27">
        <x:v>46296.834518402778</x:v>
      </x:c>
      <x:c r="F19" s="17" t="s">
        <x:v>168</x:v>
      </x:c>
    </x:row>
    <x:row r="20" ht="48" customHeight="1">
      <x:c r="A20" s="16" t="s">
        <x:v>169</x:v>
      </x:c>
      <x:c r="B20" s="16" t="s">
        <x:v>170</x:v>
      </x:c>
      <x:c r="C20" s="16" t="s">
        <x:v>171</x:v>
      </x:c>
      <x:c r="D20" s="16" t="s">
        <x:v>172</x:v>
      </x:c>
      <x:c r="E20" s="26">
        <x:v>46296.834517928241</x:v>
      </x:c>
      <x:c r="F20" s="16" t="s">
        <x:v>173</x:v>
      </x:c>
    </x:row>
    <x:row r="21" ht="48" customHeight="1">
      <x:c r="A21" s="17" t="s">
        <x:v>174</x:v>
      </x:c>
      <x:c r="B21" s="17" t="s">
        <x:v>175</x:v>
      </x:c>
      <x:c r="C21" s="17" t="s">
        <x:v>176</x:v>
      </x:c>
      <x:c r="D21" s="17" t="s">
        <x:v>177</x:v>
      </x:c>
      <x:c r="E21" s="27">
        <x:v>46296.836872662039</x:v>
      </x:c>
      <x:c r="F21" s="17" t="s">
        <x:v>178</x:v>
      </x:c>
    </x:row>
    <x:row r="22" ht="48" customHeight="1">
      <x:c r="A22" s="16" t="s">
        <x:v>179</x:v>
      </x:c>
      <x:c r="B22" s="16" t="s">
        <x:v>180</x:v>
      </x:c>
      <x:c r="C22" s="16" t="s">
        <x:v>181</x:v>
      </x:c>
      <x:c r="D22" s="16" t="s">
        <x:v>182</x:v>
      </x:c>
      <x:c r="E22" s="26">
        <x:v>46296.836879328701</x:v>
      </x:c>
      <x:c r="F22" s="16" t="s">
        <x:v>183</x:v>
      </x:c>
    </x:row>
    <x:row r="23" ht="48" customHeight="1">
      <x:c r="A23" s="17" t="s">
        <x:v>184</x:v>
      </x:c>
      <x:c r="B23" s="17" t="s">
        <x:v>185</x:v>
      </x:c>
      <x:c r="C23" s="17" t="s">
        <x:v>186</x:v>
      </x:c>
      <x:c r="D23" s="17" t="s">
        <x:v>187</x:v>
      </x:c>
      <x:c r="E23" s="27">
        <x:v>46296.83687806713</x:v>
      </x:c>
      <x:c r="F23" s="17" t="s">
        <x:v>188</x:v>
      </x:c>
    </x:row>
    <x:row r="24" ht="48" customHeight="1">
      <x:c r="A24" s="16" t="s">
        <x:v>189</x:v>
      </x:c>
      <x:c r="B24" s="16" t="s">
        <x:v>190</x:v>
      </x:c>
      <x:c r="C24" s="16" t="s">
        <x:v>191</x:v>
      </x:c>
      <x:c r="D24" s="16" t="s">
        <x:v>192</x:v>
      </x:c>
      <x:c r="E24" s="26">
        <x:v>46296.83687796296</x:v>
      </x:c>
      <x:c r="F24" s="16" t="s">
        <x:v>193</x:v>
      </x:c>
    </x:row>
    <x:row r="25" ht="48" customHeight="1">
      <x:c r="A25" s="17" t="s">
        <x:v>194</x:v>
      </x:c>
      <x:c r="B25" s="17" t="s">
        <x:v>195</x:v>
      </x:c>
      <x:c r="C25" s="17" t="s">
        <x:v>196</x:v>
      </x:c>
      <x:c r="D25" s="17" t="s">
        <x:v>197</x:v>
      </x:c>
      <x:c r="E25" s="27">
        <x:v>46296.83687890046</x:v>
      </x:c>
      <x:c r="F25" s="17" t="s">
        <x:v>198</x:v>
      </x:c>
    </x:row>
    <x:row r="26" ht="48" customHeight="1">
      <x:c r="A26" s="16" t="s">
        <x:v>199</x:v>
      </x:c>
      <x:c r="B26" s="16" t="s">
        <x:v>200</x:v>
      </x:c>
      <x:c r="C26" s="16" t="s">
        <x:v>201</x:v>
      </x:c>
      <x:c r="D26" s="16" t="s">
        <x:v>202</x:v>
      </x:c>
      <x:c r="E26" s="26">
        <x:v>46296.836896307868</x:v>
      </x:c>
      <x:c r="F26" s="16" t="s">
        <x:v>203</x:v>
      </x:c>
    </x:row>
  </x:sheetData>
  <x:pageMargins left="0.7" right="0.7" top="0.75" bottom="0.75" header="0.3" footer="0.3"/>
  <x:tableParts count="1">
    <x:tablePart xmlns:r="http://schemas.openxmlformats.org/officeDocument/2006/relationships" r:id="R9cce0d86771d43a8"/>
  </x:tableParts>
</x:worksheet>
</file>

<file path=xl/worksheets/sheet5.xml><?xml version="1.0" encoding="utf-8"?>
<x:worksheet xmlns:x="http://schemas.openxmlformats.org/spreadsheetml/2006/main">
  <x:sheetPr>
    <x:tabColor rgb="FF087E8B"/>
  </x:sheetPr>
  <x:sheetViews>
    <x:sheetView showGridLines="0" workbookViewId="0">
      <x:pane ySplit="5" topLeftCell="A6" activePane="bottomLeft" state="frozen"/>
    </x:sheetView>
  </x:sheetViews>
  <x:sheetFormatPr defaultRowHeight="14.5"/>
  <x:cols>
    <x:col min="1" max="1" width="20.453125" customWidth="1"/>
    <x:col min="2" max="2" width="28.36328125" customWidth="1"/>
    <x:col min="3" max="3" width="15.90625" customWidth="1"/>
    <x:col min="4" max="4" width="15" customWidth="1"/>
    <x:col min="5" max="5" width="53.7265625" customWidth="1"/>
    <x:col min="6" max="6" width="51.26953125" customWidth="1"/>
  </x:cols>
  <x:sheetData>
    <x:row r="1" ht="30" customHeight="1">
      <x:c r="A1" s="2" t="s">
        <x:v>204</x:v>
      </x:c>
      <x:c r="B1" s="1"/>
      <x:c r="C1" s="1"/>
      <x:c r="D1" s="1"/>
      <x:c r="E1" s="1"/>
      <x:c r="F1" s="1"/>
    </x:row>
    <x:row r="2" ht="22" customHeight="1">
      <x:c r="A2" s="3" t="s">
        <x:v>205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22" customHeight="1">
      <x:c r="A4" s="1"/>
      <x:c r="B4" s="1"/>
      <x:c r="C4" s="1"/>
      <x:c r="D4" s="1"/>
      <x:c r="E4" s="1"/>
      <x:c r="F4" s="1"/>
    </x:row>
    <x:row r="5" ht="42" customHeight="1">
      <x:c r="A5" s="4" t="s">
        <x:v>206</x:v>
      </x:c>
      <x:c r="B5" s="4" t="s">
        <x:v>207</x:v>
      </x:c>
      <x:c r="C5" s="4" t="s">
        <x:v>208</x:v>
      </x:c>
      <x:c r="D5" s="4" t="s">
        <x:v>209</x:v>
      </x:c>
      <x:c r="E5" s="4" t="s">
        <x:v>210</x:v>
      </x:c>
      <x:c r="F5" s="4" t="s">
        <x:v>211</x:v>
      </x:c>
    </x:row>
    <x:row r="6" ht="64" customHeight="1">
      <x:c r="A6" s="16" t="s">
        <x:v>212</x:v>
      </x:c>
      <x:c r="B6" s="16" t="s">
        <x:v>213</x:v>
      </x:c>
      <x:c r="C6" s="16" t="s">
        <x:v>214</x:v>
      </x:c>
      <x:c r="D6" s="16" t="s">
        <x:v>215</x:v>
      </x:c>
      <x:c r="E6" s="16" t="s">
        <x:v>216</x:v>
      </x:c>
      <x:c r="F6" s="16" t="s">
        <x:v>217</x:v>
      </x:c>
    </x:row>
    <x:row r="7" ht="64" customHeight="1">
      <x:c r="A7" s="17" t="s">
        <x:v>212</x:v>
      </x:c>
      <x:c r="B7" s="17" t="s">
        <x:v>218</x:v>
      </x:c>
      <x:c r="C7" s="17" t="s">
        <x:v>219</x:v>
      </x:c>
      <x:c r="D7" s="17" t="s">
        <x:v>220</x:v>
      </x:c>
      <x:c r="E7" s="17" t="s">
        <x:v>221</x:v>
      </x:c>
      <x:c r="F7" s="17" t="s">
        <x:v>222</x:v>
      </x:c>
    </x:row>
    <x:row r="8" ht="64" customHeight="1">
      <x:c r="A8" s="16" t="s">
        <x:v>212</x:v>
      </x:c>
      <x:c r="B8" s="16" t="s">
        <x:v>223</x:v>
      </x:c>
      <x:c r="C8" s="16" t="s">
        <x:v>219</x:v>
      </x:c>
      <x:c r="D8" s="16" t="s">
        <x:v>220</x:v>
      </x:c>
      <x:c r="E8" s="16" t="s">
        <x:v>224</x:v>
      </x:c>
      <x:c r="F8" s="16" t="s">
        <x:v>225</x:v>
      </x:c>
    </x:row>
    <x:row r="9" ht="64" customHeight="1">
      <x:c r="A9" s="17" t="s">
        <x:v>212</x:v>
      </x:c>
      <x:c r="B9" s="17" t="s">
        <x:v>226</x:v>
      </x:c>
      <x:c r="C9" s="17" t="s">
        <x:v>219</x:v>
      </x:c>
      <x:c r="D9" s="17" t="s">
        <x:v>220</x:v>
      </x:c>
      <x:c r="E9" s="17" t="s">
        <x:v>227</x:v>
      </x:c>
      <x:c r="F9" s="17" t="s">
        <x:v>228</x:v>
      </x:c>
    </x:row>
    <x:row r="10" ht="64" customHeight="1">
      <x:c r="A10" s="16" t="s">
        <x:v>212</x:v>
      </x:c>
      <x:c r="B10" s="16" t="s">
        <x:v>229</x:v>
      </x:c>
      <x:c r="C10" s="16" t="s">
        <x:v>219</x:v>
      </x:c>
      <x:c r="D10" s="16" t="s">
        <x:v>230</x:v>
      </x:c>
      <x:c r="E10" s="16" t="s">
        <x:v>231</x:v>
      </x:c>
      <x:c r="F10" s="16" t="s">
        <x:v>232</x:v>
      </x:c>
    </x:row>
    <x:row r="11" ht="64" customHeight="1">
      <x:c r="A11" s="17" t="s">
        <x:v>212</x:v>
      </x:c>
      <x:c r="B11" s="17" t="s">
        <x:v>233</x:v>
      </x:c>
      <x:c r="C11" s="17" t="s">
        <x:v>214</x:v>
      </x:c>
      <x:c r="D11" s="17" t="s">
        <x:v>234</x:v>
      </x:c>
      <x:c r="E11" s="17" t="s">
        <x:v>235</x:v>
      </x:c>
      <x:c r="F11" s="17" t="s">
        <x:v>236</x:v>
      </x:c>
    </x:row>
    <x:row r="12" ht="64" customHeight="1">
      <x:c r="A12" s="16" t="s">
        <x:v>212</x:v>
      </x:c>
      <x:c r="B12" s="16" t="s">
        <x:v>237</x:v>
      </x:c>
      <x:c r="C12" s="16" t="s">
        <x:v>214</x:v>
      </x:c>
      <x:c r="D12" s="16" t="s">
        <x:v>234</x:v>
      </x:c>
      <x:c r="E12" s="16" t="s">
        <x:v>238</x:v>
      </x:c>
      <x:c r="F12" s="16" t="s">
        <x:v>239</x:v>
      </x:c>
    </x:row>
    <x:row r="13" ht="64" customHeight="1">
      <x:c r="A13" s="17" t="s">
        <x:v>212</x:v>
      </x:c>
      <x:c r="B13" s="17" t="s">
        <x:v>240</x:v>
      </x:c>
      <x:c r="C13" s="17" t="s">
        <x:v>214</x:v>
      </x:c>
      <x:c r="D13" s="17" t="s">
        <x:v>234</x:v>
      </x:c>
      <x:c r="E13" s="17" t="s">
        <x:v>241</x:v>
      </x:c>
      <x:c r="F13" s="17" t="s">
        <x:v>242</x:v>
      </x:c>
    </x:row>
    <x:row r="14" ht="64" customHeight="1">
      <x:c r="A14" s="16" t="s">
        <x:v>212</x:v>
      </x:c>
      <x:c r="B14" s="16" t="s">
        <x:v>243</x:v>
      </x:c>
      <x:c r="C14" s="16" t="s">
        <x:v>214</x:v>
      </x:c>
      <x:c r="D14" s="16" t="s">
        <x:v>234</x:v>
      </x:c>
      <x:c r="E14" s="16" t="s">
        <x:v>244</x:v>
      </x:c>
      <x:c r="F14" s="16" t="s">
        <x:v>245</x:v>
      </x:c>
    </x:row>
    <x:row r="15" ht="64" customHeight="1">
      <x:c r="A15" s="17" t="s">
        <x:v>212</x:v>
      </x:c>
      <x:c r="B15" s="17" t="s">
        <x:v>246</x:v>
      </x:c>
      <x:c r="C15" s="17" t="s">
        <x:v>214</x:v>
      </x:c>
      <x:c r="D15" s="17" t="s">
        <x:v>234</x:v>
      </x:c>
      <x:c r="E15" s="17" t="s">
        <x:v>247</x:v>
      </x:c>
      <x:c r="F15" s="17" t="s">
        <x:v>248</x:v>
      </x:c>
    </x:row>
    <x:row r="16" ht="64" customHeight="1">
      <x:c r="A16" s="16" t="s">
        <x:v>212</x:v>
      </x:c>
      <x:c r="B16" s="16" t="s">
        <x:v>249</x:v>
      </x:c>
      <x:c r="C16" s="16" t="s">
        <x:v>214</x:v>
      </x:c>
      <x:c r="D16" s="16" t="s">
        <x:v>234</x:v>
      </x:c>
      <x:c r="E16" s="16" t="s">
        <x:v>250</x:v>
      </x:c>
      <x:c r="F16" s="16" t="s">
        <x:v>251</x:v>
      </x:c>
    </x:row>
    <x:row r="17" ht="64" customHeight="1">
      <x:c r="A17" s="17" t="s">
        <x:v>212</x:v>
      </x:c>
      <x:c r="B17" s="17" t="s">
        <x:v>252</x:v>
      </x:c>
      <x:c r="C17" s="17" t="s">
        <x:v>214</x:v>
      </x:c>
      <x:c r="D17" s="17" t="s">
        <x:v>234</x:v>
      </x:c>
      <x:c r="E17" s="17" t="s">
        <x:v>253</x:v>
      </x:c>
      <x:c r="F17" s="17" t="s">
        <x:v>254</x:v>
      </x:c>
    </x:row>
    <x:row r="18" ht="64" customHeight="1">
      <x:c r="A18" s="16" t="s">
        <x:v>212</x:v>
      </x:c>
      <x:c r="B18" s="16" t="s">
        <x:v>255</x:v>
      </x:c>
      <x:c r="C18" s="16" t="s">
        <x:v>214</x:v>
      </x:c>
      <x:c r="D18" s="16" t="s">
        <x:v>256</x:v>
      </x:c>
      <x:c r="E18" s="16" t="s">
        <x:v>257</x:v>
      </x:c>
      <x:c r="F18" s="16" t="s">
        <x:v>258</x:v>
      </x:c>
    </x:row>
    <x:row r="19" ht="64" customHeight="1">
      <x:c r="A19" s="17" t="s">
        <x:v>212</x:v>
      </x:c>
      <x:c r="B19" s="17" t="s">
        <x:v>259</x:v>
      </x:c>
      <x:c r="C19" s="17" t="s">
        <x:v>214</x:v>
      </x:c>
      <x:c r="D19" s="17" t="s">
        <x:v>234</x:v>
      </x:c>
      <x:c r="E19" s="17" t="s">
        <x:v>260</x:v>
      </x:c>
      <x:c r="F19" s="17" t="s">
        <x:v>261</x:v>
      </x:c>
    </x:row>
    <x:row r="20" ht="64" customHeight="1">
      <x:c r="A20" s="16" t="s">
        <x:v>212</x:v>
      </x:c>
      <x:c r="B20" s="16" t="s">
        <x:v>262</x:v>
      </x:c>
      <x:c r="C20" s="16" t="s">
        <x:v>214</x:v>
      </x:c>
      <x:c r="D20" s="16" t="s">
        <x:v>234</x:v>
      </x:c>
      <x:c r="E20" s="16" t="s">
        <x:v>263</x:v>
      </x:c>
      <x:c r="F20" s="16" t="s">
        <x:v>264</x:v>
      </x:c>
    </x:row>
    <x:row r="21" ht="64" customHeight="1">
      <x:c r="A21" s="17" t="s">
        <x:v>212</x:v>
      </x:c>
      <x:c r="B21" s="17" t="s">
        <x:v>265</x:v>
      </x:c>
      <x:c r="C21" s="17" t="s">
        <x:v>214</x:v>
      </x:c>
      <x:c r="D21" s="17" t="s">
        <x:v>256</x:v>
      </x:c>
      <x:c r="E21" s="17" t="s">
        <x:v>266</x:v>
      </x:c>
      <x:c r="F21" s="17" t="s">
        <x:v>267</x:v>
      </x:c>
    </x:row>
    <x:row r="22" ht="64" customHeight="1">
      <x:c r="A22" s="16" t="s">
        <x:v>212</x:v>
      </x:c>
      <x:c r="B22" s="16" t="s">
        <x:v>268</x:v>
      </x:c>
      <x:c r="C22" s="16" t="s">
        <x:v>214</x:v>
      </x:c>
      <x:c r="D22" s="16" t="s">
        <x:v>234</x:v>
      </x:c>
      <x:c r="E22" s="16" t="s">
        <x:v>269</x:v>
      </x:c>
      <x:c r="F22" s="16" t="s">
        <x:v>270</x:v>
      </x:c>
    </x:row>
    <x:row r="23" ht="64" customHeight="1">
      <x:c r="A23" s="17" t="s">
        <x:v>212</x:v>
      </x:c>
      <x:c r="B23" s="17" t="s">
        <x:v>271</x:v>
      </x:c>
      <x:c r="C23" s="17" t="s">
        <x:v>272</x:v>
      </x:c>
      <x:c r="D23" s="17" t="s">
        <x:v>273</x:v>
      </x:c>
      <x:c r="E23" s="17" t="s">
        <x:v>274</x:v>
      </x:c>
      <x:c r="F23" s="17" t="s">
        <x:v>275</x:v>
      </x:c>
    </x:row>
    <x:row r="24" ht="64" customHeight="1">
      <x:c r="A24" s="16" t="s">
        <x:v>212</x:v>
      </x:c>
      <x:c r="B24" s="16" t="s">
        <x:v>276</x:v>
      </x:c>
      <x:c r="C24" s="16" t="s">
        <x:v>219</x:v>
      </x:c>
      <x:c r="D24" s="16" t="s">
        <x:v>277</x:v>
      </x:c>
      <x:c r="E24" s="16" t="s">
        <x:v>278</x:v>
      </x:c>
      <x:c r="F24" s="16" t="s">
        <x:v>279</x:v>
      </x:c>
    </x:row>
    <x:row r="25" ht="64" customHeight="1">
      <x:c r="A25" s="17" t="s">
        <x:v>212</x:v>
      </x:c>
      <x:c r="B25" s="17" t="s">
        <x:v>280</x:v>
      </x:c>
      <x:c r="C25" s="17" t="s">
        <x:v>219</x:v>
      </x:c>
      <x:c r="D25" s="17" t="s">
        <x:v>281</x:v>
      </x:c>
      <x:c r="E25" s="17" t="s">
        <x:v>282</x:v>
      </x:c>
      <x:c r="F25" s="17" t="s">
        <x:v>283</x:v>
      </x:c>
    </x:row>
    <x:row r="26" ht="64" customHeight="1">
      <x:c r="A26" s="16" t="s">
        <x:v>212</x:v>
      </x:c>
      <x:c r="B26" s="16" t="s">
        <x:v>284</x:v>
      </x:c>
      <x:c r="C26" s="16" t="s">
        <x:v>219</x:v>
      </x:c>
      <x:c r="D26" s="16" t="s">
        <x:v>285</x:v>
      </x:c>
      <x:c r="E26" s="16" t="s">
        <x:v>286</x:v>
      </x:c>
      <x:c r="F26" s="16" t="s">
        <x:v>287</x:v>
      </x:c>
    </x:row>
    <x:row r="27" ht="64" customHeight="1">
      <x:c r="A27" s="17" t="s">
        <x:v>212</x:v>
      </x:c>
      <x:c r="B27" s="17" t="s">
        <x:v>288</x:v>
      </x:c>
      <x:c r="C27" s="17" t="s">
        <x:v>219</x:v>
      </x:c>
      <x:c r="D27" s="17" t="s">
        <x:v>289</x:v>
      </x:c>
      <x:c r="E27" s="17" t="s">
        <x:v>290</x:v>
      </x:c>
      <x:c r="F27" s="17" t="s">
        <x:v>291</x:v>
      </x:c>
    </x:row>
    <x:row r="28" ht="64" customHeight="1">
      <x:c r="A28" s="16" t="s">
        <x:v>212</x:v>
      </x:c>
      <x:c r="B28" s="16" t="s">
        <x:v>292</x:v>
      </x:c>
      <x:c r="C28" s="16" t="s">
        <x:v>214</x:v>
      </x:c>
      <x:c r="D28" s="16" t="s">
        <x:v>293</x:v>
      </x:c>
      <x:c r="E28" s="16" t="s">
        <x:v>294</x:v>
      </x:c>
      <x:c r="F28" s="16" t="s">
        <x:v>295</x:v>
      </x:c>
    </x:row>
    <x:row r="29" ht="64" customHeight="1">
      <x:c r="A29" s="17" t="s">
        <x:v>296</x:v>
      </x:c>
      <x:c r="B29" s="17" t="s">
        <x:v>213</x:v>
      </x:c>
      <x:c r="C29" s="17" t="s">
        <x:v>214</x:v>
      </x:c>
      <x:c r="D29" s="17" t="s">
        <x:v>215</x:v>
      </x:c>
      <x:c r="E29" s="17" t="s">
        <x:v>216</x:v>
      </x:c>
      <x:c r="F29" s="17" t="s">
        <x:v>217</x:v>
      </x:c>
    </x:row>
    <x:row r="30" ht="64" customHeight="1">
      <x:c r="A30" s="16" t="s">
        <x:v>296</x:v>
      </x:c>
      <x:c r="B30" s="16" t="s">
        <x:v>218</x:v>
      </x:c>
      <x:c r="C30" s="16" t="s">
        <x:v>219</x:v>
      </x:c>
      <x:c r="D30" s="16" t="s">
        <x:v>220</x:v>
      </x:c>
      <x:c r="E30" s="16" t="s">
        <x:v>221</x:v>
      </x:c>
      <x:c r="F30" s="16" t="s">
        <x:v>222</x:v>
      </x:c>
    </x:row>
    <x:row r="31" ht="64" customHeight="1">
      <x:c r="A31" s="17" t="s">
        <x:v>296</x:v>
      </x:c>
      <x:c r="B31" s="17" t="s">
        <x:v>223</x:v>
      </x:c>
      <x:c r="C31" s="17" t="s">
        <x:v>219</x:v>
      </x:c>
      <x:c r="D31" s="17" t="s">
        <x:v>220</x:v>
      </x:c>
      <x:c r="E31" s="17" t="s">
        <x:v>224</x:v>
      </x:c>
      <x:c r="F31" s="17" t="s">
        <x:v>225</x:v>
      </x:c>
    </x:row>
    <x:row r="32" ht="64" customHeight="1">
      <x:c r="A32" s="16" t="s">
        <x:v>296</x:v>
      </x:c>
      <x:c r="B32" s="16" t="s">
        <x:v>226</x:v>
      </x:c>
      <x:c r="C32" s="16" t="s">
        <x:v>219</x:v>
      </x:c>
      <x:c r="D32" s="16" t="s">
        <x:v>220</x:v>
      </x:c>
      <x:c r="E32" s="16" t="s">
        <x:v>227</x:v>
      </x:c>
      <x:c r="F32" s="16" t="s">
        <x:v>228</x:v>
      </x:c>
    </x:row>
    <x:row r="33" ht="64" customHeight="1">
      <x:c r="A33" s="17" t="s">
        <x:v>296</x:v>
      </x:c>
      <x:c r="B33" s="17" t="s">
        <x:v>229</x:v>
      </x:c>
      <x:c r="C33" s="17" t="s">
        <x:v>219</x:v>
      </x:c>
      <x:c r="D33" s="17" t="s">
        <x:v>230</x:v>
      </x:c>
      <x:c r="E33" s="17" t="s">
        <x:v>231</x:v>
      </x:c>
      <x:c r="F33" s="17" t="s">
        <x:v>232</x:v>
      </x:c>
    </x:row>
    <x:row r="34" ht="64" customHeight="1">
      <x:c r="A34" s="16" t="s">
        <x:v>296</x:v>
      </x:c>
      <x:c r="B34" s="16" t="s">
        <x:v>297</x:v>
      </x:c>
      <x:c r="C34" s="16" t="s">
        <x:v>219</x:v>
      </x:c>
      <x:c r="D34" s="16" t="s">
        <x:v>220</x:v>
      </x:c>
      <x:c r="E34" s="16" t="s">
        <x:v>298</x:v>
      </x:c>
      <x:c r="F34" s="16" t="s">
        <x:v>299</x:v>
      </x:c>
    </x:row>
    <x:row r="35" ht="64" customHeight="1">
      <x:c r="A35" s="17" t="s">
        <x:v>296</x:v>
      </x:c>
      <x:c r="B35" s="17" t="s">
        <x:v>300</x:v>
      </x:c>
      <x:c r="C35" s="17" t="s">
        <x:v>219</x:v>
      </x:c>
      <x:c r="D35" s="17" t="s">
        <x:v>277</x:v>
      </x:c>
      <x:c r="E35" s="17" t="s">
        <x:v>301</x:v>
      </x:c>
      <x:c r="F35" s="17" t="s">
        <x:v>302</x:v>
      </x:c>
    </x:row>
    <x:row r="36" ht="64" customHeight="1">
      <x:c r="A36" s="16" t="s">
        <x:v>296</x:v>
      </x:c>
      <x:c r="B36" s="16" t="s">
        <x:v>303</x:v>
      </x:c>
      <x:c r="C36" s="16" t="s">
        <x:v>219</x:v>
      </x:c>
      <x:c r="D36" s="16" t="s">
        <x:v>277</x:v>
      </x:c>
      <x:c r="E36" s="16" t="s">
        <x:v>304</x:v>
      </x:c>
      <x:c r="F36" s="16" t="s">
        <x:v>305</x:v>
      </x:c>
    </x:row>
    <x:row r="37" ht="64" customHeight="1">
      <x:c r="A37" s="17" t="s">
        <x:v>296</x:v>
      </x:c>
      <x:c r="B37" s="17" t="s">
        <x:v>306</x:v>
      </x:c>
      <x:c r="C37" s="17" t="s">
        <x:v>214</x:v>
      </x:c>
      <x:c r="D37" s="17" t="s">
        <x:v>234</x:v>
      </x:c>
      <x:c r="E37" s="17" t="s">
        <x:v>307</x:v>
      </x:c>
      <x:c r="F37" s="17" t="s">
        <x:v>308</x:v>
      </x:c>
    </x:row>
    <x:row r="38" ht="64" customHeight="1">
      <x:c r="A38" s="16" t="s">
        <x:v>296</x:v>
      </x:c>
      <x:c r="B38" s="16" t="s">
        <x:v>309</x:v>
      </x:c>
      <x:c r="C38" s="16" t="s">
        <x:v>214</x:v>
      </x:c>
      <x:c r="D38" s="16" t="s">
        <x:v>234</x:v>
      </x:c>
      <x:c r="E38" s="16" t="s">
        <x:v>310</x:v>
      </x:c>
      <x:c r="F38" s="16" t="s">
        <x:v>311</x:v>
      </x:c>
    </x:row>
    <x:row r="39" ht="64" customHeight="1">
      <x:c r="A39" s="17" t="s">
        <x:v>296</x:v>
      </x:c>
      <x:c r="B39" s="17" t="s">
        <x:v>312</x:v>
      </x:c>
      <x:c r="C39" s="17" t="s">
        <x:v>214</x:v>
      </x:c>
      <x:c r="D39" s="17" t="s">
        <x:v>256</x:v>
      </x:c>
      <x:c r="E39" s="17" t="s">
        <x:v>313</x:v>
      </x:c>
      <x:c r="F39" s="17" t="s">
        <x:v>314</x:v>
      </x:c>
    </x:row>
    <x:row r="40" ht="64" customHeight="1">
      <x:c r="A40" s="16" t="s">
        <x:v>296</x:v>
      </x:c>
      <x:c r="B40" s="16" t="s">
        <x:v>259</x:v>
      </x:c>
      <x:c r="C40" s="16" t="s">
        <x:v>214</x:v>
      </x:c>
      <x:c r="D40" s="16" t="s">
        <x:v>234</x:v>
      </x:c>
      <x:c r="E40" s="16" t="s">
        <x:v>315</x:v>
      </x:c>
      <x:c r="F40" s="16" t="s">
        <x:v>316</x:v>
      </x:c>
    </x:row>
    <x:row r="41" ht="64" customHeight="1">
      <x:c r="A41" s="17" t="s">
        <x:v>296</x:v>
      </x:c>
      <x:c r="B41" s="17" t="s">
        <x:v>262</x:v>
      </x:c>
      <x:c r="C41" s="17" t="s">
        <x:v>214</x:v>
      </x:c>
      <x:c r="D41" s="17" t="s">
        <x:v>234</x:v>
      </x:c>
      <x:c r="E41" s="17" t="s">
        <x:v>317</x:v>
      </x:c>
      <x:c r="F41" s="17" t="s">
        <x:v>318</x:v>
      </x:c>
    </x:row>
    <x:row r="42" ht="64" customHeight="1">
      <x:c r="A42" s="16" t="s">
        <x:v>296</x:v>
      </x:c>
      <x:c r="B42" s="16" t="s">
        <x:v>265</x:v>
      </x:c>
      <x:c r="C42" s="16" t="s">
        <x:v>214</x:v>
      </x:c>
      <x:c r="D42" s="16" t="s">
        <x:v>256</x:v>
      </x:c>
      <x:c r="E42" s="16" t="s">
        <x:v>319</x:v>
      </x:c>
      <x:c r="F42" s="16" t="s">
        <x:v>320</x:v>
      </x:c>
    </x:row>
    <x:row r="43" ht="64" customHeight="1">
      <x:c r="A43" s="17" t="s">
        <x:v>296</x:v>
      </x:c>
      <x:c r="B43" s="17" t="s">
        <x:v>276</x:v>
      </x:c>
      <x:c r="C43" s="17" t="s">
        <x:v>219</x:v>
      </x:c>
      <x:c r="D43" s="17" t="s">
        <x:v>277</x:v>
      </x:c>
      <x:c r="E43" s="17" t="s">
        <x:v>278</x:v>
      </x:c>
      <x:c r="F43" s="17" t="s">
        <x:v>279</x:v>
      </x:c>
    </x:row>
    <x:row r="44" ht="64" customHeight="1">
      <x:c r="A44" s="16" t="s">
        <x:v>296</x:v>
      </x:c>
      <x:c r="B44" s="16" t="s">
        <x:v>280</x:v>
      </x:c>
      <x:c r="C44" s="16" t="s">
        <x:v>219</x:v>
      </x:c>
      <x:c r="D44" s="16" t="s">
        <x:v>281</x:v>
      </x:c>
      <x:c r="E44" s="16" t="s">
        <x:v>282</x:v>
      </x:c>
      <x:c r="F44" s="16" t="s">
        <x:v>283</x:v>
      </x:c>
    </x:row>
    <x:row r="45" ht="64" customHeight="1">
      <x:c r="A45" s="17" t="s">
        <x:v>296</x:v>
      </x:c>
      <x:c r="B45" s="17" t="s">
        <x:v>284</x:v>
      </x:c>
      <x:c r="C45" s="17" t="s">
        <x:v>219</x:v>
      </x:c>
      <x:c r="D45" s="17" t="s">
        <x:v>285</x:v>
      </x:c>
      <x:c r="E45" s="17" t="s">
        <x:v>286</x:v>
      </x:c>
      <x:c r="F45" s="17" t="s">
        <x:v>287</x:v>
      </x:c>
    </x:row>
    <x:row r="46" ht="64" customHeight="1">
      <x:c r="A46" s="16" t="s">
        <x:v>296</x:v>
      </x:c>
      <x:c r="B46" s="16" t="s">
        <x:v>288</x:v>
      </x:c>
      <x:c r="C46" s="16" t="s">
        <x:v>219</x:v>
      </x:c>
      <x:c r="D46" s="16" t="s">
        <x:v>289</x:v>
      </x:c>
      <x:c r="E46" s="16" t="s">
        <x:v>290</x:v>
      </x:c>
      <x:c r="F46" s="16" t="s">
        <x:v>291</x:v>
      </x:c>
    </x:row>
    <x:row r="47" ht="64" customHeight="1">
      <x:c r="A47" s="17" t="s">
        <x:v>296</x:v>
      </x:c>
      <x:c r="B47" s="17" t="s">
        <x:v>292</x:v>
      </x:c>
      <x:c r="C47" s="17" t="s">
        <x:v>214</x:v>
      </x:c>
      <x:c r="D47" s="17" t="s">
        <x:v>293</x:v>
      </x:c>
      <x:c r="E47" s="17" t="s">
        <x:v>294</x:v>
      </x:c>
      <x:c r="F47" s="17" t="s">
        <x:v>295</x:v>
      </x:c>
    </x:row>
    <x:row r="48" ht="64" customHeight="1">
      <x:c r="A48" s="16" t="s">
        <x:v>321</x:v>
      </x:c>
      <x:c r="B48" s="16" t="s">
        <x:v>218</x:v>
      </x:c>
      <x:c r="C48" s="16" t="s">
        <x:v>219</x:v>
      </x:c>
      <x:c r="D48" s="16" t="s">
        <x:v>220</x:v>
      </x:c>
      <x:c r="E48" s="16" t="s">
        <x:v>221</x:v>
      </x:c>
      <x:c r="F48" s="16" t="s">
        <x:v>222</x:v>
      </x:c>
    </x:row>
    <x:row r="49" ht="64" customHeight="1">
      <x:c r="A49" s="17" t="s">
        <x:v>321</x:v>
      </x:c>
      <x:c r="B49" s="17" t="s">
        <x:v>223</x:v>
      </x:c>
      <x:c r="C49" s="17" t="s">
        <x:v>219</x:v>
      </x:c>
      <x:c r="D49" s="17" t="s">
        <x:v>220</x:v>
      </x:c>
      <x:c r="E49" s="17" t="s">
        <x:v>224</x:v>
      </x:c>
      <x:c r="F49" s="17" t="s">
        <x:v>225</x:v>
      </x:c>
    </x:row>
    <x:row r="50" ht="64" customHeight="1">
      <x:c r="A50" s="16" t="s">
        <x:v>321</x:v>
      </x:c>
      <x:c r="B50" s="16" t="s">
        <x:v>226</x:v>
      </x:c>
      <x:c r="C50" s="16" t="s">
        <x:v>219</x:v>
      </x:c>
      <x:c r="D50" s="16" t="s">
        <x:v>220</x:v>
      </x:c>
      <x:c r="E50" s="16" t="s">
        <x:v>227</x:v>
      </x:c>
      <x:c r="F50" s="16" t="s">
        <x:v>228</x:v>
      </x:c>
    </x:row>
    <x:row r="51" ht="64" customHeight="1">
      <x:c r="A51" s="17" t="s">
        <x:v>321</x:v>
      </x:c>
      <x:c r="B51" s="17" t="s">
        <x:v>229</x:v>
      </x:c>
      <x:c r="C51" s="17" t="s">
        <x:v>219</x:v>
      </x:c>
      <x:c r="D51" s="17" t="s">
        <x:v>230</x:v>
      </x:c>
      <x:c r="E51" s="17" t="s">
        <x:v>231</x:v>
      </x:c>
      <x:c r="F51" s="17" t="s">
        <x:v>232</x:v>
      </x:c>
    </x:row>
    <x:row r="52" ht="64" customHeight="1">
      <x:c r="A52" s="16" t="s">
        <x:v>322</x:v>
      </x:c>
      <x:c r="B52" s="16" t="s">
        <x:v>213</x:v>
      </x:c>
      <x:c r="C52" s="16" t="s">
        <x:v>214</x:v>
      </x:c>
      <x:c r="D52" s="16" t="s">
        <x:v>215</x:v>
      </x:c>
      <x:c r="E52" s="16" t="s">
        <x:v>216</x:v>
      </x:c>
      <x:c r="F52" s="16" t="s">
        <x:v>217</x:v>
      </x:c>
    </x:row>
    <x:row r="53" ht="64" customHeight="1">
      <x:c r="A53" s="17" t="s">
        <x:v>322</x:v>
      </x:c>
      <x:c r="B53" s="17" t="s">
        <x:v>218</x:v>
      </x:c>
      <x:c r="C53" s="17" t="s">
        <x:v>219</x:v>
      </x:c>
      <x:c r="D53" s="17" t="s">
        <x:v>220</x:v>
      </x:c>
      <x:c r="E53" s="17" t="s">
        <x:v>221</x:v>
      </x:c>
      <x:c r="F53" s="17" t="s">
        <x:v>222</x:v>
      </x:c>
    </x:row>
    <x:row r="54" ht="64" customHeight="1">
      <x:c r="A54" s="16" t="s">
        <x:v>322</x:v>
      </x:c>
      <x:c r="B54" s="16" t="s">
        <x:v>323</x:v>
      </x:c>
      <x:c r="C54" s="16" t="s">
        <x:v>219</x:v>
      </x:c>
      <x:c r="D54" s="16" t="s">
        <x:v>230</x:v>
      </x:c>
      <x:c r="E54" s="16" t="s">
        <x:v>324</x:v>
      </x:c>
      <x:c r="F54" s="16" t="s">
        <x:v>325</x:v>
      </x:c>
    </x:row>
    <x:row r="55" ht="64" customHeight="1">
      <x:c r="A55" s="17" t="s">
        <x:v>322</x:v>
      </x:c>
      <x:c r="B55" s="17" t="s">
        <x:v>297</x:v>
      </x:c>
      <x:c r="C55" s="17" t="s">
        <x:v>219</x:v>
      </x:c>
      <x:c r="D55" s="17" t="s">
        <x:v>220</x:v>
      </x:c>
      <x:c r="E55" s="17" t="s">
        <x:v>298</x:v>
      </x:c>
      <x:c r="F55" s="17" t="s">
        <x:v>299</x:v>
      </x:c>
    </x:row>
    <x:row r="56" ht="64" customHeight="1">
      <x:c r="A56" s="16" t="s">
        <x:v>322</x:v>
      </x:c>
      <x:c r="B56" s="16" t="s">
        <x:v>300</x:v>
      </x:c>
      <x:c r="C56" s="16" t="s">
        <x:v>219</x:v>
      </x:c>
      <x:c r="D56" s="16" t="s">
        <x:v>277</x:v>
      </x:c>
      <x:c r="E56" s="16" t="s">
        <x:v>301</x:v>
      </x:c>
      <x:c r="F56" s="16" t="s">
        <x:v>302</x:v>
      </x:c>
    </x:row>
    <x:row r="57" ht="64" customHeight="1">
      <x:c r="A57" s="17" t="s">
        <x:v>322</x:v>
      </x:c>
      <x:c r="B57" s="17" t="s">
        <x:v>306</x:v>
      </x:c>
      <x:c r="C57" s="17" t="s">
        <x:v>214</x:v>
      </x:c>
      <x:c r="D57" s="17" t="s">
        <x:v>234</x:v>
      </x:c>
      <x:c r="E57" s="17" t="s">
        <x:v>326</x:v>
      </x:c>
      <x:c r="F57" s="17" t="s">
        <x:v>327</x:v>
      </x:c>
    </x:row>
    <x:row r="58" ht="64" customHeight="1">
      <x:c r="A58" s="16" t="s">
        <x:v>322</x:v>
      </x:c>
      <x:c r="B58" s="16" t="s">
        <x:v>309</x:v>
      </x:c>
      <x:c r="C58" s="16" t="s">
        <x:v>214</x:v>
      </x:c>
      <x:c r="D58" s="16" t="s">
        <x:v>234</x:v>
      </x:c>
      <x:c r="E58" s="16" t="s">
        <x:v>328</x:v>
      </x:c>
      <x:c r="F58" s="16" t="s">
        <x:v>329</x:v>
      </x:c>
    </x:row>
    <x:row r="59" ht="64" customHeight="1">
      <x:c r="A59" s="17" t="s">
        <x:v>322</x:v>
      </x:c>
      <x:c r="B59" s="17" t="s">
        <x:v>330</x:v>
      </x:c>
      <x:c r="C59" s="17" t="s">
        <x:v>214</x:v>
      </x:c>
      <x:c r="D59" s="17" t="s">
        <x:v>331</x:v>
      </x:c>
      <x:c r="E59" s="17" t="s">
        <x:v>332</x:v>
      </x:c>
      <x:c r="F59" s="17" t="s">
        <x:v>333</x:v>
      </x:c>
    </x:row>
    <x:row r="60" ht="64" customHeight="1">
      <x:c r="A60" s="16" t="s">
        <x:v>322</x:v>
      </x:c>
      <x:c r="B60" s="16" t="s">
        <x:v>312</x:v>
      </x:c>
      <x:c r="C60" s="16" t="s">
        <x:v>214</x:v>
      </x:c>
      <x:c r="D60" s="16" t="s">
        <x:v>256</x:v>
      </x:c>
      <x:c r="E60" s="16" t="s">
        <x:v>334</x:v>
      </x:c>
      <x:c r="F60" s="16" t="s">
        <x:v>335</x:v>
      </x:c>
    </x:row>
    <x:row r="61" ht="64" customHeight="1">
      <x:c r="A61" s="17" t="s">
        <x:v>322</x:v>
      </x:c>
      <x:c r="B61" s="17" t="s">
        <x:v>259</x:v>
      </x:c>
      <x:c r="C61" s="17" t="s">
        <x:v>214</x:v>
      </x:c>
      <x:c r="D61" s="17" t="s">
        <x:v>234</x:v>
      </x:c>
      <x:c r="E61" s="17" t="s">
        <x:v>336</x:v>
      </x:c>
      <x:c r="F61" s="17" t="s">
        <x:v>337</x:v>
      </x:c>
    </x:row>
    <x:row r="62" ht="64" customHeight="1">
      <x:c r="A62" s="16" t="s">
        <x:v>322</x:v>
      </x:c>
      <x:c r="B62" s="16" t="s">
        <x:v>262</x:v>
      </x:c>
      <x:c r="C62" s="16" t="s">
        <x:v>214</x:v>
      </x:c>
      <x:c r="D62" s="16" t="s">
        <x:v>234</x:v>
      </x:c>
      <x:c r="E62" s="16" t="s">
        <x:v>338</x:v>
      </x:c>
      <x:c r="F62" s="16" t="s">
        <x:v>339</x:v>
      </x:c>
    </x:row>
    <x:row r="63" ht="64" customHeight="1">
      <x:c r="A63" s="17" t="s">
        <x:v>322</x:v>
      </x:c>
      <x:c r="B63" s="17" t="s">
        <x:v>340</x:v>
      </x:c>
      <x:c r="C63" s="17" t="s">
        <x:v>214</x:v>
      </x:c>
      <x:c r="D63" s="17" t="s">
        <x:v>331</x:v>
      </x:c>
      <x:c r="E63" s="17" t="s">
        <x:v>341</x:v>
      </x:c>
      <x:c r="F63" s="17" t="s">
        <x:v>342</x:v>
      </x:c>
    </x:row>
    <x:row r="64" ht="64" customHeight="1">
      <x:c r="A64" s="16" t="s">
        <x:v>322</x:v>
      </x:c>
      <x:c r="B64" s="16" t="s">
        <x:v>265</x:v>
      </x:c>
      <x:c r="C64" s="16" t="s">
        <x:v>214</x:v>
      </x:c>
      <x:c r="D64" s="16" t="s">
        <x:v>256</x:v>
      </x:c>
      <x:c r="E64" s="16" t="s">
        <x:v>343</x:v>
      </x:c>
      <x:c r="F64" s="16" t="s">
        <x:v>344</x:v>
      </x:c>
    </x:row>
    <x:row r="65" ht="64" customHeight="1">
      <x:c r="A65" s="17" t="s">
        <x:v>322</x:v>
      </x:c>
      <x:c r="B65" s="17" t="s">
        <x:v>284</x:v>
      </x:c>
      <x:c r="C65" s="17" t="s">
        <x:v>219</x:v>
      </x:c>
      <x:c r="D65" s="17" t="s">
        <x:v>285</x:v>
      </x:c>
      <x:c r="E65" s="17" t="s">
        <x:v>286</x:v>
      </x:c>
      <x:c r="F65" s="17" t="s">
        <x:v>287</x:v>
      </x:c>
    </x:row>
    <x:row r="66" ht="64" customHeight="1">
      <x:c r="A66" s="16" t="s">
        <x:v>322</x:v>
      </x:c>
      <x:c r="B66" s="16" t="s">
        <x:v>288</x:v>
      </x:c>
      <x:c r="C66" s="16" t="s">
        <x:v>219</x:v>
      </x:c>
      <x:c r="D66" s="16" t="s">
        <x:v>289</x:v>
      </x:c>
      <x:c r="E66" s="16" t="s">
        <x:v>290</x:v>
      </x:c>
      <x:c r="F66" s="16" t="s">
        <x:v>291</x:v>
      </x:c>
    </x:row>
    <x:row r="67" ht="64" customHeight="1">
      <x:c r="A67" s="17" t="s">
        <x:v>322</x:v>
      </x:c>
      <x:c r="B67" s="17" t="s">
        <x:v>292</x:v>
      </x:c>
      <x:c r="C67" s="17" t="s">
        <x:v>214</x:v>
      </x:c>
      <x:c r="D67" s="17" t="s">
        <x:v>293</x:v>
      </x:c>
      <x:c r="E67" s="17" t="s">
        <x:v>294</x:v>
      </x:c>
      <x:c r="F67" s="17" t="s">
        <x:v>295</x:v>
      </x:c>
    </x:row>
  </x:sheetData>
  <x:pageMargins left="0.7" right="0.7" top="0.75" bottom="0.75" header="0.3" footer="0.3"/>
  <x:tableParts count="1">
    <x:tablePart xmlns:r="http://schemas.openxmlformats.org/officeDocument/2006/relationships" r:id="R8de3197b9eee4c5b"/>
  </x:tableParts>
</x:worksheet>
</file>

<file path=xl/worksheets/sheet6.xml><?xml version="1.0" encoding="utf-8"?>
<x:worksheet xmlns:x="http://schemas.openxmlformats.org/spreadsheetml/2006/main">
  <x:sheetPr>
    <x:tabColor rgb="FF315D8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10" max="10" width="13" hidden="0" customWidth="1"/>
    <x:col min="21" max="21" width="13" hidden="0" customWidth="1"/>
    <x:col min="9" max="9" width="16" hidden="0" customWidth="1"/>
    <x:col min="19" max="19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23" max="23" width="16" hidden="0" customWidth="1"/>
    <x:col min="17" max="17" width="13" hidden="0" customWidth="1"/>
    <x:col min="18" max="18" width="13" hidden="0" customWidth="1"/>
    <x:col min="20" max="20" width="13" hidden="0" customWidth="1"/>
    <x:col min="22" max="22" width="13" hidden="0" customWidth="1"/>
    <x:col min="1" max="1" width="12" hidden="0" customWidth="1"/>
    <x:col min="2" max="2" width="24" hidden="0" customWidth="1"/>
    <x:col min="16" max="16" width="21" hidden="0" customWidth="1"/>
  </x:cols>
  <x:sheetData>
    <x:row r="1" ht="31" customHeight="1">
      <x:c r="A1" s="31" t="str">
        <x:v>County comparison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</x:row>
    <x:row r="2" ht="21" customHeight="1">
      <x:c r="A2" s="32" t="str">
        <x:v>Residential units authorized. Initially sorted by 2025 units; use the table filters to explore other measures.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</x:row>
    <x:row r="3" ht="21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</x:row>
    <x:row r="4" ht="21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</x:row>
    <x:row r="5" ht="37" customHeight="1">
      <x:c r="A5" s="42" t="str">
        <x:v>County FIPS</x:v>
      </x:c>
      <x:c r="B5" s="43" t="str">
        <x:v>County</x:v>
      </x:c>
      <x:c r="C5" s="43" t="n">
        <x:v>2020</x:v>
      </x:c>
      <x:c r="D5" s="43" t="n">
        <x:v>2021</x:v>
      </x:c>
      <x:c r="E5" s="43" t="n">
        <x:v>2022</x:v>
      </x:c>
      <x:c r="F5" s="43" t="n">
        <x:v>2023</x:v>
      </x:c>
      <x:c r="G5" s="43" t="n">
        <x:v>2024</x:v>
      </x:c>
      <x:c r="H5" s="43" t="n">
        <x:v>2025</x:v>
      </x:c>
      <x:c r="I5" s="43" t="str">
        <x:v>2023–25 avg units</x:v>
      </x:c>
      <x:c r="J5" s="43" t="str">
        <x:v>2025 change units</x:v>
      </x:c>
      <x:c r="K5" s="43" t="str">
        <x:v>2025 change %</x:v>
      </x:c>
      <x:c r="L5" s="43" t="str">
        <x:v>2025 state share</x:v>
      </x:c>
      <x:c r="M5" s="43" t="str">
        <x:v>2025 single-family share</x:v>
      </x:c>
      <x:c r="N5" s="43" t="str">
        <x:v>2025 multifamily share</x:v>
      </x:c>
      <x:c r="O5" s="43" t="str">
        <x:v>2025 imputed share</x:v>
      </x:c>
      <x:c r="P5" s="43" t="str">
        <x:v>2025 valuation USD</x:v>
      </x:c>
      <x:c r="Q5" s="43" t="str">
        <x:v>2025 volume rank</x:v>
      </x:c>
      <x:c r="R5" s="43" t="str">
        <x:v>3-year avg rank</x:v>
      </x:c>
      <x:c r="S5" s="43" t="str">
        <x:v>2021–25 avg units</x:v>
      </x:c>
      <x:c r="T5" s="43" t="str">
        <x:v>5-year avg rank</x:v>
      </x:c>
      <x:c r="U5" s="43" t="str">
        <x:v>2025 reported units</x:v>
      </x:c>
      <x:c r="V5" s="43" t="str">
        <x:v>Reported-only rank</x:v>
      </x:c>
      <x:c r="W5" s="44" t="str">
        <x:v>2023–25 change %</x:v>
      </x:c>
    </x:row>
    <x:row r="6" ht="21" customHeight="1">
      <x:c r="A6" s="58" t="str">
        <x:v>49049</x:v>
      </x:c>
      <x:c r="B6" s="30" t="str">
        <x:v>Utah County</x:v>
      </x:c>
      <x:c r="C6" s="47" t="n">
        <x:f>SUMIFS('County annual'!$H$6:$H$179,'County annual'!$C$6:$C$179,$A6,'County annual'!$A$6:$A$179,C$5)</x:f>
        <x:v>7859</x:v>
      </x:c>
      <x:c r="D6" s="47" t="n">
        <x:f>SUMIFS('County annual'!$H$6:$H$179,'County annual'!$C$6:$C$179,$A6,'County annual'!$A$6:$A$179,D$5)</x:f>
        <x:v>11040</x:v>
      </x:c>
      <x:c r="E6" s="47" t="n">
        <x:f>SUMIFS('County annual'!$H$6:$H$179,'County annual'!$C$6:$C$179,$A6,'County annual'!$A$6:$A$179,E$5)</x:f>
        <x:v>8165</x:v>
      </x:c>
      <x:c r="F6" s="47" t="n">
        <x:f>SUMIFS('County annual'!$H$6:$H$179,'County annual'!$C$6:$C$179,$A6,'County annual'!$A$6:$A$179,F$5)</x:f>
        <x:v>6036</x:v>
      </x:c>
      <x:c r="G6" s="47" t="n">
        <x:f>SUMIFS('County annual'!$H$6:$H$179,'County annual'!$C$6:$C$179,$A6,'County annual'!$A$6:$A$179,G$5)</x:f>
        <x:v>6321</x:v>
      </x:c>
      <x:c r="H6" s="47" t="n">
        <x:f>SUMIFS('County annual'!$H$6:$H$179,'County annual'!$C$6:$C$179,$A6,'County annual'!$A$6:$A$179,H$5)</x:f>
        <x:v>7202</x:v>
      </x:c>
      <x:c r="I6" s="50" t="n">
        <x:f>AVERAGE(F6:H6)</x:f>
        <x:v>6519.666666666667</x:v>
      </x:c>
      <x:c r="J6" s="47" t="n">
        <x:f>H6-G6</x:f>
        <x:v>881</x:v>
      </x:c>
      <x:c r="K6" s="53" t="n">
        <x:f>IF(G6=0,"n.a.",H6/G6-1)</x:f>
        <x:v>0.13937668090492017</x:v>
      </x:c>
      <x:c r="L6" s="53" t="n">
        <x:f>H6/$H$36</x:f>
        <x:v>0.2689822595704949</x:v>
      </x:c>
      <x:c r="M6" s="53" t="n">
        <x:f>IF(H6=0,"n.a.",SUMIFS('County annual'!$D$6:$D$179,'County annual'!$C$6:$C$179,$A6,'County annual'!$A$6:$A$179,$H$5)/H6)</x:f>
        <x:v>0.7392391002499306</x:v>
      </x:c>
      <x:c r="N6" s="53" t="n">
        <x:f>IF(H6=0,"n.a.",1-M6)</x:f>
        <x:v>0.26076089975006944</x:v>
      </x:c>
      <x:c r="O6" s="53" t="n">
        <x:f>IF(H6=0,"n.a.",(H6-U6)/H6)</x:f>
        <x:v>0.004165509580672035</x:v>
      </x:c>
      <x:c r="P6" s="62" t="n">
        <x:f>SUMIFS('County annual'!$J$6:$J$179,'County annual'!$C$6:$C$179,$A6,'County annual'!$A$6:$A$179,$H$5)</x:f>
        <x:v>2102511859</x:v>
      </x:c>
      <x:c r="Q6" s="56" t="n">
        <x:f>RANK(H6,$H$6:$H$34,0)</x:f>
        <x:v>1</x:v>
      </x:c>
      <x:c r="R6" s="56" t="n">
        <x:f>RANK(I6,$I$6:$I$34,0)</x:f>
        <x:v>2</x:v>
      </x:c>
      <x:c r="S6" s="50" t="n">
        <x:f>AVERAGE(D6:H6)</x:f>
        <x:v>7752.8</x:v>
      </x:c>
      <x:c r="T6" s="56" t="n">
        <x:f>RANK(S6,$S$6:$S$34,0)</x:f>
        <x:v>2</x:v>
      </x:c>
      <x:c r="U6" s="47" t="n">
        <x:f>SUMIFS('County annual'!$K$6:$K$179,'County annual'!$C$6:$C$179,$A6,'County annual'!$A$6:$A$179,$H$5)</x:f>
        <x:v>7172</x:v>
      </x:c>
      <x:c r="V6" s="56" t="n">
        <x:f>RANK(U6,$U$6:$U$34,0)</x:f>
        <x:v>1</x:v>
      </x:c>
      <x:c r="W6" s="53" t="n">
        <x:f>IF(F6=0,"n.a.",H6/F6-1)</x:f>
        <x:v>0.19317428760768718</x:v>
      </x:c>
    </x:row>
    <x:row r="7" ht="21" customHeight="1">
      <x:c r="A7" s="58" t="str">
        <x:v>49035</x:v>
      </x:c>
      <x:c r="B7" s="30" t="str">
        <x:v>Salt Lake County</x:v>
      </x:c>
      <x:c r="C7" s="47" t="n">
        <x:f>SUMIFS('County annual'!$H$6:$H$179,'County annual'!$C$6:$C$179,$A7,'County annual'!$A$6:$A$179,C$5)</x:f>
        <x:v>10101</x:v>
      </x:c>
      <x:c r="D7" s="47" t="n">
        <x:f>SUMIFS('County annual'!$H$6:$H$179,'County annual'!$C$6:$C$179,$A7,'County annual'!$A$6:$A$179,D$5)</x:f>
        <x:v>10649</x:v>
      </x:c>
      <x:c r="E7" s="47" t="n">
        <x:f>SUMIFS('County annual'!$H$6:$H$179,'County annual'!$C$6:$C$179,$A7,'County annual'!$A$6:$A$179,E$5)</x:f>
        <x:v>9375</x:v>
      </x:c>
      <x:c r="F7" s="47" t="n">
        <x:f>SUMIFS('County annual'!$H$6:$H$179,'County annual'!$C$6:$C$179,$A7,'County annual'!$A$6:$A$179,F$5)</x:f>
        <x:v>8315</x:v>
      </x:c>
      <x:c r="G7" s="47" t="n">
        <x:f>SUMIFS('County annual'!$H$6:$H$179,'County annual'!$C$6:$C$179,$A7,'County annual'!$A$6:$A$179,G$5)</x:f>
        <x:v>4550</x:v>
      </x:c>
      <x:c r="H7" s="47" t="n">
        <x:f>SUMIFS('County annual'!$H$6:$H$179,'County annual'!$C$6:$C$179,$A7,'County annual'!$A$6:$A$179,H$5)</x:f>
        <x:v>7179</x:v>
      </x:c>
      <x:c r="I7" s="50" t="n">
        <x:f>AVERAGE(F7:H7)</x:f>
        <x:v>6681.333333333333</x:v>
      </x:c>
      <x:c r="J7" s="47" t="n">
        <x:f>H7-G7</x:f>
        <x:v>2629</x:v>
      </x:c>
      <x:c r="K7" s="53" t="n">
        <x:f>IF(G7=0,"n.a.",H7/G7-1)</x:f>
        <x:v>0.5778021978021979</x:v>
      </x:c>
      <x:c r="L7" s="53" t="n">
        <x:f>H7/$H$36</x:f>
        <x:v>0.26812324929971987</x:v>
      </x:c>
      <x:c r="M7" s="53" t="n">
        <x:f>IF(H7=0,"n.a.",SUMIFS('County annual'!$D$6:$D$179,'County annual'!$C$6:$C$179,$A7,'County annual'!$A$6:$A$179,$H$5)/H7)</x:f>
        <x:v>0.35882434879509684</x:v>
      </x:c>
      <x:c r="N7" s="53" t="n">
        <x:f>IF(H7=0,"n.a.",1-M7)</x:f>
        <x:v>0.6411756512049032</x:v>
      </x:c>
      <x:c r="O7" s="53" t="n">
        <x:f>IF(H7=0,"n.a.",(H7-U7)/H7)</x:f>
        <x:v>0.003343083994985374</x:v>
      </x:c>
      <x:c r="P7" s="62" t="n">
        <x:f>SUMIFS('County annual'!$J$6:$J$179,'County annual'!$C$6:$C$179,$A7,'County annual'!$A$6:$A$179,$H$5)</x:f>
        <x:v>1987390933</x:v>
      </x:c>
      <x:c r="Q7" s="56" t="n">
        <x:f>RANK(H7,$H$6:$H$34,0)</x:f>
        <x:v>2</x:v>
      </x:c>
      <x:c r="R7" s="56" t="n">
        <x:f>RANK(I7,$I$6:$I$34,0)</x:f>
        <x:v>1</x:v>
      </x:c>
      <x:c r="S7" s="50" t="n">
        <x:f>AVERAGE(D7:H7)</x:f>
        <x:v>8013.6</x:v>
      </x:c>
      <x:c r="T7" s="56" t="n">
        <x:f>RANK(S7,$S$6:$S$34,0)</x:f>
        <x:v>1</x:v>
      </x:c>
      <x:c r="U7" s="47" t="n">
        <x:f>SUMIFS('County annual'!$K$6:$K$179,'County annual'!$C$6:$C$179,$A7,'County annual'!$A$6:$A$179,$H$5)</x:f>
        <x:v>7155</x:v>
      </x:c>
      <x:c r="V7" s="56" t="n">
        <x:f>RANK(U7,$U$6:$U$34,0)</x:f>
        <x:v>2</x:v>
      </x:c>
      <x:c r="W7" s="53" t="n">
        <x:f>IF(F7=0,"n.a.",H7/F7-1)</x:f>
        <x:v>-0.13662056524353583</x:v>
      </x:c>
    </x:row>
    <x:row r="8" ht="21" customHeight="1">
      <x:c r="A8" s="58" t="str">
        <x:v>49053</x:v>
      </x:c>
      <x:c r="B8" s="30" t="str">
        <x:v>Washington County</x:v>
      </x:c>
      <x:c r="C8" s="47" t="n">
        <x:f>SUMIFS('County annual'!$H$6:$H$179,'County annual'!$C$6:$C$179,$A8,'County annual'!$A$6:$A$179,C$5)</x:f>
        <x:v>3314</x:v>
      </x:c>
      <x:c r="D8" s="47" t="n">
        <x:f>SUMIFS('County annual'!$H$6:$H$179,'County annual'!$C$6:$C$179,$A8,'County annual'!$A$6:$A$179,D$5)</x:f>
        <x:v>3484</x:v>
      </x:c>
      <x:c r="E8" s="47" t="n">
        <x:f>SUMIFS('County annual'!$H$6:$H$179,'County annual'!$C$6:$C$179,$A8,'County annual'!$A$6:$A$179,E$5)</x:f>
        <x:v>3196</x:v>
      </x:c>
      <x:c r="F8" s="47" t="n">
        <x:f>SUMIFS('County annual'!$H$6:$H$179,'County annual'!$C$6:$C$179,$A8,'County annual'!$A$6:$A$179,F$5)</x:f>
        <x:v>2820</x:v>
      </x:c>
      <x:c r="G8" s="47" t="n">
        <x:f>SUMIFS('County annual'!$H$6:$H$179,'County annual'!$C$6:$C$179,$A8,'County annual'!$A$6:$A$179,G$5)</x:f>
        <x:v>3152</x:v>
      </x:c>
      <x:c r="H8" s="47" t="n">
        <x:f>SUMIFS('County annual'!$H$6:$H$179,'County annual'!$C$6:$C$179,$A8,'County annual'!$A$6:$A$179,H$5)</x:f>
        <x:v>2857</x:v>
      </x:c>
      <x:c r="I8" s="50" t="n">
        <x:f>AVERAGE(F8:H8)</x:f>
        <x:v>2943</x:v>
      </x:c>
      <x:c r="J8" s="47" t="n">
        <x:f>H8-G8</x:f>
        <x:v>-295</x:v>
      </x:c>
      <x:c r="K8" s="53" t="n">
        <x:f>IF(G8=0,"n.a.",H8/G8-1)</x:f>
        <x:v>-0.09359137055837563</x:v>
      </x:c>
      <x:c r="L8" s="53" t="n">
        <x:f>H8/$H$36</x:f>
        <x:v>0.10670401493930906</x:v>
      </x:c>
      <x:c r="M8" s="53" t="n">
        <x:f>IF(H8=0,"n.a.",SUMIFS('County annual'!$D$6:$D$179,'County annual'!$C$6:$C$179,$A8,'County annual'!$A$6:$A$179,$H$5)/H8)</x:f>
        <x:v>0.8739936996849843</x:v>
      </x:c>
      <x:c r="N8" s="53" t="n">
        <x:f>IF(H8=0,"n.a.",1-M8)</x:f>
        <x:v>0.1260063003150157</x:v>
      </x:c>
      <x:c r="O8" s="53" t="n">
        <x:f>IF(H8=0,"n.a.",(H8-U8)/H8)</x:f>
        <x:v>0.0077003850192509625</x:v>
      </x:c>
      <x:c r="P8" s="62" t="n">
        <x:f>SUMIFS('County annual'!$J$6:$J$179,'County annual'!$C$6:$C$179,$A8,'County annual'!$A$6:$A$179,$H$5)</x:f>
        <x:v>656018061</x:v>
      </x:c>
      <x:c r="Q8" s="56" t="n">
        <x:f>RANK(H8,$H$6:$H$34,0)</x:f>
        <x:v>3</x:v>
      </x:c>
      <x:c r="R8" s="56" t="n">
        <x:f>RANK(I8,$I$6:$I$34,0)</x:f>
        <x:v>3</x:v>
      </x:c>
      <x:c r="S8" s="50" t="n">
        <x:f>AVERAGE(D8:H8)</x:f>
        <x:v>3101.8</x:v>
      </x:c>
      <x:c r="T8" s="56" t="n">
        <x:f>RANK(S8,$S$6:$S$34,0)</x:f>
        <x:v>3</x:v>
      </x:c>
      <x:c r="U8" s="47" t="n">
        <x:f>SUMIFS('County annual'!$K$6:$K$179,'County annual'!$C$6:$C$179,$A8,'County annual'!$A$6:$A$179,$H$5)</x:f>
        <x:v>2835</x:v>
      </x:c>
      <x:c r="V8" s="56" t="n">
        <x:f>RANK(U8,$U$6:$U$34,0)</x:f>
        <x:v>3</x:v>
      </x:c>
      <x:c r="W8" s="53" t="n">
        <x:f>IF(F8=0,"n.a.",H8/F8-1)</x:f>
        <x:v>0.013120567375886516</x:v>
      </x:c>
    </x:row>
    <x:row r="9" ht="21" customHeight="1">
      <x:c r="A9" s="58" t="str">
        <x:v>49011</x:v>
      </x:c>
      <x:c r="B9" s="30" t="str">
        <x:v>Davis County</x:v>
      </x:c>
      <x:c r="C9" s="47" t="n">
        <x:f>SUMIFS('County annual'!$H$6:$H$179,'County annual'!$C$6:$C$179,$A9,'County annual'!$A$6:$A$179,C$5)</x:f>
        <x:v>2417</x:v>
      </x:c>
      <x:c r="D9" s="47" t="n">
        <x:f>SUMIFS('County annual'!$H$6:$H$179,'County annual'!$C$6:$C$179,$A9,'County annual'!$A$6:$A$179,D$5)</x:f>
        <x:v>3812</x:v>
      </x:c>
      <x:c r="E9" s="47" t="n">
        <x:f>SUMIFS('County annual'!$H$6:$H$179,'County annual'!$C$6:$C$179,$A9,'County annual'!$A$6:$A$179,E$5)</x:f>
        <x:v>2175</x:v>
      </x:c>
      <x:c r="F9" s="47" t="n">
        <x:f>SUMIFS('County annual'!$H$6:$H$179,'County annual'!$C$6:$C$179,$A9,'County annual'!$A$6:$A$179,F$5)</x:f>
        <x:v>1547</x:v>
      </x:c>
      <x:c r="G9" s="47" t="n">
        <x:f>SUMIFS('County annual'!$H$6:$H$179,'County annual'!$C$6:$C$179,$A9,'County annual'!$A$6:$A$179,G$5)</x:f>
        <x:v>1468</x:v>
      </x:c>
      <x:c r="H9" s="47" t="n">
        <x:f>SUMIFS('County annual'!$H$6:$H$179,'County annual'!$C$6:$C$179,$A9,'County annual'!$A$6:$A$179,H$5)</x:f>
        <x:v>1917</x:v>
      </x:c>
      <x:c r="I9" s="50" t="n">
        <x:f>AVERAGE(F9:H9)</x:f>
        <x:v>1644</x:v>
      </x:c>
      <x:c r="J9" s="47" t="n">
        <x:f>H9-G9</x:f>
        <x:v>449</x:v>
      </x:c>
      <x:c r="K9" s="53" t="n">
        <x:f>IF(G9=0,"n.a.",H9/G9-1)</x:f>
        <x:v>0.305858310626703</x:v>
      </x:c>
      <x:c r="L9" s="53" t="n">
        <x:f>H9/$H$36</x:f>
        <x:v>0.07159663865546219</x:v>
      </x:c>
      <x:c r="M9" s="53" t="n">
        <x:f>IF(H9=0,"n.a.",SUMIFS('County annual'!$D$6:$D$179,'County annual'!$C$6:$C$179,$A9,'County annual'!$A$6:$A$179,$H$5)/H9)</x:f>
        <x:v>0.43870631194574855</x:v>
      </x:c>
      <x:c r="N9" s="53" t="n">
        <x:f>IF(H9=0,"n.a.",1-M9)</x:f>
        <x:v>0.5612936880542514</x:v>
      </x:c>
      <x:c r="O9" s="53" t="n">
        <x:f>IF(H9=0,"n.a.",(H9-U9)/H9)</x:f>
        <x:v>0</x:v>
      </x:c>
      <x:c r="P9" s="62" t="n">
        <x:f>SUMIFS('County annual'!$J$6:$J$179,'County annual'!$C$6:$C$179,$A9,'County annual'!$A$6:$A$179,$H$5)</x:f>
        <x:v>489625762</x:v>
      </x:c>
      <x:c r="Q9" s="56" t="n">
        <x:f>RANK(H9,$H$6:$H$34,0)</x:f>
        <x:v>4</x:v>
      </x:c>
      <x:c r="R9" s="56" t="n">
        <x:f>RANK(I9,$I$6:$I$34,0)</x:f>
        <x:v>4</x:v>
      </x:c>
      <x:c r="S9" s="50" t="n">
        <x:f>AVERAGE(D9:H9)</x:f>
        <x:v>2183.8</x:v>
      </x:c>
      <x:c r="T9" s="56" t="n">
        <x:f>RANK(S9,$S$6:$S$34,0)</x:f>
        <x:v>4</x:v>
      </x:c>
      <x:c r="U9" s="47" t="n">
        <x:f>SUMIFS('County annual'!$K$6:$K$179,'County annual'!$C$6:$C$179,$A9,'County annual'!$A$6:$A$179,$H$5)</x:f>
        <x:v>1917</x:v>
      </x:c>
      <x:c r="V9" s="56" t="n">
        <x:f>RANK(U9,$U$6:$U$34,0)</x:f>
        <x:v>4</x:v>
      </x:c>
      <x:c r="W9" s="53" t="n">
        <x:f>IF(F9=0,"n.a.",H9/F9-1)</x:f>
        <x:v>0.23917259211376862</x:v>
      </x:c>
    </x:row>
    <x:row r="10" ht="21" customHeight="1">
      <x:c r="A10" s="58" t="str">
        <x:v>49057</x:v>
      </x:c>
      <x:c r="B10" s="30" t="str">
        <x:v>Weber County</x:v>
      </x:c>
      <x:c r="C10" s="47" t="n">
        <x:f>SUMIFS('County annual'!$H$6:$H$179,'County annual'!$C$6:$C$179,$A10,'County annual'!$A$6:$A$179,C$5)</x:f>
        <x:v>2407</x:v>
      </x:c>
      <x:c r="D10" s="47" t="n">
        <x:f>SUMIFS('County annual'!$H$6:$H$179,'County annual'!$C$6:$C$179,$A10,'County annual'!$A$6:$A$179,D$5)</x:f>
        <x:v>2636</x:v>
      </x:c>
      <x:c r="E10" s="47" t="n">
        <x:f>SUMIFS('County annual'!$H$6:$H$179,'County annual'!$C$6:$C$179,$A10,'County annual'!$A$6:$A$179,E$5)</x:f>
        <x:v>2311</x:v>
      </x:c>
      <x:c r="F10" s="47" t="n">
        <x:f>SUMIFS('County annual'!$H$6:$H$179,'County annual'!$C$6:$C$179,$A10,'County annual'!$A$6:$A$179,F$5)</x:f>
        <x:v>1440</x:v>
      </x:c>
      <x:c r="G10" s="47" t="n">
        <x:f>SUMIFS('County annual'!$H$6:$H$179,'County annual'!$C$6:$C$179,$A10,'County annual'!$A$6:$A$179,G$5)</x:f>
        <x:v>1630</x:v>
      </x:c>
      <x:c r="H10" s="47" t="n">
        <x:f>SUMIFS('County annual'!$H$6:$H$179,'County annual'!$C$6:$C$179,$A10,'County annual'!$A$6:$A$179,H$5)</x:f>
        <x:v>1490</x:v>
      </x:c>
      <x:c r="I10" s="50" t="n">
        <x:f>AVERAGE(F10:H10)</x:f>
        <x:v>1520</x:v>
      </x:c>
      <x:c r="J10" s="47" t="n">
        <x:f>H10-G10</x:f>
        <x:v>-140</x:v>
      </x:c>
      <x:c r="K10" s="53" t="n">
        <x:f>IF(G10=0,"n.a.",H10/G10-1)</x:f>
        <x:v>-0.08588957055214719</x:v>
      </x:c>
      <x:c r="L10" s="53" t="n">
        <x:f>H10/$H$36</x:f>
        <x:v>0.05564892623716153</x:v>
      </x:c>
      <x:c r="M10" s="53" t="n">
        <x:f>IF(H10=0,"n.a.",SUMIFS('County annual'!$D$6:$D$179,'County annual'!$C$6:$C$179,$A10,'County annual'!$A$6:$A$179,$H$5)/H10)</x:f>
        <x:v>0.5456375838926174</x:v>
      </x:c>
      <x:c r="N10" s="53" t="n">
        <x:f>IF(H10=0,"n.a.",1-M10)</x:f>
        <x:v>0.4543624161073826</x:v>
      </x:c>
      <x:c r="O10" s="53" t="n">
        <x:f>IF(H10=0,"n.a.",(H10-U10)/H10)</x:f>
        <x:v>0.43288590604026844</x:v>
      </x:c>
      <x:c r="P10" s="62" t="n">
        <x:f>SUMIFS('County annual'!$J$6:$J$179,'County annual'!$C$6:$C$179,$A10,'County annual'!$A$6:$A$179,$H$5)</x:f>
        <x:v>442546376</x:v>
      </x:c>
      <x:c r="Q10" s="56" t="n">
        <x:f>RANK(H10,$H$6:$H$34,0)</x:f>
        <x:v>5</x:v>
      </x:c>
      <x:c r="R10" s="56" t="n">
        <x:f>RANK(I10,$I$6:$I$34,0)</x:f>
        <x:v>5</x:v>
      </x:c>
      <x:c r="S10" s="50" t="n">
        <x:f>AVERAGE(D10:H10)</x:f>
        <x:v>1901.4</x:v>
      </x:c>
      <x:c r="T10" s="56" t="n">
        <x:f>RANK(S10,$S$6:$S$34,0)</x:f>
        <x:v>5</x:v>
      </x:c>
      <x:c r="U10" s="47" t="n">
        <x:f>SUMIFS('County annual'!$K$6:$K$179,'County annual'!$C$6:$C$179,$A10,'County annual'!$A$6:$A$179,$H$5)</x:f>
        <x:v>845</x:v>
      </x:c>
      <x:c r="V10" s="56" t="n">
        <x:f>RANK(U10,$U$6:$U$34,0)</x:f>
        <x:v>7</x:v>
      </x:c>
      <x:c r="W10" s="53" t="n">
        <x:f>IF(F10=0,"n.a.",H10/F10-1)</x:f>
        <x:v>0.03472222222222232</x:v>
      </x:c>
    </x:row>
    <x:row r="11" ht="21" customHeight="1">
      <x:c r="A11" s="58" t="str">
        <x:v>49051</x:v>
      </x:c>
      <x:c r="B11" s="30" t="str">
        <x:v>Wasatch County</x:v>
      </x:c>
      <x:c r="C11" s="47" t="n">
        <x:f>SUMIFS('County annual'!$H$6:$H$179,'County annual'!$C$6:$C$179,$A11,'County annual'!$A$6:$A$179,C$5)</x:f>
        <x:v>517</x:v>
      </x:c>
      <x:c r="D11" s="47" t="n">
        <x:f>SUMIFS('County annual'!$H$6:$H$179,'County annual'!$C$6:$C$179,$A11,'County annual'!$A$6:$A$179,D$5)</x:f>
        <x:v>1179</x:v>
      </x:c>
      <x:c r="E11" s="47" t="n">
        <x:f>SUMIFS('County annual'!$H$6:$H$179,'County annual'!$C$6:$C$179,$A11,'County annual'!$A$6:$A$179,E$5)</x:f>
        <x:v>1009</x:v>
      </x:c>
      <x:c r="F11" s="47" t="n">
        <x:f>SUMIFS('County annual'!$H$6:$H$179,'County annual'!$C$6:$C$179,$A11,'County annual'!$A$6:$A$179,F$5)</x:f>
        <x:v>700</x:v>
      </x:c>
      <x:c r="G11" s="47" t="n">
        <x:f>SUMIFS('County annual'!$H$6:$H$179,'County annual'!$C$6:$C$179,$A11,'County annual'!$A$6:$A$179,G$5)</x:f>
        <x:v>835</x:v>
      </x:c>
      <x:c r="H11" s="47" t="n">
        <x:f>SUMIFS('County annual'!$H$6:$H$179,'County annual'!$C$6:$C$179,$A11,'County annual'!$A$6:$A$179,H$5)</x:f>
        <x:v>1128</x:v>
      </x:c>
      <x:c r="I11" s="50" t="n">
        <x:f>AVERAGE(F11:H11)</x:f>
        <x:v>887.6666666666666</x:v>
      </x:c>
      <x:c r="J11" s="47" t="n">
        <x:f>H11-G11</x:f>
        <x:v>293</x:v>
      </x:c>
      <x:c r="K11" s="53" t="n">
        <x:f>IF(G11=0,"n.a.",H11/G11-1)</x:f>
        <x:v>0.3508982035928143</x:v>
      </x:c>
      <x:c r="L11" s="53" t="n">
        <x:f>H11/$H$36</x:f>
        <x:v>0.04212885154061625</x:v>
      </x:c>
      <x:c r="M11" s="53" t="n">
        <x:f>IF(H11=0,"n.a.",SUMIFS('County annual'!$D$6:$D$179,'County annual'!$C$6:$C$179,$A11,'County annual'!$A$6:$A$179,$H$5)/H11)</x:f>
        <x:v>0.6968085106382979</x:v>
      </x:c>
      <x:c r="N11" s="53" t="n">
        <x:f>IF(H11=0,"n.a.",1-M11)</x:f>
        <x:v>0.30319148936170215</x:v>
      </x:c>
      <x:c r="O11" s="53" t="n">
        <x:f>IF(H11=0,"n.a.",(H11-U11)/H11)</x:f>
        <x:v>0.024822695035460994</x:v>
      </x:c>
      <x:c r="P11" s="62" t="n">
        <x:f>SUMIFS('County annual'!$J$6:$J$179,'County annual'!$C$6:$C$179,$A11,'County annual'!$A$6:$A$179,$H$5)</x:f>
        <x:v>790999430</x:v>
      </x:c>
      <x:c r="Q11" s="56" t="n">
        <x:f>RANK(H11,$H$6:$H$34,0)</x:f>
        <x:v>6</x:v>
      </x:c>
      <x:c r="R11" s="56" t="n">
        <x:f>RANK(I11,$I$6:$I$34,0)</x:f>
        <x:v>7</x:v>
      </x:c>
      <x:c r="S11" s="50" t="n">
        <x:f>AVERAGE(D11:H11)</x:f>
        <x:v>970.2</x:v>
      </x:c>
      <x:c r="T11" s="56" t="n">
        <x:f>RANK(S11,$S$6:$S$34,0)</x:f>
        <x:v>7</x:v>
      </x:c>
      <x:c r="U11" s="47" t="n">
        <x:f>SUMIFS('County annual'!$K$6:$K$179,'County annual'!$C$6:$C$179,$A11,'County annual'!$A$6:$A$179,$H$5)</x:f>
        <x:v>1100</x:v>
      </x:c>
      <x:c r="V11" s="56" t="n">
        <x:f>RANK(U11,$U$6:$U$34,0)</x:f>
        <x:v>6</x:v>
      </x:c>
      <x:c r="W11" s="53" t="n">
        <x:f>IF(F11=0,"n.a.",H11/F11-1)</x:f>
        <x:v>0.6114285714285714</x:v>
      </x:c>
    </x:row>
    <x:row r="12" ht="21" customHeight="1">
      <x:c r="A12" s="58" t="str">
        <x:v>49005</x:v>
      </x:c>
      <x:c r="B12" s="30" t="str">
        <x:v>Cache County</x:v>
      </x:c>
      <x:c r="C12" s="47" t="n">
        <x:f>SUMIFS('County annual'!$H$6:$H$179,'County annual'!$C$6:$C$179,$A12,'County annual'!$A$6:$A$179,C$5)</x:f>
        <x:v>1610</x:v>
      </x:c>
      <x:c r="D12" s="47" t="n">
        <x:f>SUMIFS('County annual'!$H$6:$H$179,'County annual'!$C$6:$C$179,$A12,'County annual'!$A$6:$A$179,D$5)</x:f>
        <x:v>1137</x:v>
      </x:c>
      <x:c r="E12" s="47" t="n">
        <x:f>SUMIFS('County annual'!$H$6:$H$179,'County annual'!$C$6:$C$179,$A12,'County annual'!$A$6:$A$179,E$5)</x:f>
        <x:v>1045</x:v>
      </x:c>
      <x:c r="F12" s="47" t="n">
        <x:f>SUMIFS('County annual'!$H$6:$H$179,'County annual'!$C$6:$C$179,$A12,'County annual'!$A$6:$A$179,F$5)</x:f>
        <x:v>957</x:v>
      </x:c>
      <x:c r="G12" s="47" t="n">
        <x:f>SUMIFS('County annual'!$H$6:$H$179,'County annual'!$C$6:$C$179,$A12,'County annual'!$A$6:$A$179,G$5)</x:f>
        <x:v>1021</x:v>
      </x:c>
      <x:c r="H12" s="47" t="n">
        <x:f>SUMIFS('County annual'!$H$6:$H$179,'County annual'!$C$6:$C$179,$A12,'County annual'!$A$6:$A$179,H$5)</x:f>
        <x:v>1112</x:v>
      </x:c>
      <x:c r="I12" s="50" t="n">
        <x:f>AVERAGE(F12:H12)</x:f>
        <x:v>1030</x:v>
      </x:c>
      <x:c r="J12" s="47" t="n">
        <x:f>H12-G12</x:f>
        <x:v>91</x:v>
      </x:c>
      <x:c r="K12" s="53" t="n">
        <x:f>IF(G12=0,"n.a.",H12/G12-1)</x:f>
        <x:v>0.08912830558276208</x:v>
      </x:c>
      <x:c r="L12" s="53" t="n">
        <x:f>H12/$H$36</x:f>
        <x:v>0.041531279178338</x:v>
      </x:c>
      <x:c r="M12" s="53" t="n">
        <x:f>IF(H12=0,"n.a.",SUMIFS('County annual'!$D$6:$D$179,'County annual'!$C$6:$C$179,$A12,'County annual'!$A$6:$A$179,$H$5)/H12)</x:f>
        <x:v>0.7643884892086331</x:v>
      </x:c>
      <x:c r="N12" s="53" t="n">
        <x:f>IF(H12=0,"n.a.",1-M12)</x:f>
        <x:v>0.23561151079136688</x:v>
      </x:c>
      <x:c r="O12" s="53" t="n">
        <x:f>IF(H12=0,"n.a.",(H12-U12)/H12)</x:f>
        <x:v>0</x:v>
      </x:c>
      <x:c r="P12" s="62" t="n">
        <x:f>SUMIFS('County annual'!$J$6:$J$179,'County annual'!$C$6:$C$179,$A12,'County annual'!$A$6:$A$179,$H$5)</x:f>
        <x:v>355947428</x:v>
      </x:c>
      <x:c r="Q12" s="56" t="n">
        <x:f>RANK(H12,$H$6:$H$34,0)</x:f>
        <x:v>7</x:v>
      </x:c>
      <x:c r="R12" s="56" t="n">
        <x:f>RANK(I12,$I$6:$I$34,0)</x:f>
        <x:v>6</x:v>
      </x:c>
      <x:c r="S12" s="50" t="n">
        <x:f>AVERAGE(D12:H12)</x:f>
        <x:v>1054.4</x:v>
      </x:c>
      <x:c r="T12" s="56" t="n">
        <x:f>RANK(S12,$S$6:$S$34,0)</x:f>
        <x:v>6</x:v>
      </x:c>
      <x:c r="U12" s="47" t="n">
        <x:f>SUMIFS('County annual'!$K$6:$K$179,'County annual'!$C$6:$C$179,$A12,'County annual'!$A$6:$A$179,$H$5)</x:f>
        <x:v>1112</x:v>
      </x:c>
      <x:c r="V12" s="56" t="n">
        <x:f>RANK(U12,$U$6:$U$34,0)</x:f>
        <x:v>5</x:v>
      </x:c>
      <x:c r="W12" s="53" t="n">
        <x:f>IF(F12=0,"n.a.",H12/F12-1)</x:f>
        <x:v>0.1619644723092999</x:v>
      </x:c>
    </x:row>
    <x:row r="13" ht="21" customHeight="1">
      <x:c r="A13" s="58" t="str">
        <x:v>49021</x:v>
      </x:c>
      <x:c r="B13" s="30" t="str">
        <x:v>Iron County</x:v>
      </x:c>
      <x:c r="C13" s="47" t="n">
        <x:f>SUMIFS('County annual'!$H$6:$H$179,'County annual'!$C$6:$C$179,$A13,'County annual'!$A$6:$A$179,C$5)</x:f>
        <x:v>514</x:v>
      </x:c>
      <x:c r="D13" s="47" t="n">
        <x:f>SUMIFS('County annual'!$H$6:$H$179,'County annual'!$C$6:$C$179,$A13,'County annual'!$A$6:$A$179,D$5)</x:f>
        <x:v>891</x:v>
      </x:c>
      <x:c r="E13" s="47" t="n">
        <x:f>SUMIFS('County annual'!$H$6:$H$179,'County annual'!$C$6:$C$179,$A13,'County annual'!$A$6:$A$179,E$5)</x:f>
        <x:v>1032</x:v>
      </x:c>
      <x:c r="F13" s="47" t="n">
        <x:f>SUMIFS('County annual'!$H$6:$H$179,'County annual'!$C$6:$C$179,$A13,'County annual'!$A$6:$A$179,F$5)</x:f>
        <x:v>460</x:v>
      </x:c>
      <x:c r="G13" s="47" t="n">
        <x:f>SUMIFS('County annual'!$H$6:$H$179,'County annual'!$C$6:$C$179,$A13,'County annual'!$A$6:$A$179,G$5)</x:f>
        <x:v>655</x:v>
      </x:c>
      <x:c r="H13" s="47" t="n">
        <x:f>SUMIFS('County annual'!$H$6:$H$179,'County annual'!$C$6:$C$179,$A13,'County annual'!$A$6:$A$179,H$5)</x:f>
        <x:v>678</x:v>
      </x:c>
      <x:c r="I13" s="50" t="n">
        <x:f>AVERAGE(F13:H13)</x:f>
        <x:v>597.6666666666666</x:v>
      </x:c>
      <x:c r="J13" s="47" t="n">
        <x:f>H13-G13</x:f>
        <x:v>23</x:v>
      </x:c>
      <x:c r="K13" s="53" t="n">
        <x:f>IF(G13=0,"n.a.",H13/G13-1)</x:f>
        <x:v>0.03511450381679393</x:v>
      </x:c>
      <x:c r="L13" s="53" t="n">
        <x:f>H13/$H$36</x:f>
        <x:v>0.025322128851540615</x:v>
      </x:c>
      <x:c r="M13" s="53" t="n">
        <x:f>IF(H13=0,"n.a.",SUMIFS('County annual'!$D$6:$D$179,'County annual'!$C$6:$C$179,$A13,'County annual'!$A$6:$A$179,$H$5)/H13)</x:f>
        <x:v>1</x:v>
      </x:c>
      <x:c r="N13" s="53" t="n">
        <x:f>IF(H13=0,"n.a.",1-M13)</x:f>
        <x:v>0</x:v>
      </x:c>
      <x:c r="O13" s="53" t="n">
        <x:f>IF(H13=0,"n.a.",(H13-U13)/H13)</x:f>
        <x:v>0</x:v>
      </x:c>
      <x:c r="P13" s="62" t="n">
        <x:f>SUMIFS('County annual'!$J$6:$J$179,'County annual'!$C$6:$C$179,$A13,'County annual'!$A$6:$A$179,$H$5)</x:f>
        <x:v>190390382</x:v>
      </x:c>
      <x:c r="Q13" s="56" t="n">
        <x:f>RANK(H13,$H$6:$H$34,0)</x:f>
        <x:v>8</x:v>
      </x:c>
      <x:c r="R13" s="56" t="n">
        <x:f>RANK(I13,$I$6:$I$34,0)</x:f>
        <x:v>10</x:v>
      </x:c>
      <x:c r="S13" s="50" t="n">
        <x:f>AVERAGE(D13:H13)</x:f>
        <x:v>743.2</x:v>
      </x:c>
      <x:c r="T13" s="56" t="n">
        <x:f>RANK(S13,$S$6:$S$34,0)</x:f>
        <x:v>9</x:v>
      </x:c>
      <x:c r="U13" s="47" t="n">
        <x:f>SUMIFS('County annual'!$K$6:$K$179,'County annual'!$C$6:$C$179,$A13,'County annual'!$A$6:$A$179,$H$5)</x:f>
        <x:v>678</x:v>
      </x:c>
      <x:c r="V13" s="56" t="n">
        <x:f>RANK(U13,$U$6:$U$34,0)</x:f>
        <x:v>8</x:v>
      </x:c>
      <x:c r="W13" s="53" t="n">
        <x:f>IF(F13=0,"n.a.",H13/F13-1)</x:f>
        <x:v>0.4739130434782608</x:v>
      </x:c>
    </x:row>
    <x:row r="14" ht="21" customHeight="1">
      <x:c r="A14" s="58" t="str">
        <x:v>49043</x:v>
      </x:c>
      <x:c r="B14" s="30" t="str">
        <x:v>Summit County</x:v>
      </x:c>
      <x:c r="C14" s="47" t="n">
        <x:f>SUMIFS('County annual'!$H$6:$H$179,'County annual'!$C$6:$C$179,$A14,'County annual'!$A$6:$A$179,C$5)</x:f>
        <x:v>315</x:v>
      </x:c>
      <x:c r="D14" s="47" t="n">
        <x:f>SUMIFS('County annual'!$H$6:$H$179,'County annual'!$C$6:$C$179,$A14,'County annual'!$A$6:$A$179,D$5)</x:f>
        <x:v>439</x:v>
      </x:c>
      <x:c r="E14" s="47" t="n">
        <x:f>SUMIFS('County annual'!$H$6:$H$179,'County annual'!$C$6:$C$179,$A14,'County annual'!$A$6:$A$179,E$5)</x:f>
        <x:v>560</x:v>
      </x:c>
      <x:c r="F14" s="47" t="n">
        <x:f>SUMIFS('County annual'!$H$6:$H$179,'County annual'!$C$6:$C$179,$A14,'County annual'!$A$6:$A$179,F$5)</x:f>
        <x:v>333</x:v>
      </x:c>
      <x:c r="G14" s="47" t="n">
        <x:f>SUMIFS('County annual'!$H$6:$H$179,'County annual'!$C$6:$C$179,$A14,'County annual'!$A$6:$A$179,G$5)</x:f>
        <x:v>919</x:v>
      </x:c>
      <x:c r="H14" s="47" t="n">
        <x:f>SUMIFS('County annual'!$H$6:$H$179,'County annual'!$C$6:$C$179,$A14,'County annual'!$A$6:$A$179,H$5)</x:f>
        <x:v>563</x:v>
      </x:c>
      <x:c r="I14" s="50" t="n">
        <x:f>AVERAGE(F14:H14)</x:f>
        <x:v>605</x:v>
      </x:c>
      <x:c r="J14" s="47" t="n">
        <x:f>H14-G14</x:f>
        <x:v>-356</x:v>
      </x:c>
      <x:c r="K14" s="53" t="n">
        <x:f>IF(G14=0,"n.a.",H14/G14-1)</x:f>
        <x:v>-0.3873775843307944</x:v>
      </x:c>
      <x:c r="L14" s="53" t="n">
        <x:f>H14/$H$36</x:f>
        <x:v>0.021027077497665733</x:v>
      </x:c>
      <x:c r="M14" s="53" t="n">
        <x:f>IF(H14=0,"n.a.",SUMIFS('County annual'!$D$6:$D$179,'County annual'!$C$6:$C$179,$A14,'County annual'!$A$6:$A$179,$H$5)/H14)</x:f>
        <x:v>0.5932504440497336</x:v>
      </x:c>
      <x:c r="N14" s="53" t="n">
        <x:f>IF(H14=0,"n.a.",1-M14)</x:f>
        <x:v>0.4067495559502664</x:v>
      </x:c>
      <x:c r="O14" s="53" t="n">
        <x:f>IF(H14=0,"n.a.",(H14-U14)/H14)</x:f>
        <x:v>0</x:v>
      </x:c>
      <x:c r="P14" s="62" t="n">
        <x:f>SUMIFS('County annual'!$J$6:$J$179,'County annual'!$C$6:$C$179,$A14,'County annual'!$A$6:$A$179,$H$5)</x:f>
        <x:v>403173887</x:v>
      </x:c>
      <x:c r="Q14" s="56" t="n">
        <x:f>RANK(H14,$H$6:$H$34,0)</x:f>
        <x:v>9</x:v>
      </x:c>
      <x:c r="R14" s="56" t="n">
        <x:f>RANK(I14,$I$6:$I$34,0)</x:f>
        <x:v>9</x:v>
      </x:c>
      <x:c r="S14" s="50" t="n">
        <x:f>AVERAGE(D14:H14)</x:f>
        <x:v>562.8</x:v>
      </x:c>
      <x:c r="T14" s="56" t="n">
        <x:f>RANK(S14,$S$6:$S$34,0)</x:f>
        <x:v>10</x:v>
      </x:c>
      <x:c r="U14" s="47" t="n">
        <x:f>SUMIFS('County annual'!$K$6:$K$179,'County annual'!$C$6:$C$179,$A14,'County annual'!$A$6:$A$179,$H$5)</x:f>
        <x:v>563</x:v>
      </x:c>
      <x:c r="V14" s="56" t="n">
        <x:f>RANK(U14,$U$6:$U$34,0)</x:f>
        <x:v>9</x:v>
      </x:c>
      <x:c r="W14" s="53" t="n">
        <x:f>IF(F14=0,"n.a.",H14/F14-1)</x:f>
        <x:v>0.6906906906906907</x:v>
      </x:c>
    </x:row>
    <x:row r="15" ht="21" customHeight="1">
      <x:c r="A15" s="58" t="str">
        <x:v>49045</x:v>
      </x:c>
      <x:c r="B15" s="30" t="str">
        <x:v>Tooele County</x:v>
      </x:c>
      <x:c r="C15" s="47" t="n">
        <x:f>SUMIFS('County annual'!$H$6:$H$179,'County annual'!$C$6:$C$179,$A15,'County annual'!$A$6:$A$179,C$5)</x:f>
        <x:v>932</x:v>
      </x:c>
      <x:c r="D15" s="47" t="n">
        <x:f>SUMIFS('County annual'!$H$6:$H$179,'County annual'!$C$6:$C$179,$A15,'County annual'!$A$6:$A$179,D$5)</x:f>
        <x:v>993</x:v>
      </x:c>
      <x:c r="E15" s="47" t="n">
        <x:f>SUMIFS('County annual'!$H$6:$H$179,'County annual'!$C$6:$C$179,$A15,'County annual'!$A$6:$A$179,E$5)</x:f>
        <x:v>727</x:v>
      </x:c>
      <x:c r="F15" s="47" t="n">
        <x:f>SUMIFS('County annual'!$H$6:$H$179,'County annual'!$C$6:$C$179,$A15,'County annual'!$A$6:$A$179,F$5)</x:f>
        <x:v>920</x:v>
      </x:c>
      <x:c r="G15" s="47" t="n">
        <x:f>SUMIFS('County annual'!$H$6:$H$179,'County annual'!$C$6:$C$179,$A15,'County annual'!$A$6:$A$179,G$5)</x:f>
        <x:v>897</x:v>
      </x:c>
      <x:c r="H15" s="47" t="n">
        <x:f>SUMIFS('County annual'!$H$6:$H$179,'County annual'!$C$6:$C$179,$A15,'County annual'!$A$6:$A$179,H$5)</x:f>
        <x:v>523</x:v>
      </x:c>
      <x:c r="I15" s="50" t="n">
        <x:f>AVERAGE(F15:H15)</x:f>
        <x:v>780</x:v>
      </x:c>
      <x:c r="J15" s="47" t="n">
        <x:f>H15-G15</x:f>
        <x:v>-374</x:v>
      </x:c>
      <x:c r="K15" s="53" t="n">
        <x:f>IF(G15=0,"n.a.",H15/G15-1)</x:f>
        <x:v>-0.4169453734671126</x:v>
      </x:c>
      <x:c r="L15" s="53" t="n">
        <x:f>H15/$H$36</x:f>
        <x:v>0.01953314659197012</x:v>
      </x:c>
      <x:c r="M15" s="53" t="n">
        <x:f>IF(H15=0,"n.a.",SUMIFS('County annual'!$D$6:$D$179,'County annual'!$C$6:$C$179,$A15,'County annual'!$A$6:$A$179,$H$5)/H15)</x:f>
        <x:v>0.8393881453154876</x:v>
      </x:c>
      <x:c r="N15" s="53" t="n">
        <x:f>IF(H15=0,"n.a.",1-M15)</x:f>
        <x:v>0.16061185468451245</x:v>
      </x:c>
      <x:c r="O15" s="53" t="n">
        <x:f>IF(H15=0,"n.a.",(H15-U15)/H15)</x:f>
        <x:v>0.01338432122370937</x:v>
      </x:c>
      <x:c r="P15" s="62" t="n">
        <x:f>SUMIFS('County annual'!$J$6:$J$179,'County annual'!$C$6:$C$179,$A15,'County annual'!$A$6:$A$179,$H$5)</x:f>
        <x:v>191457450</x:v>
      </x:c>
      <x:c r="Q15" s="56" t="n">
        <x:f>RANK(H15,$H$6:$H$34,0)</x:f>
        <x:v>10</x:v>
      </x:c>
      <x:c r="R15" s="56" t="n">
        <x:f>RANK(I15,$I$6:$I$34,0)</x:f>
        <x:v>8</x:v>
      </x:c>
      <x:c r="S15" s="50" t="n">
        <x:f>AVERAGE(D15:H15)</x:f>
        <x:v>812</x:v>
      </x:c>
      <x:c r="T15" s="56" t="n">
        <x:f>RANK(S15,$S$6:$S$34,0)</x:f>
        <x:v>8</x:v>
      </x:c>
      <x:c r="U15" s="47" t="n">
        <x:f>SUMIFS('County annual'!$K$6:$K$179,'County annual'!$C$6:$C$179,$A15,'County annual'!$A$6:$A$179,$H$5)</x:f>
        <x:v>516</x:v>
      </x:c>
      <x:c r="V15" s="56" t="n">
        <x:f>RANK(U15,$U$6:$U$34,0)</x:f>
        <x:v>10</x:v>
      </x:c>
      <x:c r="W15" s="53" t="n">
        <x:f>IF(F15=0,"n.a.",H15/F15-1)</x:f>
        <x:v>-0.4315217391304348</x:v>
      </x:c>
    </x:row>
    <x:row r="16" ht="21" customHeight="1">
      <x:c r="A16" s="58" t="str">
        <x:v>49003</x:v>
      </x:c>
      <x:c r="B16" s="30" t="str">
        <x:v>Box Elder County</x:v>
      </x:c>
      <x:c r="C16" s="47" t="n">
        <x:f>SUMIFS('County annual'!$H$6:$H$179,'County annual'!$C$6:$C$179,$A16,'County annual'!$A$6:$A$179,C$5)</x:f>
        <x:v>533</x:v>
      </x:c>
      <x:c r="D16" s="47" t="n">
        <x:f>SUMIFS('County annual'!$H$6:$H$179,'County annual'!$C$6:$C$179,$A16,'County annual'!$A$6:$A$179,D$5)</x:f>
        <x:v>881</x:v>
      </x:c>
      <x:c r="E16" s="47" t="n">
        <x:f>SUMIFS('County annual'!$H$6:$H$179,'County annual'!$C$6:$C$179,$A16,'County annual'!$A$6:$A$179,E$5)</x:f>
        <x:v>478</x:v>
      </x:c>
      <x:c r="F16" s="47" t="n">
        <x:f>SUMIFS('County annual'!$H$6:$H$179,'County annual'!$C$6:$C$179,$A16,'County annual'!$A$6:$A$179,F$5)</x:f>
        <x:v>270</x:v>
      </x:c>
      <x:c r="G16" s="47" t="n">
        <x:f>SUMIFS('County annual'!$H$6:$H$179,'County annual'!$C$6:$C$179,$A16,'County annual'!$A$6:$A$179,G$5)</x:f>
        <x:v>479</x:v>
      </x:c>
      <x:c r="H16" s="47" t="n">
        <x:f>SUMIFS('County annual'!$H$6:$H$179,'County annual'!$C$6:$C$179,$A16,'County annual'!$A$6:$A$179,H$5)</x:f>
        <x:v>456</x:v>
      </x:c>
      <x:c r="I16" s="50" t="n">
        <x:f>AVERAGE(F16:H16)</x:f>
        <x:v>401.6666666666667</x:v>
      </x:c>
      <x:c r="J16" s="47" t="n">
        <x:f>H16-G16</x:f>
        <x:v>-23</x:v>
      </x:c>
      <x:c r="K16" s="53" t="n">
        <x:f>IF(G16=0,"n.a.",H16/G16-1)</x:f>
        <x:v>-0.04801670146137782</x:v>
      </x:c>
      <x:c r="L16" s="53" t="n">
        <x:f>H16/$H$36</x:f>
        <x:v>0.01703081232492997</x:v>
      </x:c>
      <x:c r="M16" s="53" t="n">
        <x:f>IF(H16=0,"n.a.",SUMIFS('County annual'!$D$6:$D$179,'County annual'!$C$6:$C$179,$A16,'County annual'!$A$6:$A$179,$H$5)/H16)</x:f>
        <x:v>0.8092105263157895</x:v>
      </x:c>
      <x:c r="N16" s="53" t="n">
        <x:f>IF(H16=0,"n.a.",1-M16)</x:f>
        <x:v>0.1907894736842105</x:v>
      </x:c>
      <x:c r="O16" s="53" t="n">
        <x:f>IF(H16=0,"n.a.",(H16-U16)/H16)</x:f>
        <x:v>0.05263157894736842</x:v>
      </x:c>
      <x:c r="P16" s="62" t="n">
        <x:f>SUMIFS('County annual'!$J$6:$J$179,'County annual'!$C$6:$C$179,$A16,'County annual'!$A$6:$A$179,$H$5)</x:f>
        <x:v>155384290</x:v>
      </x:c>
      <x:c r="Q16" s="56" t="n">
        <x:f>RANK(H16,$H$6:$H$34,0)</x:f>
        <x:v>11</x:v>
      </x:c>
      <x:c r="R16" s="56" t="n">
        <x:f>RANK(I16,$I$6:$I$34,0)</x:f>
        <x:v>11</x:v>
      </x:c>
      <x:c r="S16" s="50" t="n">
        <x:f>AVERAGE(D16:H16)</x:f>
        <x:v>512.8</x:v>
      </x:c>
      <x:c r="T16" s="56" t="n">
        <x:f>RANK(S16,$S$6:$S$34,0)</x:f>
        <x:v>11</x:v>
      </x:c>
      <x:c r="U16" s="47" t="n">
        <x:f>SUMIFS('County annual'!$K$6:$K$179,'County annual'!$C$6:$C$179,$A16,'County annual'!$A$6:$A$179,$H$5)</x:f>
        <x:v>432</x:v>
      </x:c>
      <x:c r="V16" s="56" t="n">
        <x:f>RANK(U16,$U$6:$U$34,0)</x:f>
        <x:v>11</x:v>
      </x:c>
      <x:c r="W16" s="53" t="n">
        <x:f>IF(F16=0,"n.a.",H16/F16-1)</x:f>
        <x:v>0.6888888888888889</x:v>
      </x:c>
    </x:row>
    <x:row r="17" ht="21" customHeight="1">
      <x:c r="A17" s="58" t="str">
        <x:v>49039</x:v>
      </x:c>
      <x:c r="B17" s="30" t="str">
        <x:v>Sanpete County</x:v>
      </x:c>
      <x:c r="C17" s="47" t="n">
        <x:f>SUMIFS('County annual'!$H$6:$H$179,'County annual'!$C$6:$C$179,$A17,'County annual'!$A$6:$A$179,C$5)</x:f>
        <x:v>73</x:v>
      </x:c>
      <x:c r="D17" s="47" t="n">
        <x:f>SUMIFS('County annual'!$H$6:$H$179,'County annual'!$C$6:$C$179,$A17,'County annual'!$A$6:$A$179,D$5)</x:f>
        <x:v>227</x:v>
      </x:c>
      <x:c r="E17" s="47" t="n">
        <x:f>SUMIFS('County annual'!$H$6:$H$179,'County annual'!$C$6:$C$179,$A17,'County annual'!$A$6:$A$179,E$5)</x:f>
        <x:v>202</x:v>
      </x:c>
      <x:c r="F17" s="47" t="n">
        <x:f>SUMIFS('County annual'!$H$6:$H$179,'County annual'!$C$6:$C$179,$A17,'County annual'!$A$6:$A$179,F$5)</x:f>
        <x:v>238</x:v>
      </x:c>
      <x:c r="G17" s="47" t="n">
        <x:f>SUMIFS('County annual'!$H$6:$H$179,'County annual'!$C$6:$C$179,$A17,'County annual'!$A$6:$A$179,G$5)</x:f>
        <x:v>266</x:v>
      </x:c>
      <x:c r="H17" s="47" t="n">
        <x:f>SUMIFS('County annual'!$H$6:$H$179,'County annual'!$C$6:$C$179,$A17,'County annual'!$A$6:$A$179,H$5)</x:f>
        <x:v>238</x:v>
      </x:c>
      <x:c r="I17" s="50" t="n">
        <x:f>AVERAGE(F17:H17)</x:f>
        <x:v>247.33333333333334</x:v>
      </x:c>
      <x:c r="J17" s="47" t="n">
        <x:f>H17-G17</x:f>
        <x:v>-28</x:v>
      </x:c>
      <x:c r="K17" s="53" t="n">
        <x:f>IF(G17=0,"n.a.",H17/G17-1)</x:f>
        <x:v>-0.10526315789473684</x:v>
      </x:c>
      <x:c r="L17" s="53" t="n">
        <x:f>H17/$H$36</x:f>
        <x:v>0.008888888888888889</x:v>
      </x:c>
      <x:c r="M17" s="53" t="n">
        <x:f>IF(H17=0,"n.a.",SUMIFS('County annual'!$D$6:$D$179,'County annual'!$C$6:$C$179,$A17,'County annual'!$A$6:$A$179,$H$5)/H17)</x:f>
        <x:v>0.7983193277310925</x:v>
      </x:c>
      <x:c r="N17" s="53" t="n">
        <x:f>IF(H17=0,"n.a.",1-M17)</x:f>
        <x:v>0.2016806722689075</x:v>
      </x:c>
      <x:c r="O17" s="53" t="n">
        <x:f>IF(H17=0,"n.a.",(H17-U17)/H17)</x:f>
        <x:v>0</x:v>
      </x:c>
      <x:c r="P17" s="62" t="n">
        <x:f>SUMIFS('County annual'!$J$6:$J$179,'County annual'!$C$6:$C$179,$A17,'County annual'!$A$6:$A$179,$H$5)</x:f>
        <x:v>91412427</x:v>
      </x:c>
      <x:c r="Q17" s="56" t="n">
        <x:f>RANK(H17,$H$6:$H$34,0)</x:f>
        <x:v>12</x:v>
      </x:c>
      <x:c r="R17" s="56" t="n">
        <x:f>RANK(I17,$I$6:$I$34,0)</x:f>
        <x:v>12</x:v>
      </x:c>
      <x:c r="S17" s="50" t="n">
        <x:f>AVERAGE(D17:H17)</x:f>
        <x:v>234.2</x:v>
      </x:c>
      <x:c r="T17" s="56" t="n">
        <x:f>RANK(S17,$S$6:$S$34,0)</x:f>
        <x:v>12</x:v>
      </x:c>
      <x:c r="U17" s="47" t="n">
        <x:f>SUMIFS('County annual'!$K$6:$K$179,'County annual'!$C$6:$C$179,$A17,'County annual'!$A$6:$A$179,$H$5)</x:f>
        <x:v>238</x:v>
      </x:c>
      <x:c r="V17" s="56" t="n">
        <x:f>RANK(U17,$U$6:$U$34,0)</x:f>
        <x:v>12</x:v>
      </x:c>
      <x:c r="W17" s="53" t="n">
        <x:f>IF(F17=0,"n.a.",H17/F17-1)</x:f>
        <x:v>0</x:v>
      </x:c>
    </x:row>
    <x:row r="18" ht="21" customHeight="1">
      <x:c r="A18" s="58" t="str">
        <x:v>49029</x:v>
      </x:c>
      <x:c r="B18" s="30" t="str">
        <x:v>Morgan County</x:v>
      </x:c>
      <x:c r="C18" s="47" t="n">
        <x:f>SUMIFS('County annual'!$H$6:$H$179,'County annual'!$C$6:$C$179,$A18,'County annual'!$A$6:$A$179,C$5)</x:f>
        <x:v>105</x:v>
      </x:c>
      <x:c r="D18" s="47" t="n">
        <x:f>SUMIFS('County annual'!$H$6:$H$179,'County annual'!$C$6:$C$179,$A18,'County annual'!$A$6:$A$179,D$5)</x:f>
        <x:v>153</x:v>
      </x:c>
      <x:c r="E18" s="47" t="n">
        <x:f>SUMIFS('County annual'!$H$6:$H$179,'County annual'!$C$6:$C$179,$A18,'County annual'!$A$6:$A$179,E$5)</x:f>
        <x:v>63</x:v>
      </x:c>
      <x:c r="F18" s="47" t="n">
        <x:f>SUMIFS('County annual'!$H$6:$H$179,'County annual'!$C$6:$C$179,$A18,'County annual'!$A$6:$A$179,F$5)</x:f>
        <x:v>143</x:v>
      </x:c>
      <x:c r="G18" s="47" t="n">
        <x:f>SUMIFS('County annual'!$H$6:$H$179,'County annual'!$C$6:$C$179,$A18,'County annual'!$A$6:$A$179,G$5)</x:f>
        <x:v>196</x:v>
      </x:c>
      <x:c r="H18" s="47" t="n">
        <x:f>SUMIFS('County annual'!$H$6:$H$179,'County annual'!$C$6:$C$179,$A18,'County annual'!$A$6:$A$179,H$5)</x:f>
        <x:v>192</x:v>
      </x:c>
      <x:c r="I18" s="50" t="n">
        <x:f>AVERAGE(F18:H18)</x:f>
        <x:v>177</x:v>
      </x:c>
      <x:c r="J18" s="47" t="n">
        <x:f>H18-G18</x:f>
        <x:v>-4</x:v>
      </x:c>
      <x:c r="K18" s="53" t="n">
        <x:f>IF(G18=0,"n.a.",H18/G18-1)</x:f>
        <x:v>-0.020408163265306145</x:v>
      </x:c>
      <x:c r="L18" s="53" t="n">
        <x:f>H18/$H$36</x:f>
        <x:v>0.007170868347338936</x:v>
      </x:c>
      <x:c r="M18" s="53" t="n">
        <x:f>IF(H18=0,"n.a.",SUMIFS('County annual'!$D$6:$D$179,'County annual'!$C$6:$C$179,$A18,'County annual'!$A$6:$A$179,$H$5)/H18)</x:f>
        <x:v>0.4791666666666667</x:v>
      </x:c>
      <x:c r="N18" s="53" t="n">
        <x:f>IF(H18=0,"n.a.",1-M18)</x:f>
        <x:v>0.5208333333333333</x:v>
      </x:c>
      <x:c r="O18" s="53" t="n">
        <x:f>IF(H18=0,"n.a.",(H18-U18)/H18)</x:f>
        <x:v>0</x:v>
      </x:c>
      <x:c r="P18" s="62" t="n">
        <x:f>SUMIFS('County annual'!$J$6:$J$179,'County annual'!$C$6:$C$179,$A18,'County annual'!$A$6:$A$179,$H$5)</x:f>
        <x:v>48497754</x:v>
      </x:c>
      <x:c r="Q18" s="56" t="n">
        <x:f>RANK(H18,$H$6:$H$34,0)</x:f>
        <x:v>13</x:v>
      </x:c>
      <x:c r="R18" s="56" t="n">
        <x:f>RANK(I18,$I$6:$I$34,0)</x:f>
        <x:v>13</x:v>
      </x:c>
      <x:c r="S18" s="50" t="n">
        <x:f>AVERAGE(D18:H18)</x:f>
        <x:v>149.4</x:v>
      </x:c>
      <x:c r="T18" s="56" t="n">
        <x:f>RANK(S18,$S$6:$S$34,0)</x:f>
        <x:v>14</x:v>
      </x:c>
      <x:c r="U18" s="47" t="n">
        <x:f>SUMIFS('County annual'!$K$6:$K$179,'County annual'!$C$6:$C$179,$A18,'County annual'!$A$6:$A$179,$H$5)</x:f>
        <x:v>192</x:v>
      </x:c>
      <x:c r="V18" s="56" t="n">
        <x:f>RANK(U18,$U$6:$U$34,0)</x:f>
        <x:v>13</x:v>
      </x:c>
      <x:c r="W18" s="53" t="n">
        <x:f>IF(F18=0,"n.a.",H18/F18-1)</x:f>
        <x:v>0.3426573426573427</x:v>
      </x:c>
    </x:row>
    <x:row r="19" ht="21" customHeight="1">
      <x:c r="A19" s="58" t="str">
        <x:v>49047</x:v>
      </x:c>
      <x:c r="B19" s="30" t="str">
        <x:v>Uintah County</x:v>
      </x:c>
      <x:c r="C19" s="47" t="n">
        <x:f>SUMIFS('County annual'!$H$6:$H$179,'County annual'!$C$6:$C$179,$A19,'County annual'!$A$6:$A$179,C$5)</x:f>
        <x:v>59</x:v>
      </x:c>
      <x:c r="D19" s="47" t="n">
        <x:f>SUMIFS('County annual'!$H$6:$H$179,'County annual'!$C$6:$C$179,$A19,'County annual'!$A$6:$A$179,D$5)</x:f>
        <x:v>86</x:v>
      </x:c>
      <x:c r="E19" s="47" t="n">
        <x:f>SUMIFS('County annual'!$H$6:$H$179,'County annual'!$C$6:$C$179,$A19,'County annual'!$A$6:$A$179,E$5)</x:f>
        <x:v>90</x:v>
      </x:c>
      <x:c r="F19" s="47" t="n">
        <x:f>SUMIFS('County annual'!$H$6:$H$179,'County annual'!$C$6:$C$179,$A19,'County annual'!$A$6:$A$179,F$5)</x:f>
        <x:v>86</x:v>
      </x:c>
      <x:c r="G19" s="47" t="n">
        <x:f>SUMIFS('County annual'!$H$6:$H$179,'County annual'!$C$6:$C$179,$A19,'County annual'!$A$6:$A$179,G$5)</x:f>
        <x:v>86</x:v>
      </x:c>
      <x:c r="H19" s="47" t="n">
        <x:f>SUMIFS('County annual'!$H$6:$H$179,'County annual'!$C$6:$C$179,$A19,'County annual'!$A$6:$A$179,H$5)</x:f>
        <x:v>170</x:v>
      </x:c>
      <x:c r="I19" s="50" t="n">
        <x:f>AVERAGE(F19:H19)</x:f>
        <x:v>114</x:v>
      </x:c>
      <x:c r="J19" s="47" t="n">
        <x:f>H19-G19</x:f>
        <x:v>84</x:v>
      </x:c>
      <x:c r="K19" s="53" t="n">
        <x:f>IF(G19=0,"n.a.",H19/G19-1)</x:f>
        <x:v>0.9767441860465116</x:v>
      </x:c>
      <x:c r="L19" s="53" t="n">
        <x:f>H19/$H$36</x:f>
        <x:v>0.006349206349206349</x:v>
      </x:c>
      <x:c r="M19" s="53" t="n">
        <x:f>IF(H19=0,"n.a.",SUMIFS('County annual'!$D$6:$D$179,'County annual'!$C$6:$C$179,$A19,'County annual'!$A$6:$A$179,$H$5)/H19)</x:f>
        <x:v>0.5764705882352941</x:v>
      </x:c>
      <x:c r="N19" s="53" t="n">
        <x:f>IF(H19=0,"n.a.",1-M19)</x:f>
        <x:v>0.42352941176470593</x:v>
      </x:c>
      <x:c r="O19" s="53" t="n">
        <x:f>IF(H19=0,"n.a.",(H19-U19)/H19)</x:f>
        <x:v>0</x:v>
      </x:c>
      <x:c r="P19" s="62" t="n">
        <x:f>SUMIFS('County annual'!$J$6:$J$179,'County annual'!$C$6:$C$179,$A19,'County annual'!$A$6:$A$179,$H$5)</x:f>
        <x:v>48165851</x:v>
      </x:c>
      <x:c r="Q19" s="56" t="n">
        <x:f>RANK(H19,$H$6:$H$34,0)</x:f>
        <x:v>14</x:v>
      </x:c>
      <x:c r="R19" s="56" t="n">
        <x:f>RANK(I19,$I$6:$I$34,0)</x:f>
        <x:v>19</x:v>
      </x:c>
      <x:c r="S19" s="50" t="n">
        <x:f>AVERAGE(D19:H19)</x:f>
        <x:v>103.6</x:v>
      </x:c>
      <x:c r="T19" s="56" t="n">
        <x:f>RANK(S19,$S$6:$S$34,0)</x:f>
        <x:v>19</x:v>
      </x:c>
      <x:c r="U19" s="47" t="n">
        <x:f>SUMIFS('County annual'!$K$6:$K$179,'County annual'!$C$6:$C$179,$A19,'County annual'!$A$6:$A$179,$H$5)</x:f>
        <x:v>170</x:v>
      </x:c>
      <x:c r="V19" s="56" t="n">
        <x:f>RANK(U19,$U$6:$U$34,0)</x:f>
        <x:v>14</x:v>
      </x:c>
      <x:c r="W19" s="53" t="n">
        <x:f>IF(F19=0,"n.a.",H19/F19-1)</x:f>
        <x:v>0.9767441860465116</x:v>
      </x:c>
    </x:row>
    <x:row r="20" ht="21" customHeight="1">
      <x:c r="A20" s="58" t="str">
        <x:v>49025</x:v>
      </x:c>
      <x:c r="B20" s="30" t="str">
        <x:v>Kane County</x:v>
      </x:c>
      <x:c r="C20" s="47" t="n">
        <x:f>SUMIFS('County annual'!$H$6:$H$179,'County annual'!$C$6:$C$179,$A20,'County annual'!$A$6:$A$179,C$5)</x:f>
        <x:v>236</x:v>
      </x:c>
      <x:c r="D20" s="47" t="n">
        <x:f>SUMIFS('County annual'!$H$6:$H$179,'County annual'!$C$6:$C$179,$A20,'County annual'!$A$6:$A$179,D$5)</x:f>
        <x:v>338</x:v>
      </x:c>
      <x:c r="E20" s="47" t="n">
        <x:f>SUMIFS('County annual'!$H$6:$H$179,'County annual'!$C$6:$C$179,$A20,'County annual'!$A$6:$A$179,E$5)</x:f>
        <x:v>207</x:v>
      </x:c>
      <x:c r="F20" s="47" t="n">
        <x:f>SUMIFS('County annual'!$H$6:$H$179,'County annual'!$C$6:$C$179,$A20,'County annual'!$A$6:$A$179,F$5)</x:f>
        <x:v>153</x:v>
      </x:c>
      <x:c r="G20" s="47" t="n">
        <x:f>SUMIFS('County annual'!$H$6:$H$179,'County annual'!$C$6:$C$179,$A20,'County annual'!$A$6:$A$179,G$5)</x:f>
        <x:v>202</x:v>
      </x:c>
      <x:c r="H20" s="47" t="n">
        <x:f>SUMIFS('County annual'!$H$6:$H$179,'County annual'!$C$6:$C$179,$A20,'County annual'!$A$6:$A$179,H$5)</x:f>
        <x:v>146</x:v>
      </x:c>
      <x:c r="I20" s="50" t="n">
        <x:f>AVERAGE(F20:H20)</x:f>
        <x:v>167</x:v>
      </x:c>
      <x:c r="J20" s="47" t="n">
        <x:f>H20-G20</x:f>
        <x:v>-56</x:v>
      </x:c>
      <x:c r="K20" s="53" t="n">
        <x:f>IF(G20=0,"n.a.",H20/G20-1)</x:f>
        <x:v>-0.27722772277227725</x:v>
      </x:c>
      <x:c r="L20" s="53" t="n">
        <x:f>H20/$H$36</x:f>
        <x:v>0.005452847805788983</x:v>
      </x:c>
      <x:c r="M20" s="53" t="n">
        <x:f>IF(H20=0,"n.a.",SUMIFS('County annual'!$D$6:$D$179,'County annual'!$C$6:$C$179,$A20,'County annual'!$A$6:$A$179,$H$5)/H20)</x:f>
        <x:v>0.8356164383561644</x:v>
      </x:c>
      <x:c r="N20" s="53" t="n">
        <x:f>IF(H20=0,"n.a.",1-M20)</x:f>
        <x:v>0.1643835616438356</x:v>
      </x:c>
      <x:c r="O20" s="53" t="n">
        <x:f>IF(H20=0,"n.a.",(H20-U20)/H20)</x:f>
        <x:v>0.1506849315068493</x:v>
      </x:c>
      <x:c r="P20" s="62" t="n">
        <x:f>SUMIFS('County annual'!$J$6:$J$179,'County annual'!$C$6:$C$179,$A20,'County annual'!$A$6:$A$179,$H$5)</x:f>
        <x:v>50602489</x:v>
      </x:c>
      <x:c r="Q20" s="56" t="n">
        <x:f>RANK(H20,$H$6:$H$34,0)</x:f>
        <x:v>15</x:v>
      </x:c>
      <x:c r="R20" s="56" t="n">
        <x:f>RANK(I20,$I$6:$I$34,0)</x:f>
        <x:v>14</x:v>
      </x:c>
      <x:c r="S20" s="50" t="n">
        <x:f>AVERAGE(D20:H20)</x:f>
        <x:v>209.2</x:v>
      </x:c>
      <x:c r="T20" s="56" t="n">
        <x:f>RANK(S20,$S$6:$S$34,0)</x:f>
        <x:v>13</x:v>
      </x:c>
      <x:c r="U20" s="47" t="n">
        <x:f>SUMIFS('County annual'!$K$6:$K$179,'County annual'!$C$6:$C$179,$A20,'County annual'!$A$6:$A$179,$H$5)</x:f>
        <x:v>124</x:v>
      </x:c>
      <x:c r="V20" s="56" t="n">
        <x:f>RANK(U20,$U$6:$U$34,0)</x:f>
        <x:v>15</x:v>
      </x:c>
      <x:c r="W20" s="53" t="n">
        <x:f>IF(F20=0,"n.a.",H20/F20-1)</x:f>
        <x:v>-0.04575163398692805</x:v>
      </x:c>
    </x:row>
    <x:row r="21" ht="21" customHeight="1">
      <x:c r="A21" s="58" t="str">
        <x:v>49013</x:v>
      </x:c>
      <x:c r="B21" s="30" t="str">
        <x:v>Duchesne County</x:v>
      </x:c>
      <x:c r="C21" s="47" t="n">
        <x:f>SUMIFS('County annual'!$H$6:$H$179,'County annual'!$C$6:$C$179,$A21,'County annual'!$A$6:$A$179,C$5)</x:f>
        <x:v>105</x:v>
      </x:c>
      <x:c r="D21" s="47" t="n">
        <x:f>SUMIFS('County annual'!$H$6:$H$179,'County annual'!$C$6:$C$179,$A21,'County annual'!$A$6:$A$179,D$5)</x:f>
        <x:v>136</x:v>
      </x:c>
      <x:c r="E21" s="47" t="n">
        <x:f>SUMIFS('County annual'!$H$6:$H$179,'County annual'!$C$6:$C$179,$A21,'County annual'!$A$6:$A$179,E$5)</x:f>
        <x:v>183</x:v>
      </x:c>
      <x:c r="F21" s="47" t="n">
        <x:f>SUMIFS('County annual'!$H$6:$H$179,'County annual'!$C$6:$C$179,$A21,'County annual'!$A$6:$A$179,F$5)</x:f>
        <x:v>113</x:v>
      </x:c>
      <x:c r="G21" s="47" t="n">
        <x:f>SUMIFS('County annual'!$H$6:$H$179,'County annual'!$C$6:$C$179,$A21,'County annual'!$A$6:$A$179,G$5)</x:f>
        <x:v>123</x:v>
      </x:c>
      <x:c r="H21" s="47" t="n">
        <x:f>SUMIFS('County annual'!$H$6:$H$179,'County annual'!$C$6:$C$179,$A21,'County annual'!$A$6:$A$179,H$5)</x:f>
        <x:v>127</x:v>
      </x:c>
      <x:c r="I21" s="50" t="n">
        <x:f>AVERAGE(F21:H21)</x:f>
        <x:v>121</x:v>
      </x:c>
      <x:c r="J21" s="47" t="n">
        <x:f>H21-G21</x:f>
        <x:v>4</x:v>
      </x:c>
      <x:c r="K21" s="53" t="n">
        <x:f>IF(G21=0,"n.a.",H21/G21-1)</x:f>
        <x:v>0.03252032520325199</x:v>
      </x:c>
      <x:c r="L21" s="53" t="n">
        <x:f>H21/$H$36</x:f>
        <x:v>0.004743230625583567</x:v>
      </x:c>
      <x:c r="M21" s="53" t="n">
        <x:f>IF(H21=0,"n.a.",SUMIFS('County annual'!$D$6:$D$179,'County annual'!$C$6:$C$179,$A21,'County annual'!$A$6:$A$179,$H$5)/H21)</x:f>
        <x:v>0.968503937007874</x:v>
      </x:c>
      <x:c r="N21" s="53" t="n">
        <x:f>IF(H21=0,"n.a.",1-M21)</x:f>
        <x:v>0.03149606299212604</x:v>
      </x:c>
      <x:c r="O21" s="53" t="n">
        <x:f>IF(H21=0,"n.a.",(H21-U21)/H21)</x:f>
        <x:v>0.48031496062992124</x:v>
      </x:c>
      <x:c r="P21" s="62" t="n">
        <x:f>SUMIFS('County annual'!$J$6:$J$179,'County annual'!$C$6:$C$179,$A21,'County annual'!$A$6:$A$179,$H$5)</x:f>
        <x:v>39117176</x:v>
      </x:c>
      <x:c r="Q21" s="56" t="n">
        <x:f>RANK(H21,$H$6:$H$34,0)</x:f>
        <x:v>16</x:v>
      </x:c>
      <x:c r="R21" s="56" t="n">
        <x:f>RANK(I21,$I$6:$I$34,0)</x:f>
        <x:v>16</x:v>
      </x:c>
      <x:c r="S21" s="50" t="n">
        <x:f>AVERAGE(D21:H21)</x:f>
        <x:v>136.4</x:v>
      </x:c>
      <x:c r="T21" s="56" t="n">
        <x:f>RANK(S21,$S$6:$S$34,0)</x:f>
        <x:v>16</x:v>
      </x:c>
      <x:c r="U21" s="47" t="n">
        <x:f>SUMIFS('County annual'!$K$6:$K$179,'County annual'!$C$6:$C$179,$A21,'County annual'!$A$6:$A$179,$H$5)</x:f>
        <x:v>66</x:v>
      </x:c>
      <x:c r="V21" s="56" t="n">
        <x:f>RANK(U21,$U$6:$U$34,0)</x:f>
        <x:v>21</x:v>
      </x:c>
      <x:c r="W21" s="53" t="n">
        <x:f>IF(F21=0,"n.a.",H21/F21-1)</x:f>
        <x:v>0.12389380530973448</x:v>
      </x:c>
    </x:row>
    <x:row r="22" ht="21" customHeight="1">
      <x:c r="A22" s="58" t="str">
        <x:v>49019</x:v>
      </x:c>
      <x:c r="B22" s="30" t="str">
        <x:v>Grand County</x:v>
      </x:c>
      <x:c r="C22" s="47" t="n">
        <x:f>SUMIFS('County annual'!$H$6:$H$179,'County annual'!$C$6:$C$179,$A22,'County annual'!$A$6:$A$179,C$5)</x:f>
        <x:v>107</x:v>
      </x:c>
      <x:c r="D22" s="47" t="n">
        <x:f>SUMIFS('County annual'!$H$6:$H$179,'County annual'!$C$6:$C$179,$A22,'County annual'!$A$6:$A$179,D$5)</x:f>
        <x:v>93</x:v>
      </x:c>
      <x:c r="E22" s="47" t="n">
        <x:f>SUMIFS('County annual'!$H$6:$H$179,'County annual'!$C$6:$C$179,$A22,'County annual'!$A$6:$A$179,E$5)</x:f>
        <x:v>101</x:v>
      </x:c>
      <x:c r="F22" s="47" t="n">
        <x:f>SUMIFS('County annual'!$H$6:$H$179,'County annual'!$C$6:$C$179,$A22,'County annual'!$A$6:$A$179,F$5)</x:f>
        <x:v>82</x:v>
      </x:c>
      <x:c r="G22" s="47" t="n">
        <x:f>SUMIFS('County annual'!$H$6:$H$179,'County annual'!$C$6:$C$179,$A22,'County annual'!$A$6:$A$179,G$5)</x:f>
        <x:v>238</x:v>
      </x:c>
      <x:c r="H22" s="47" t="n">
        <x:f>SUMIFS('County annual'!$H$6:$H$179,'County annual'!$C$6:$C$179,$A22,'County annual'!$A$6:$A$179,H$5)</x:f>
        <x:v>124</x:v>
      </x:c>
      <x:c r="I22" s="50" t="n">
        <x:f>AVERAGE(F22:H22)</x:f>
        <x:v>148</x:v>
      </x:c>
      <x:c r="J22" s="47" t="n">
        <x:f>H22-G22</x:f>
        <x:v>-114</x:v>
      </x:c>
      <x:c r="K22" s="53" t="n">
        <x:f>IF(G22=0,"n.a.",H22/G22-1)</x:f>
        <x:v>-0.4789915966386554</x:v>
      </x:c>
      <x:c r="L22" s="53" t="n">
        <x:f>H22/$H$36</x:f>
        <x:v>0.004631185807656396</x:v>
      </x:c>
      <x:c r="M22" s="53" t="n">
        <x:f>IF(H22=0,"n.a.",SUMIFS('County annual'!$D$6:$D$179,'County annual'!$C$6:$C$179,$A22,'County annual'!$A$6:$A$179,$H$5)/H22)</x:f>
        <x:v>0.3387096774193548</x:v>
      </x:c>
      <x:c r="N22" s="53" t="n">
        <x:f>IF(H22=0,"n.a.",1-M22)</x:f>
        <x:v>0.6612903225806452</x:v>
      </x:c>
      <x:c r="O22" s="53" t="n">
        <x:f>IF(H22=0,"n.a.",(H22-U22)/H22)</x:f>
        <x:v>0</x:v>
      </x:c>
      <x:c r="P22" s="62" t="n">
        <x:f>SUMIFS('County annual'!$J$6:$J$179,'County annual'!$C$6:$C$179,$A22,'County annual'!$A$6:$A$179,$H$5)</x:f>
        <x:v>29569688</x:v>
      </x:c>
      <x:c r="Q22" s="56" t="n">
        <x:f>RANK(H22,$H$6:$H$34,0)</x:f>
        <x:v>17</x:v>
      </x:c>
      <x:c r="R22" s="56" t="n">
        <x:f>RANK(I22,$I$6:$I$34,0)</x:f>
        <x:v>15</x:v>
      </x:c>
      <x:c r="S22" s="50" t="n">
        <x:f>AVERAGE(D22:H22)</x:f>
        <x:v>127.6</x:v>
      </x:c>
      <x:c r="T22" s="56" t="n">
        <x:f>RANK(S22,$S$6:$S$34,0)</x:f>
        <x:v>17</x:v>
      </x:c>
      <x:c r="U22" s="47" t="n">
        <x:f>SUMIFS('County annual'!$K$6:$K$179,'County annual'!$C$6:$C$179,$A22,'County annual'!$A$6:$A$179,$H$5)</x:f>
        <x:v>124</x:v>
      </x:c>
      <x:c r="V22" s="56" t="n">
        <x:f>RANK(U22,$U$6:$U$34,0)</x:f>
        <x:v>15</x:v>
      </x:c>
      <x:c r="W22" s="53" t="n">
        <x:f>IF(F22=0,"n.a.",H22/F22-1)</x:f>
        <x:v>0.5121951219512195</x:v>
      </x:c>
    </x:row>
    <x:row r="23" ht="21" customHeight="1">
      <x:c r="A23" s="58" t="str">
        <x:v>49023</x:v>
      </x:c>
      <x:c r="B23" s="30" t="str">
        <x:v>Juab County</x:v>
      </x:c>
      <x:c r="C23" s="47" t="n">
        <x:f>SUMIFS('County annual'!$H$6:$H$179,'County annual'!$C$6:$C$179,$A23,'County annual'!$A$6:$A$179,C$5)</x:f>
        <x:v>108</x:v>
      </x:c>
      <x:c r="D23" s="47" t="n">
        <x:f>SUMIFS('County annual'!$H$6:$H$179,'County annual'!$C$6:$C$179,$A23,'County annual'!$A$6:$A$179,D$5)</x:f>
        <x:v>135</x:v>
      </x:c>
      <x:c r="E23" s="47" t="n">
        <x:f>SUMIFS('County annual'!$H$6:$H$179,'County annual'!$C$6:$C$179,$A23,'County annual'!$A$6:$A$179,E$5)</x:f>
        <x:v>122</x:v>
      </x:c>
      <x:c r="F23" s="47" t="n">
        <x:f>SUMIFS('County annual'!$H$6:$H$179,'County annual'!$C$6:$C$179,$A23,'County annual'!$A$6:$A$179,F$5)</x:f>
        <x:v>145</x:v>
      </x:c>
      <x:c r="G23" s="47" t="n">
        <x:f>SUMIFS('County annual'!$H$6:$H$179,'County annual'!$C$6:$C$179,$A23,'County annual'!$A$6:$A$179,G$5)</x:f>
        <x:v>107</x:v>
      </x:c>
      <x:c r="H23" s="47" t="n">
        <x:f>SUMIFS('County annual'!$H$6:$H$179,'County annual'!$C$6:$C$179,$A23,'County annual'!$A$6:$A$179,H$5)</x:f>
        <x:v>102</x:v>
      </x:c>
      <x:c r="I23" s="50" t="n">
        <x:f>AVERAGE(F23:H23)</x:f>
        <x:v>118</x:v>
      </x:c>
      <x:c r="J23" s="47" t="n">
        <x:f>H23-G23</x:f>
        <x:v>-5</x:v>
      </x:c>
      <x:c r="K23" s="53" t="n">
        <x:f>IF(G23=0,"n.a.",H23/G23-1)</x:f>
        <x:v>-0.04672897196261683</x:v>
      </x:c>
      <x:c r="L23" s="53" t="n">
        <x:f>H23/$H$36</x:f>
        <x:v>0.0038095238095238095</x:v>
      </x:c>
      <x:c r="M23" s="53" t="n">
        <x:f>IF(H23=0,"n.a.",SUMIFS('County annual'!$D$6:$D$179,'County annual'!$C$6:$C$179,$A23,'County annual'!$A$6:$A$179,$H$5)/H23)</x:f>
        <x:v>0.696078431372549</x:v>
      </x:c>
      <x:c r="N23" s="53" t="n">
        <x:f>IF(H23=0,"n.a.",1-M23)</x:f>
        <x:v>0.303921568627451</x:v>
      </x:c>
      <x:c r="O23" s="53" t="n">
        <x:f>IF(H23=0,"n.a.",(H23-U23)/H23)</x:f>
        <x:v>0.08823529411764706</x:v>
      </x:c>
      <x:c r="P23" s="62" t="n">
        <x:f>SUMIFS('County annual'!$J$6:$J$179,'County annual'!$C$6:$C$179,$A23,'County annual'!$A$6:$A$179,$H$5)</x:f>
        <x:v>36003263</x:v>
      </x:c>
      <x:c r="Q23" s="56" t="n">
        <x:f>RANK(H23,$H$6:$H$34,0)</x:f>
        <x:v>18</x:v>
      </x:c>
      <x:c r="R23" s="56" t="n">
        <x:f>RANK(I23,$I$6:$I$34,0)</x:f>
        <x:v>17</x:v>
      </x:c>
      <x:c r="S23" s="50" t="n">
        <x:f>AVERAGE(D23:H23)</x:f>
        <x:v>122.2</x:v>
      </x:c>
      <x:c r="T23" s="56" t="n">
        <x:f>RANK(S23,$S$6:$S$34,0)</x:f>
        <x:v>18</x:v>
      </x:c>
      <x:c r="U23" s="47" t="n">
        <x:f>SUMIFS('County annual'!$K$6:$K$179,'County annual'!$C$6:$C$179,$A23,'County annual'!$A$6:$A$179,$H$5)</x:f>
        <x:v>93</x:v>
      </x:c>
      <x:c r="V23" s="56" t="n">
        <x:f>RANK(U23,$U$6:$U$34,0)</x:f>
        <x:v>18</x:v>
      </x:c>
      <x:c r="W23" s="53" t="n">
        <x:f>IF(F23=0,"n.a.",H23/F23-1)</x:f>
        <x:v>-0.29655172413793107</x:v>
      </x:c>
    </x:row>
    <x:row r="24" ht="21" customHeight="1">
      <x:c r="A24" s="58" t="str">
        <x:v>49041</x:v>
      </x:c>
      <x:c r="B24" s="30" t="str">
        <x:v>Sevier County</x:v>
      </x:c>
      <x:c r="C24" s="47" t="n">
        <x:f>SUMIFS('County annual'!$H$6:$H$179,'County annual'!$C$6:$C$179,$A24,'County annual'!$A$6:$A$179,C$5)</x:f>
        <x:v>105</x:v>
      </x:c>
      <x:c r="D24" s="47" t="n">
        <x:f>SUMIFS('County annual'!$H$6:$H$179,'County annual'!$C$6:$C$179,$A24,'County annual'!$A$6:$A$179,D$5)</x:f>
        <x:v>188</x:v>
      </x:c>
      <x:c r="E24" s="47" t="n">
        <x:f>SUMIFS('County annual'!$H$6:$H$179,'County annual'!$C$6:$C$179,$A24,'County annual'!$A$6:$A$179,E$5)</x:f>
        <x:v>163</x:v>
      </x:c>
      <x:c r="F24" s="47" t="n">
        <x:f>SUMIFS('County annual'!$H$6:$H$179,'County annual'!$C$6:$C$179,$A24,'County annual'!$A$6:$A$179,F$5)</x:f>
        <x:v>140</x:v>
      </x:c>
      <x:c r="G24" s="47" t="n">
        <x:f>SUMIFS('County annual'!$H$6:$H$179,'County annual'!$C$6:$C$179,$A24,'County annual'!$A$6:$A$179,G$5)</x:f>
        <x:v>109</x:v>
      </x:c>
      <x:c r="H24" s="47" t="n">
        <x:f>SUMIFS('County annual'!$H$6:$H$179,'County annual'!$C$6:$C$179,$A24,'County annual'!$A$6:$A$179,H$5)</x:f>
        <x:v>97</x:v>
      </x:c>
      <x:c r="I24" s="50" t="n">
        <x:f>AVERAGE(F24:H24)</x:f>
        <x:v>115.33333333333333</x:v>
      </x:c>
      <x:c r="J24" s="47" t="n">
        <x:f>H24-G24</x:f>
        <x:v>-12</x:v>
      </x:c>
      <x:c r="K24" s="53" t="n">
        <x:f>IF(G24=0,"n.a.",H24/G24-1)</x:f>
        <x:v>-0.11009174311926606</x:v>
      </x:c>
      <x:c r="L24" s="53" t="n">
        <x:f>H24/$H$36</x:f>
        <x:v>0.003622782446311858</x:v>
      </x:c>
      <x:c r="M24" s="53" t="n">
        <x:f>IF(H24=0,"n.a.",SUMIFS('County annual'!$D$6:$D$179,'County annual'!$C$6:$C$179,$A24,'County annual'!$A$6:$A$179,$H$5)/H24)</x:f>
        <x:v>1</x:v>
      </x:c>
      <x:c r="N24" s="53" t="n">
        <x:f>IF(H24=0,"n.a.",1-M24)</x:f>
        <x:v>0</x:v>
      </x:c>
      <x:c r="O24" s="53" t="n">
        <x:f>IF(H24=0,"n.a.",(H24-U24)/H24)</x:f>
        <x:v>0</x:v>
      </x:c>
      <x:c r="P24" s="62" t="n">
        <x:f>SUMIFS('County annual'!$J$6:$J$179,'County annual'!$C$6:$C$179,$A24,'County annual'!$A$6:$A$179,$H$5)</x:f>
        <x:v>43574509</x:v>
      </x:c>
      <x:c r="Q24" s="56" t="n">
        <x:f>RANK(H24,$H$6:$H$34,0)</x:f>
        <x:v>19</x:v>
      </x:c>
      <x:c r="R24" s="56" t="n">
        <x:f>RANK(I24,$I$6:$I$34,0)</x:f>
        <x:v>18</x:v>
      </x:c>
      <x:c r="S24" s="50" t="n">
        <x:f>AVERAGE(D24:H24)</x:f>
        <x:v>139.4</x:v>
      </x:c>
      <x:c r="T24" s="56" t="n">
        <x:f>RANK(S24,$S$6:$S$34,0)</x:f>
        <x:v>15</x:v>
      </x:c>
      <x:c r="U24" s="47" t="n">
        <x:f>SUMIFS('County annual'!$K$6:$K$179,'County annual'!$C$6:$C$179,$A24,'County annual'!$A$6:$A$179,$H$5)</x:f>
        <x:v>97</x:v>
      </x:c>
      <x:c r="V24" s="56" t="n">
        <x:f>RANK(U24,$U$6:$U$34,0)</x:f>
        <x:v>17</x:v>
      </x:c>
      <x:c r="W24" s="53" t="n">
        <x:f>IF(F24=0,"n.a.",H24/F24-1)</x:f>
        <x:v>-0.30714285714285716</x:v>
      </x:c>
    </x:row>
    <x:row r="25" ht="21" customHeight="1">
      <x:c r="A25" s="58" t="str">
        <x:v>49033</x:v>
      </x:c>
      <x:c r="B25" s="30" t="str">
        <x:v>Rich County</x:v>
      </x:c>
      <x:c r="C25" s="47" t="n">
        <x:f>SUMIFS('County annual'!$H$6:$H$179,'County annual'!$C$6:$C$179,$A25,'County annual'!$A$6:$A$179,C$5)</x:f>
        <x:v>53</x:v>
      </x:c>
      <x:c r="D25" s="47" t="n">
        <x:f>SUMIFS('County annual'!$H$6:$H$179,'County annual'!$C$6:$C$179,$A25,'County annual'!$A$6:$A$179,D$5)</x:f>
        <x:v>68</x:v>
      </x:c>
      <x:c r="E25" s="47" t="n">
        <x:f>SUMIFS('County annual'!$H$6:$H$179,'County annual'!$C$6:$C$179,$A25,'County annual'!$A$6:$A$179,E$5)</x:f>
        <x:v>71</x:v>
      </x:c>
      <x:c r="F25" s="47" t="n">
        <x:f>SUMIFS('County annual'!$H$6:$H$179,'County annual'!$C$6:$C$179,$A25,'County annual'!$A$6:$A$179,F$5)</x:f>
        <x:v>53</x:v>
      </x:c>
      <x:c r="G25" s="47" t="n">
        <x:f>SUMIFS('County annual'!$H$6:$H$179,'County annual'!$C$6:$C$179,$A25,'County annual'!$A$6:$A$179,G$5)</x:f>
        <x:v>97</x:v>
      </x:c>
      <x:c r="H25" s="47" t="n">
        <x:f>SUMIFS('County annual'!$H$6:$H$179,'County annual'!$C$6:$C$179,$A25,'County annual'!$A$6:$A$179,H$5)</x:f>
        <x:v>82</x:v>
      </x:c>
      <x:c r="I25" s="50" t="n">
        <x:f>AVERAGE(F25:H25)</x:f>
        <x:v>77.33333333333333</x:v>
      </x:c>
      <x:c r="J25" s="47" t="n">
        <x:f>H25-G25</x:f>
        <x:v>-15</x:v>
      </x:c>
      <x:c r="K25" s="53" t="n">
        <x:f>IF(G25=0,"n.a.",H25/G25-1)</x:f>
        <x:v>-0.15463917525773196</x:v>
      </x:c>
      <x:c r="L25" s="53" t="n">
        <x:f>H25/$H$36</x:f>
        <x:v>0.003062558356676004</x:v>
      </x:c>
      <x:c r="M25" s="53" t="n">
        <x:f>IF(H25=0,"n.a.",SUMIFS('County annual'!$D$6:$D$179,'County annual'!$C$6:$C$179,$A25,'County annual'!$A$6:$A$179,$H$5)/H25)</x:f>
        <x:v>0.7560975609756098</x:v>
      </x:c>
      <x:c r="N25" s="53" t="n">
        <x:f>IF(H25=0,"n.a.",1-M25)</x:f>
        <x:v>0.24390243902439024</x:v>
      </x:c>
      <x:c r="O25" s="53" t="n">
        <x:f>IF(H25=0,"n.a.",(H25-U25)/H25)</x:f>
        <x:v>0.4878048780487805</x:v>
      </x:c>
      <x:c r="P25" s="62" t="n">
        <x:f>SUMIFS('County annual'!$J$6:$J$179,'County annual'!$C$6:$C$179,$A25,'County annual'!$A$6:$A$179,$H$5)</x:f>
        <x:v>41735352</x:v>
      </x:c>
      <x:c r="Q25" s="56" t="n">
        <x:f>RANK(H25,$H$6:$H$34,0)</x:f>
        <x:v>20</x:v>
      </x:c>
      <x:c r="R25" s="56" t="n">
        <x:f>RANK(I25,$I$6:$I$34,0)</x:f>
        <x:v>22</x:v>
      </x:c>
      <x:c r="S25" s="50" t="n">
        <x:f>AVERAGE(D25:H25)</x:f>
        <x:v>74.2</x:v>
      </x:c>
      <x:c r="T25" s="56" t="n">
        <x:f>RANK(S25,$S$6:$S$34,0)</x:f>
        <x:v>23</x:v>
      </x:c>
      <x:c r="U25" s="47" t="n">
        <x:f>SUMIFS('County annual'!$K$6:$K$179,'County annual'!$C$6:$C$179,$A25,'County annual'!$A$6:$A$179,$H$5)</x:f>
        <x:v>42</x:v>
      </x:c>
      <x:c r="V25" s="56" t="n">
        <x:f>RANK(U25,$U$6:$U$34,0)</x:f>
        <x:v>24</x:v>
      </x:c>
      <x:c r="W25" s="53" t="n">
        <x:f>IF(F25=0,"n.a.",H25/F25-1)</x:f>
        <x:v>0.5471698113207548</x:v>
      </x:c>
    </x:row>
    <x:row r="26" ht="21" customHeight="1">
      <x:c r="A26" s="58" t="str">
        <x:v>49015</x:v>
      </x:c>
      <x:c r="B26" s="30" t="str">
        <x:v>Emery County</x:v>
      </x:c>
      <x:c r="C26" s="47" t="n">
        <x:f>SUMIFS('County annual'!$H$6:$H$179,'County annual'!$C$6:$C$179,$A26,'County annual'!$A$6:$A$179,C$5)</x:f>
        <x:v>7</x:v>
      </x:c>
      <x:c r="D26" s="47" t="n">
        <x:f>SUMIFS('County annual'!$H$6:$H$179,'County annual'!$C$6:$C$179,$A26,'County annual'!$A$6:$A$179,D$5)</x:f>
        <x:v>14</x:v>
      </x:c>
      <x:c r="E26" s="47" t="n">
        <x:f>SUMIFS('County annual'!$H$6:$H$179,'County annual'!$C$6:$C$179,$A26,'County annual'!$A$6:$A$179,E$5)</x:f>
        <x:v>40</x:v>
      </x:c>
      <x:c r="F26" s="47" t="n">
        <x:f>SUMIFS('County annual'!$H$6:$H$179,'County annual'!$C$6:$C$179,$A26,'County annual'!$A$6:$A$179,F$5)</x:f>
        <x:v>55</x:v>
      </x:c>
      <x:c r="G26" s="47" t="n">
        <x:f>SUMIFS('County annual'!$H$6:$H$179,'County annual'!$C$6:$C$179,$A26,'County annual'!$A$6:$A$179,G$5)</x:f>
        <x:v>55</x:v>
      </x:c>
      <x:c r="H26" s="47" t="n">
        <x:f>SUMIFS('County annual'!$H$6:$H$179,'County annual'!$C$6:$C$179,$A26,'County annual'!$A$6:$A$179,H$5)</x:f>
        <x:v>77</x:v>
      </x:c>
      <x:c r="I26" s="50" t="n">
        <x:f>AVERAGE(F26:H26)</x:f>
        <x:v>62.333333333333336</x:v>
      </x:c>
      <x:c r="J26" s="47" t="n">
        <x:f>H26-G26</x:f>
        <x:v>22</x:v>
      </x:c>
      <x:c r="K26" s="53" t="n">
        <x:f>IF(G26=0,"n.a.",H26/G26-1)</x:f>
        <x:v>0.3999999999999999</x:v>
      </x:c>
      <x:c r="L26" s="53" t="n">
        <x:f>H26/$H$36</x:f>
        <x:v>0.002875816993464052</x:v>
      </x:c>
      <x:c r="M26" s="53" t="n">
        <x:f>IF(H26=0,"n.a.",SUMIFS('County annual'!$D$6:$D$179,'County annual'!$C$6:$C$179,$A26,'County annual'!$A$6:$A$179,$H$5)/H26)</x:f>
        <x:v>1</x:v>
      </x:c>
      <x:c r="N26" s="53" t="n">
        <x:f>IF(H26=0,"n.a.",1-M26)</x:f>
        <x:v>0</x:v>
      </x:c>
      <x:c r="O26" s="53" t="n">
        <x:f>IF(H26=0,"n.a.",(H26-U26)/H26)</x:f>
        <x:v>0</x:v>
      </x:c>
      <x:c r="P26" s="62" t="n">
        <x:f>SUMIFS('County annual'!$J$6:$J$179,'County annual'!$C$6:$C$179,$A26,'County annual'!$A$6:$A$179,$H$5)</x:f>
        <x:v>7299770</x:v>
      </x:c>
      <x:c r="Q26" s="56" t="n">
        <x:f>RANK(H26,$H$6:$H$34,0)</x:f>
        <x:v>21</x:v>
      </x:c>
      <x:c r="R26" s="56" t="n">
        <x:f>RANK(I26,$I$6:$I$34,0)</x:f>
        <x:v>23</x:v>
      </x:c>
      <x:c r="S26" s="50" t="n">
        <x:f>AVERAGE(D26:H26)</x:f>
        <x:v>48.2</x:v>
      </x:c>
      <x:c r="T26" s="56" t="n">
        <x:f>RANK(S26,$S$6:$S$34,0)</x:f>
        <x:v>26</x:v>
      </x:c>
      <x:c r="U26" s="47" t="n">
        <x:f>SUMIFS('County annual'!$K$6:$K$179,'County annual'!$C$6:$C$179,$A26,'County annual'!$A$6:$A$179,$H$5)</x:f>
        <x:v>77</x:v>
      </x:c>
      <x:c r="V26" s="56" t="n">
        <x:f>RANK(U26,$U$6:$U$34,0)</x:f>
        <x:v>19</x:v>
      </x:c>
      <x:c r="W26" s="53" t="n">
        <x:f>IF(F26=0,"n.a.",H26/F26-1)</x:f>
        <x:v>0.3999999999999999</x:v>
      </x:c>
    </x:row>
    <x:row r="27" ht="21" customHeight="1">
      <x:c r="A27" s="58" t="str">
        <x:v>49027</x:v>
      </x:c>
      <x:c r="B27" s="30" t="str">
        <x:v>Millard County</x:v>
      </x:c>
      <x:c r="C27" s="47" t="n">
        <x:f>SUMIFS('County annual'!$H$6:$H$179,'County annual'!$C$6:$C$179,$A27,'County annual'!$A$6:$A$179,C$5)</x:f>
        <x:v>63</x:v>
      </x:c>
      <x:c r="D27" s="47" t="n">
        <x:f>SUMIFS('County annual'!$H$6:$H$179,'County annual'!$C$6:$C$179,$A27,'County annual'!$A$6:$A$179,D$5)</x:f>
        <x:v>53</x:v>
      </x:c>
      <x:c r="E27" s="47" t="n">
        <x:f>SUMIFS('County annual'!$H$6:$H$179,'County annual'!$C$6:$C$179,$A27,'County annual'!$A$6:$A$179,E$5)</x:f>
        <x:v>64</x:v>
      </x:c>
      <x:c r="F27" s="47" t="n">
        <x:f>SUMIFS('County annual'!$H$6:$H$179,'County annual'!$C$6:$C$179,$A27,'County annual'!$A$6:$A$179,F$5)</x:f>
        <x:v>94</x:v>
      </x:c>
      <x:c r="G27" s="47" t="n">
        <x:f>SUMIFS('County annual'!$H$6:$H$179,'County annual'!$C$6:$C$179,$A27,'County annual'!$A$6:$A$179,G$5)</x:f>
        <x:v>93</x:v>
      </x:c>
      <x:c r="H27" s="47" t="n">
        <x:f>SUMIFS('County annual'!$H$6:$H$179,'County annual'!$C$6:$C$179,$A27,'County annual'!$A$6:$A$179,H$5)</x:f>
        <x:v>73</x:v>
      </x:c>
      <x:c r="I27" s="50" t="n">
        <x:f>AVERAGE(F27:H27)</x:f>
        <x:v>86.66666666666667</x:v>
      </x:c>
      <x:c r="J27" s="47" t="n">
        <x:f>H27-G27</x:f>
        <x:v>-20</x:v>
      </x:c>
      <x:c r="K27" s="53" t="n">
        <x:f>IF(G27=0,"n.a.",H27/G27-1)</x:f>
        <x:v>-0.21505376344086025</x:v>
      </x:c>
      <x:c r="L27" s="53" t="n">
        <x:f>H27/$H$36</x:f>
        <x:v>0.0027264239028944913</x:v>
      </x:c>
      <x:c r="M27" s="53" t="n">
        <x:f>IF(H27=0,"n.a.",SUMIFS('County annual'!$D$6:$D$179,'County annual'!$C$6:$C$179,$A27,'County annual'!$A$6:$A$179,$H$5)/H27)</x:f>
        <x:v>0.9178082191780822</x:v>
      </x:c>
      <x:c r="N27" s="53" t="n">
        <x:f>IF(H27=0,"n.a.",1-M27)</x:f>
        <x:v>0.0821917808219178</x:v>
      </x:c>
      <x:c r="O27" s="53" t="n">
        <x:f>IF(H27=0,"n.a.",(H27-U27)/H27)</x:f>
        <x:v>0</x:v>
      </x:c>
      <x:c r="P27" s="62" t="n">
        <x:f>SUMIFS('County annual'!$J$6:$J$179,'County annual'!$C$6:$C$179,$A27,'County annual'!$A$6:$A$179,$H$5)</x:f>
        <x:v>19384153</x:v>
      </x:c>
      <x:c r="Q27" s="56" t="n">
        <x:f>RANK(H27,$H$6:$H$34,0)</x:f>
        <x:v>22</x:v>
      </x:c>
      <x:c r="R27" s="56" t="n">
        <x:f>RANK(I27,$I$6:$I$34,0)</x:f>
        <x:v>21</x:v>
      </x:c>
      <x:c r="S27" s="50" t="n">
        <x:f>AVERAGE(D27:H27)</x:f>
        <x:v>75.4</x:v>
      </x:c>
      <x:c r="T27" s="56" t="n">
        <x:f>RANK(S27,$S$6:$S$34,0)</x:f>
        <x:v>22</x:v>
      </x:c>
      <x:c r="U27" s="47" t="n">
        <x:f>SUMIFS('County annual'!$K$6:$K$179,'County annual'!$C$6:$C$179,$A27,'County annual'!$A$6:$A$179,$H$5)</x:f>
        <x:v>73</x:v>
      </x:c>
      <x:c r="V27" s="56" t="n">
        <x:f>RANK(U27,$U$6:$U$34,0)</x:f>
        <x:v>20</x:v>
      </x:c>
      <x:c r="W27" s="53" t="n">
        <x:f>IF(F27=0,"n.a.",H27/F27-1)</x:f>
        <x:v>-0.22340425531914898</x:v>
      </x:c>
    </x:row>
    <x:row r="28" ht="21" customHeight="1">
      <x:c r="A28" s="58" t="str">
        <x:v>49037</x:v>
      </x:c>
      <x:c r="B28" s="30" t="str">
        <x:v>San Juan County</x:v>
      </x:c>
      <x:c r="C28" s="47" t="n">
        <x:f>SUMIFS('County annual'!$H$6:$H$179,'County annual'!$C$6:$C$179,$A28,'County annual'!$A$6:$A$179,C$5)</x:f>
        <x:v>46</x:v>
      </x:c>
      <x:c r="D28" s="47" t="n">
        <x:f>SUMIFS('County annual'!$H$6:$H$179,'County annual'!$C$6:$C$179,$A28,'County annual'!$A$6:$A$179,D$5)</x:f>
        <x:v>161</x:v>
      </x:c>
      <x:c r="E28" s="47" t="n">
        <x:f>SUMIFS('County annual'!$H$6:$H$179,'County annual'!$C$6:$C$179,$A28,'County annual'!$A$6:$A$179,E$5)</x:f>
        <x:v>92</x:v>
      </x:c>
      <x:c r="F28" s="47" t="n">
        <x:f>SUMIFS('County annual'!$H$6:$H$179,'County annual'!$C$6:$C$179,$A28,'County annual'!$A$6:$A$179,F$5)</x:f>
        <x:v>65</x:v>
      </x:c>
      <x:c r="G28" s="47" t="n">
        <x:f>SUMIFS('County annual'!$H$6:$H$179,'County annual'!$C$6:$C$179,$A28,'County annual'!$A$6:$A$179,G$5)</x:f>
        <x:v>52</x:v>
      </x:c>
      <x:c r="H28" s="47" t="n">
        <x:f>SUMIFS('County annual'!$H$6:$H$179,'County annual'!$C$6:$C$179,$A28,'County annual'!$A$6:$A$179,H$5)</x:f>
        <x:v>55</x:v>
      </x:c>
      <x:c r="I28" s="50" t="n">
        <x:f>AVERAGE(F28:H28)</x:f>
        <x:v>57.333333333333336</x:v>
      </x:c>
      <x:c r="J28" s="47" t="n">
        <x:f>H28-G28</x:f>
        <x:v>3</x:v>
      </x:c>
      <x:c r="K28" s="53" t="n">
        <x:f>IF(G28=0,"n.a.",H28/G28-1)</x:f>
        <x:v>0.05769230769230771</x:v>
      </x:c>
      <x:c r="L28" s="53" t="n">
        <x:f>H28/$H$36</x:f>
        <x:v>0.002054154995331466</x:v>
      </x:c>
      <x:c r="M28" s="53" t="n">
        <x:f>IF(H28=0,"n.a.",SUMIFS('County annual'!$D$6:$D$179,'County annual'!$C$6:$C$179,$A28,'County annual'!$A$6:$A$179,$H$5)/H28)</x:f>
        <x:v>0.8909090909090909</x:v>
      </x:c>
      <x:c r="N28" s="53" t="n">
        <x:f>IF(H28=0,"n.a.",1-M28)</x:f>
        <x:v>0.10909090909090913</x:v>
      </x:c>
      <x:c r="O28" s="53" t="n">
        <x:f>IF(H28=0,"n.a.",(H28-U28)/H28)</x:f>
        <x:v>0.8545454545454545</x:v>
      </x:c>
      <x:c r="P28" s="62" t="n">
        <x:f>SUMIFS('County annual'!$J$6:$J$179,'County annual'!$C$6:$C$179,$A28,'County annual'!$A$6:$A$179,$H$5)</x:f>
        <x:v>19777598</x:v>
      </x:c>
      <x:c r="Q28" s="56" t="n">
        <x:f>RANK(H28,$H$6:$H$34,0)</x:f>
        <x:v>23</x:v>
      </x:c>
      <x:c r="R28" s="56" t="n">
        <x:f>RANK(I28,$I$6:$I$34,0)</x:f>
        <x:v>24</x:v>
      </x:c>
      <x:c r="S28" s="50" t="n">
        <x:f>AVERAGE(D28:H28)</x:f>
        <x:v>85</x:v>
      </x:c>
      <x:c r="T28" s="56" t="n">
        <x:f>RANK(S28,$S$6:$S$34,0)</x:f>
        <x:v>20</x:v>
      </x:c>
      <x:c r="U28" s="47" t="n">
        <x:f>SUMIFS('County annual'!$K$6:$K$179,'County annual'!$C$6:$C$179,$A28,'County annual'!$A$6:$A$179,$H$5)</x:f>
        <x:v>8</x:v>
      </x:c>
      <x:c r="V28" s="56" t="n">
        <x:f>RANK(U28,$U$6:$U$34,0)</x:f>
        <x:v>28</x:v>
      </x:c>
      <x:c r="W28" s="53" t="n">
        <x:f>IF(F28=0,"n.a.",H28/F28-1)</x:f>
        <x:v>-0.15384615384615385</x:v>
      </x:c>
    </x:row>
    <x:row r="29" ht="21" customHeight="1">
      <x:c r="A29" s="58" t="str">
        <x:v>49001</x:v>
      </x:c>
      <x:c r="B29" s="30" t="str">
        <x:v>Beaver County</x:v>
      </x:c>
      <x:c r="C29" s="47" t="n">
        <x:f>SUMIFS('County annual'!$H$6:$H$179,'County annual'!$C$6:$C$179,$A29,'County annual'!$A$6:$A$179,C$5)</x:f>
        <x:v>42</x:v>
      </x:c>
      <x:c r="D29" s="47" t="n">
        <x:f>SUMIFS('County annual'!$H$6:$H$179,'County annual'!$C$6:$C$179,$A29,'County annual'!$A$6:$A$179,D$5)</x:f>
        <x:v>62</x:v>
      </x:c>
      <x:c r="E29" s="47" t="n">
        <x:f>SUMIFS('County annual'!$H$6:$H$179,'County annual'!$C$6:$C$179,$A29,'County annual'!$A$6:$A$179,E$5)</x:f>
        <x:v>63</x:v>
      </x:c>
      <x:c r="F29" s="47" t="n">
        <x:f>SUMIFS('County annual'!$H$6:$H$179,'County annual'!$C$6:$C$179,$A29,'County annual'!$A$6:$A$179,F$5)</x:f>
        <x:v>37</x:v>
      </x:c>
      <x:c r="G29" s="47" t="n">
        <x:f>SUMIFS('County annual'!$H$6:$H$179,'County annual'!$C$6:$C$179,$A29,'County annual'!$A$6:$A$179,G$5)</x:f>
        <x:v>39</x:v>
      </x:c>
      <x:c r="H29" s="47" t="n">
        <x:f>SUMIFS('County annual'!$H$6:$H$179,'County annual'!$C$6:$C$179,$A29,'County annual'!$A$6:$A$179,H$5)</x:f>
        <x:v>48</x:v>
      </x:c>
      <x:c r="I29" s="50" t="n">
        <x:f>AVERAGE(F29:H29)</x:f>
        <x:v>41.333333333333336</x:v>
      </x:c>
      <x:c r="J29" s="47" t="n">
        <x:f>H29-G29</x:f>
        <x:v>9</x:v>
      </x:c>
      <x:c r="K29" s="53" t="n">
        <x:f>IF(G29=0,"n.a.",H29/G29-1)</x:f>
        <x:v>0.23076923076923084</x:v>
      </x:c>
      <x:c r="L29" s="53" t="n">
        <x:f>H29/$H$36</x:f>
        <x:v>0.001792717086834734</x:v>
      </x:c>
      <x:c r="M29" s="53" t="n">
        <x:f>IF(H29=0,"n.a.",SUMIFS('County annual'!$D$6:$D$179,'County annual'!$C$6:$C$179,$A29,'County annual'!$A$6:$A$179,$H$5)/H29)</x:f>
        <x:v>0.7916666666666666</x:v>
      </x:c>
      <x:c r="N29" s="53" t="n">
        <x:f>IF(H29=0,"n.a.",1-M29)</x:f>
        <x:v>0.20833333333333337</x:v>
      </x:c>
      <x:c r="O29" s="53" t="n">
        <x:f>IF(H29=0,"n.a.",(H29-U29)/H29)</x:f>
        <x:v>0</x:v>
      </x:c>
      <x:c r="P29" s="62" t="n">
        <x:f>SUMIFS('County annual'!$J$6:$J$179,'County annual'!$C$6:$C$179,$A29,'County annual'!$A$6:$A$179,$H$5)</x:f>
        <x:v>17700952</x:v>
      </x:c>
      <x:c r="Q29" s="56" t="n">
        <x:f>RANK(H29,$H$6:$H$34,0)</x:f>
        <x:v>24</x:v>
      </x:c>
      <x:c r="R29" s="56" t="n">
        <x:f>RANK(I29,$I$6:$I$34,0)</x:f>
        <x:v>26</x:v>
      </x:c>
      <x:c r="S29" s="50" t="n">
        <x:f>AVERAGE(D29:H29)</x:f>
        <x:v>49.8</x:v>
      </x:c>
      <x:c r="T29" s="56" t="n">
        <x:f>RANK(S29,$S$6:$S$34,0)</x:f>
        <x:v>25</x:v>
      </x:c>
      <x:c r="U29" s="47" t="n">
        <x:f>SUMIFS('County annual'!$K$6:$K$179,'County annual'!$C$6:$C$179,$A29,'County annual'!$A$6:$A$179,$H$5)</x:f>
        <x:v>48</x:v>
      </x:c>
      <x:c r="V29" s="56" t="n">
        <x:f>RANK(U29,$U$6:$U$34,0)</x:f>
        <x:v>22</x:v>
      </x:c>
      <x:c r="W29" s="53" t="n">
        <x:f>IF(F29=0,"n.a.",H29/F29-1)</x:f>
        <x:v>0.29729729729729737</x:v>
      </x:c>
    </x:row>
    <x:row r="30" ht="21" customHeight="1">
      <x:c r="A30" s="58" t="str">
        <x:v>49007</x:v>
      </x:c>
      <x:c r="B30" s="30" t="str">
        <x:v>Carbon County</x:v>
      </x:c>
      <x:c r="C30" s="47" t="n">
        <x:f>SUMIFS('County annual'!$H$6:$H$179,'County annual'!$C$6:$C$179,$A30,'County annual'!$A$6:$A$179,C$5)</x:f>
        <x:v>23</x:v>
      </x:c>
      <x:c r="D30" s="47" t="n">
        <x:f>SUMIFS('County annual'!$H$6:$H$179,'County annual'!$C$6:$C$179,$A30,'County annual'!$A$6:$A$179,D$5)</x:f>
        <x:v>42</x:v>
      </x:c>
      <x:c r="E30" s="47" t="n">
        <x:f>SUMIFS('County annual'!$H$6:$H$179,'County annual'!$C$6:$C$179,$A30,'County annual'!$A$6:$A$179,E$5)</x:f>
        <x:v>64</x:v>
      </x:c>
      <x:c r="F30" s="47" t="n">
        <x:f>SUMIFS('County annual'!$H$6:$H$179,'County annual'!$C$6:$C$179,$A30,'County annual'!$A$6:$A$179,F$5)</x:f>
        <x:v>41</x:v>
      </x:c>
      <x:c r="G30" s="47" t="n">
        <x:f>SUMIFS('County annual'!$H$6:$H$179,'County annual'!$C$6:$C$179,$A30,'County annual'!$A$6:$A$179,G$5)</x:f>
        <x:v>196</x:v>
      </x:c>
      <x:c r="H30" s="47" t="n">
        <x:f>SUMIFS('County annual'!$H$6:$H$179,'County annual'!$C$6:$C$179,$A30,'County annual'!$A$6:$A$179,H$5)</x:f>
        <x:v>45</x:v>
      </x:c>
      <x:c r="I30" s="50" t="n">
        <x:f>AVERAGE(F30:H30)</x:f>
        <x:v>94</x:v>
      </x:c>
      <x:c r="J30" s="47" t="n">
        <x:f>H30-G30</x:f>
        <x:v>-151</x:v>
      </x:c>
      <x:c r="K30" s="53" t="n">
        <x:f>IF(G30=0,"n.a.",H30/G30-1)</x:f>
        <x:v>-0.7704081632653061</x:v>
      </x:c>
      <x:c r="L30" s="53" t="n">
        <x:f>H30/$H$36</x:f>
        <x:v>0.0016806722689075631</x:v>
      </x:c>
      <x:c r="M30" s="53" t="n">
        <x:f>IF(H30=0,"n.a.",SUMIFS('County annual'!$D$6:$D$179,'County annual'!$C$6:$C$179,$A30,'County annual'!$A$6:$A$179,$H$5)/H30)</x:f>
        <x:v>1</x:v>
      </x:c>
      <x:c r="N30" s="53" t="n">
        <x:f>IF(H30=0,"n.a.",1-M30)</x:f>
        <x:v>0</x:v>
      </x:c>
      <x:c r="O30" s="53" t="n">
        <x:f>IF(H30=0,"n.a.",(H30-U30)/H30)</x:f>
        <x:v>0</x:v>
      </x:c>
      <x:c r="P30" s="62" t="n">
        <x:f>SUMIFS('County annual'!$J$6:$J$179,'County annual'!$C$6:$C$179,$A30,'County annual'!$A$6:$A$179,$H$5)</x:f>
        <x:v>19900132</x:v>
      </x:c>
      <x:c r="Q30" s="56" t="n">
        <x:f>RANK(H30,$H$6:$H$34,0)</x:f>
        <x:v>25</x:v>
      </x:c>
      <x:c r="R30" s="56" t="n">
        <x:f>RANK(I30,$I$6:$I$34,0)</x:f>
        <x:v>20</x:v>
      </x:c>
      <x:c r="S30" s="50" t="n">
        <x:f>AVERAGE(D30:H30)</x:f>
        <x:v>77.6</x:v>
      </x:c>
      <x:c r="T30" s="56" t="n">
        <x:f>RANK(S30,$S$6:$S$34,0)</x:f>
        <x:v>21</x:v>
      </x:c>
      <x:c r="U30" s="47" t="n">
        <x:f>SUMIFS('County annual'!$K$6:$K$179,'County annual'!$C$6:$C$179,$A30,'County annual'!$A$6:$A$179,$H$5)</x:f>
        <x:v>45</x:v>
      </x:c>
      <x:c r="V30" s="56" t="n">
        <x:f>RANK(U30,$U$6:$U$34,0)</x:f>
        <x:v>23</x:v>
      </x:c>
      <x:c r="W30" s="53" t="n">
        <x:f>IF(F30=0,"n.a.",H30/F30-1)</x:f>
        <x:v>0.09756097560975618</x:v>
      </x:c>
    </x:row>
    <x:row r="31" ht="21" customHeight="1">
      <x:c r="A31" s="58" t="str">
        <x:v>49055</x:v>
      </x:c>
      <x:c r="B31" s="30" t="str">
        <x:v>Wayne County</x:v>
      </x:c>
      <x:c r="C31" s="47" t="n">
        <x:f>SUMIFS('County annual'!$H$6:$H$179,'County annual'!$C$6:$C$179,$A31,'County annual'!$A$6:$A$179,C$5)</x:f>
        <x:v>31</x:v>
      </x:c>
      <x:c r="D31" s="47" t="n">
        <x:f>SUMIFS('County annual'!$H$6:$H$179,'County annual'!$C$6:$C$179,$A31,'County annual'!$A$6:$A$179,D$5)</x:f>
        <x:v>35</x:v>
      </x:c>
      <x:c r="E31" s="47" t="n">
        <x:f>SUMIFS('County annual'!$H$6:$H$179,'County annual'!$C$6:$C$179,$A31,'County annual'!$A$6:$A$179,E$5)</x:f>
        <x:v>29</x:v>
      </x:c>
      <x:c r="F31" s="47" t="n">
        <x:f>SUMIFS('County annual'!$H$6:$H$179,'County annual'!$C$6:$C$179,$A31,'County annual'!$A$6:$A$179,F$5)</x:f>
        <x:v>20</x:v>
      </x:c>
      <x:c r="G31" s="47" t="n">
        <x:f>SUMIFS('County annual'!$H$6:$H$179,'County annual'!$C$6:$C$179,$A31,'County annual'!$A$6:$A$179,G$5)</x:f>
        <x:v>24</x:v>
      </x:c>
      <x:c r="H31" s="47" t="n">
        <x:f>SUMIFS('County annual'!$H$6:$H$179,'County annual'!$C$6:$C$179,$A31,'County annual'!$A$6:$A$179,H$5)</x:f>
        <x:v>29</x:v>
      </x:c>
      <x:c r="I31" s="50" t="n">
        <x:f>AVERAGE(F31:H31)</x:f>
        <x:v>24.333333333333332</x:v>
      </x:c>
      <x:c r="J31" s="47" t="n">
        <x:f>H31-G31</x:f>
        <x:v>5</x:v>
      </x:c>
      <x:c r="K31" s="53" t="n">
        <x:f>IF(G31=0,"n.a.",H31/G31-1)</x:f>
        <x:v>0.20833333333333326</x:v>
      </x:c>
      <x:c r="L31" s="53" t="n">
        <x:f>H31/$H$36</x:f>
        <x:v>0.0010830999066293184</x:v>
      </x:c>
      <x:c r="M31" s="53" t="n">
        <x:f>IF(H31=0,"n.a.",SUMIFS('County annual'!$D$6:$D$179,'County annual'!$C$6:$C$179,$A31,'County annual'!$A$6:$A$179,$H$5)/H31)</x:f>
        <x:v>1</x:v>
      </x:c>
      <x:c r="N31" s="53" t="n">
        <x:f>IF(H31=0,"n.a.",1-M31)</x:f>
        <x:v>0</x:v>
      </x:c>
      <x:c r="O31" s="53" t="n">
        <x:f>IF(H31=0,"n.a.",(H31-U31)/H31)</x:f>
        <x:v>0</x:v>
      </x:c>
      <x:c r="P31" s="62" t="n">
        <x:f>SUMIFS('County annual'!$J$6:$J$179,'County annual'!$C$6:$C$179,$A31,'County annual'!$A$6:$A$179,$H$5)</x:f>
        <x:v>10893780</x:v>
      </x:c>
      <x:c r="Q31" s="56" t="n">
        <x:f>RANK(H31,$H$6:$H$34,0)</x:f>
        <x:v>26</x:v>
      </x:c>
      <x:c r="R31" s="56" t="n">
        <x:f>RANK(I31,$I$6:$I$34,0)</x:f>
        <x:v>27</x:v>
      </x:c>
      <x:c r="S31" s="50" t="n">
        <x:f>AVERAGE(D31:H31)</x:f>
        <x:v>27.4</x:v>
      </x:c>
      <x:c r="T31" s="56" t="n">
        <x:f>RANK(S31,$S$6:$S$34,0)</x:f>
        <x:v>28</x:v>
      </x:c>
      <x:c r="U31" s="47" t="n">
        <x:f>SUMIFS('County annual'!$K$6:$K$179,'County annual'!$C$6:$C$179,$A31,'County annual'!$A$6:$A$179,$H$5)</x:f>
        <x:v>29</x:v>
      </x:c>
      <x:c r="V31" s="56" t="n">
        <x:f>RANK(U31,$U$6:$U$34,0)</x:f>
        <x:v>25</x:v>
      </x:c>
      <x:c r="W31" s="53" t="n">
        <x:f>IF(F31=0,"n.a.",H31/F31-1)</x:f>
        <x:v>0.44999999999999996</x:v>
      </x:c>
    </x:row>
    <x:row r="32" ht="21" customHeight="1">
      <x:c r="A32" s="58" t="str">
        <x:v>49017</x:v>
      </x:c>
      <x:c r="B32" s="30" t="str">
        <x:v>Garfield County</x:v>
      </x:c>
      <x:c r="C32" s="47" t="n">
        <x:f>SUMIFS('County annual'!$H$6:$H$179,'County annual'!$C$6:$C$179,$A32,'County annual'!$A$6:$A$179,C$5)</x:f>
        <x:v>58</x:v>
      </x:c>
      <x:c r="D32" s="47" t="n">
        <x:f>SUMIFS('County annual'!$H$6:$H$179,'County annual'!$C$6:$C$179,$A32,'County annual'!$A$6:$A$179,D$5)</x:f>
        <x:v>76</x:v>
      </x:c>
      <x:c r="E32" s="47" t="n">
        <x:f>SUMIFS('County annual'!$H$6:$H$179,'County annual'!$C$6:$C$179,$A32,'County annual'!$A$6:$A$179,E$5)</x:f>
        <x:v>66</x:v>
      </x:c>
      <x:c r="F32" s="47" t="n">
        <x:f>SUMIFS('County annual'!$H$6:$H$179,'County annual'!$C$6:$C$179,$A32,'County annual'!$A$6:$A$179,F$5)</x:f>
        <x:v>53</x:v>
      </x:c>
      <x:c r="G32" s="47" t="n">
        <x:f>SUMIFS('County annual'!$H$6:$H$179,'County annual'!$C$6:$C$179,$A32,'County annual'!$A$6:$A$179,G$5)</x:f>
        <x:v>57</x:v>
      </x:c>
      <x:c r="H32" s="47" t="n">
        <x:f>SUMIFS('County annual'!$H$6:$H$179,'County annual'!$C$6:$C$179,$A32,'County annual'!$A$6:$A$179,H$5)</x:f>
        <x:v>27</x:v>
      </x:c>
      <x:c r="I32" s="50" t="n">
        <x:f>AVERAGE(F32:H32)</x:f>
        <x:v>45.666666666666664</x:v>
      </x:c>
      <x:c r="J32" s="47" t="n">
        <x:f>H32-G32</x:f>
        <x:v>-30</x:v>
      </x:c>
      <x:c r="K32" s="53" t="n">
        <x:f>IF(G32=0,"n.a.",H32/G32-1)</x:f>
        <x:v>-0.5263157894736843</x:v>
      </x:c>
      <x:c r="L32" s="53" t="n">
        <x:f>H32/$H$36</x:f>
        <x:v>0.0010084033613445378</x:v>
      </x:c>
      <x:c r="M32" s="53" t="n">
        <x:f>IF(H32=0,"n.a.",SUMIFS('County annual'!$D$6:$D$179,'County annual'!$C$6:$C$179,$A32,'County annual'!$A$6:$A$179,$H$5)/H32)</x:f>
        <x:v>1</x:v>
      </x:c>
      <x:c r="N32" s="53" t="n">
        <x:f>IF(H32=0,"n.a.",1-M32)</x:f>
        <x:v>0</x:v>
      </x:c>
      <x:c r="O32" s="53" t="n">
        <x:f>IF(H32=0,"n.a.",(H32-U32)/H32)</x:f>
        <x:v>0</x:v>
      </x:c>
      <x:c r="P32" s="62" t="n">
        <x:f>SUMIFS('County annual'!$J$6:$J$179,'County annual'!$C$6:$C$179,$A32,'County annual'!$A$6:$A$179,$H$5)</x:f>
        <x:v>10535601</x:v>
      </x:c>
      <x:c r="Q32" s="56" t="n">
        <x:f>RANK(H32,$H$6:$H$34,0)</x:f>
        <x:v>27</x:v>
      </x:c>
      <x:c r="R32" s="56" t="n">
        <x:f>RANK(I32,$I$6:$I$34,0)</x:f>
        <x:v>25</x:v>
      </x:c>
      <x:c r="S32" s="50" t="n">
        <x:f>AVERAGE(D32:H32)</x:f>
        <x:v>55.8</x:v>
      </x:c>
      <x:c r="T32" s="56" t="n">
        <x:f>RANK(S32,$S$6:$S$34,0)</x:f>
        <x:v>24</x:v>
      </x:c>
      <x:c r="U32" s="47" t="n">
        <x:f>SUMIFS('County annual'!$K$6:$K$179,'County annual'!$C$6:$C$179,$A32,'County annual'!$A$6:$A$179,$H$5)</x:f>
        <x:v>27</x:v>
      </x:c>
      <x:c r="V32" s="56" t="n">
        <x:f>RANK(U32,$U$6:$U$34,0)</x:f>
        <x:v>26</x:v>
      </x:c>
      <x:c r="W32" s="53" t="n">
        <x:f>IF(F32=0,"n.a.",H32/F32-1)</x:f>
        <x:v>-0.49056603773584906</x:v>
      </x:c>
    </x:row>
    <x:row r="33" ht="21" customHeight="1">
      <x:c r="A33" s="58" t="str">
        <x:v>49031</x:v>
      </x:c>
      <x:c r="B33" s="30" t="str">
        <x:v>Piute County</x:v>
      </x:c>
      <x:c r="C33" s="47" t="n">
        <x:f>SUMIFS('County annual'!$H$6:$H$179,'County annual'!$C$6:$C$179,$A33,'County annual'!$A$6:$A$179,C$5)</x:f>
        <x:v>26</x:v>
      </x:c>
      <x:c r="D33" s="47" t="n">
        <x:f>SUMIFS('County annual'!$H$6:$H$179,'County annual'!$C$6:$C$179,$A33,'County annual'!$A$6:$A$179,D$5)</x:f>
        <x:v>33</x:v>
      </x:c>
      <x:c r="E33" s="47" t="n">
        <x:f>SUMIFS('County annual'!$H$6:$H$179,'County annual'!$C$6:$C$179,$A33,'County annual'!$A$6:$A$179,E$5)</x:f>
        <x:v>36</x:v>
      </x:c>
      <x:c r="F33" s="47" t="n">
        <x:f>SUMIFS('County annual'!$H$6:$H$179,'County annual'!$C$6:$C$179,$A33,'County annual'!$A$6:$A$179,F$5)</x:f>
        <x:v>25</x:v>
      </x:c>
      <x:c r="G33" s="47" t="n">
        <x:f>SUMIFS('County annual'!$H$6:$H$179,'County annual'!$C$6:$C$179,$A33,'County annual'!$A$6:$A$179,G$5)</x:f>
        <x:v>25</x:v>
      </x:c>
      <x:c r="H33" s="47" t="n">
        <x:f>SUMIFS('County annual'!$H$6:$H$179,'County annual'!$C$6:$C$179,$A33,'County annual'!$A$6:$A$179,H$5)</x:f>
        <x:v>21</x:v>
      </x:c>
      <x:c r="I33" s="50" t="n">
        <x:f>AVERAGE(F33:H33)</x:f>
        <x:v>23.666666666666668</x:v>
      </x:c>
      <x:c r="J33" s="47" t="n">
        <x:f>H33-G33</x:f>
        <x:v>-4</x:v>
      </x:c>
      <x:c r="K33" s="53" t="n">
        <x:f>IF(G33=0,"n.a.",H33/G33-1)</x:f>
        <x:v>-0.16000000000000003</x:v>
      </x:c>
      <x:c r="L33" s="53" t="n">
        <x:f>H33/$H$36</x:f>
        <x:v>0.000784313725490196</x:v>
      </x:c>
      <x:c r="M33" s="53" t="n">
        <x:f>IF(H33=0,"n.a.",SUMIFS('County annual'!$D$6:$D$179,'County annual'!$C$6:$C$179,$A33,'County annual'!$A$6:$A$179,$H$5)/H33)</x:f>
        <x:v>1</x:v>
      </x:c>
      <x:c r="N33" s="53" t="n">
        <x:f>IF(H33=0,"n.a.",1-M33)</x:f>
        <x:v>0</x:v>
      </x:c>
      <x:c r="O33" s="53" t="n">
        <x:f>IF(H33=0,"n.a.",(H33-U33)/H33)</x:f>
        <x:v>1</x:v>
      </x:c>
      <x:c r="P33" s="62" t="n">
        <x:f>SUMIFS('County annual'!$J$6:$J$179,'County annual'!$C$6:$C$179,$A33,'County annual'!$A$6:$A$179,$H$5)</x:f>
        <x:v>3166800</x:v>
      </x:c>
      <x:c r="Q33" s="56" t="n">
        <x:f>RANK(H33,$H$6:$H$34,0)</x:f>
        <x:v>28</x:v>
      </x:c>
      <x:c r="R33" s="56" t="n">
        <x:f>RANK(I33,$I$6:$I$34,0)</x:f>
        <x:v>28</x:v>
      </x:c>
      <x:c r="S33" s="50" t="n">
        <x:f>AVERAGE(D33:H33)</x:f>
        <x:v>28</x:v>
      </x:c>
      <x:c r="T33" s="56" t="n">
        <x:f>RANK(S33,$S$6:$S$34,0)</x:f>
        <x:v>27</x:v>
      </x:c>
      <x:c r="U33" s="47" t="n">
        <x:f>SUMIFS('County annual'!$K$6:$K$179,'County annual'!$C$6:$C$179,$A33,'County annual'!$A$6:$A$179,$H$5)</x:f>
        <x:v>0</x:v>
      </x:c>
      <x:c r="V33" s="56" t="n">
        <x:f>RANK(U33,$U$6:$U$34,0)</x:f>
        <x:v>29</x:v>
      </x:c>
      <x:c r="W33" s="53" t="n">
        <x:f>IF(F33=0,"n.a.",H33/F33-1)</x:f>
        <x:v>-0.16000000000000003</x:v>
      </x:c>
    </x:row>
    <x:row r="34" ht="21" customHeight="1">
      <x:c r="A34" s="58" t="str">
        <x:v>49009</x:v>
      </x:c>
      <x:c r="B34" s="30" t="str">
        <x:v>Daggett County</x:v>
      </x:c>
      <x:c r="C34" s="47" t="n">
        <x:f>SUMIFS('County annual'!$H$6:$H$179,'County annual'!$C$6:$C$179,$A34,'County annual'!$A$6:$A$179,C$5)</x:f>
        <x:v>9</x:v>
      </x:c>
      <x:c r="D34" s="47" t="n">
        <x:f>SUMIFS('County annual'!$H$6:$H$179,'County annual'!$C$6:$C$179,$A34,'County annual'!$A$6:$A$179,D$5)</x:f>
        <x:v>17</x:v>
      </x:c>
      <x:c r="E34" s="47" t="n">
        <x:f>SUMIFS('County annual'!$H$6:$H$179,'County annual'!$C$6:$C$179,$A34,'County annual'!$A$6:$A$179,E$5)</x:f>
        <x:v>20</x:v>
      </x:c>
      <x:c r="F34" s="47" t="n">
        <x:f>SUMIFS('County annual'!$H$6:$H$179,'County annual'!$C$6:$C$179,$A34,'County annual'!$A$6:$A$179,F$5)</x:f>
        <x:v>20</x:v>
      </x:c>
      <x:c r="G34" s="47" t="n">
        <x:f>SUMIFS('County annual'!$H$6:$H$179,'County annual'!$C$6:$C$179,$A34,'County annual'!$A$6:$A$179,G$5)</x:f>
        <x:v>10</x:v>
      </x:c>
      <x:c r="H34" s="47" t="n">
        <x:f>SUMIFS('County annual'!$H$6:$H$179,'County annual'!$C$6:$C$179,$A34,'County annual'!$A$6:$A$179,H$5)</x:f>
        <x:v>17</x:v>
      </x:c>
      <x:c r="I34" s="50" t="n">
        <x:f>AVERAGE(F34:H34)</x:f>
        <x:v>15.666666666666666</x:v>
      </x:c>
      <x:c r="J34" s="47" t="n">
        <x:f>H34-G34</x:f>
        <x:v>7</x:v>
      </x:c>
      <x:c r="K34" s="53" t="n">
        <x:f>IF(G34=0,"n.a.",H34/G34-1)</x:f>
        <x:v>0.7</x:v>
      </x:c>
      <x:c r="L34" s="53" t="n">
        <x:f>H34/$H$36</x:f>
        <x:v>0.0006349206349206349</x:v>
      </x:c>
      <x:c r="M34" s="53" t="n">
        <x:f>IF(H34=0,"n.a.",SUMIFS('County annual'!$D$6:$D$179,'County annual'!$C$6:$C$179,$A34,'County annual'!$A$6:$A$179,$H$5)/H34)</x:f>
        <x:v>1</x:v>
      </x:c>
      <x:c r="N34" s="53" t="n">
        <x:f>IF(H34=0,"n.a.",1-M34)</x:f>
        <x:v>0</x:v>
      </x:c>
      <x:c r="O34" s="53" t="n">
        <x:f>IF(H34=0,"n.a.",(H34-U34)/H34)</x:f>
        <x:v>0</x:v>
      </x:c>
      <x:c r="P34" s="62" t="n">
        <x:f>SUMIFS('County annual'!$J$6:$J$179,'County annual'!$C$6:$C$179,$A34,'County annual'!$A$6:$A$179,$H$5)</x:f>
        <x:v>6678405</x:v>
      </x:c>
      <x:c r="Q34" s="56" t="n">
        <x:f>RANK(H34,$H$6:$H$34,0)</x:f>
        <x:v>29</x:v>
      </x:c>
      <x:c r="R34" s="56" t="n">
        <x:f>RANK(I34,$I$6:$I$34,0)</x:f>
        <x:v>29</x:v>
      </x:c>
      <x:c r="S34" s="50" t="n">
        <x:f>AVERAGE(D34:H34)</x:f>
        <x:v>16.8</x:v>
      </x:c>
      <x:c r="T34" s="56" t="n">
        <x:f>RANK(S34,$S$6:$S$34,0)</x:f>
        <x:v>29</x:v>
      </x:c>
      <x:c r="U34" s="47" t="n">
        <x:f>SUMIFS('County annual'!$K$6:$K$179,'County annual'!$C$6:$C$179,$A34,'County annual'!$A$6:$A$179,$H$5)</x:f>
        <x:v>17</x:v>
      </x:c>
      <x:c r="V34" s="56" t="n">
        <x:f>RANK(U34,$U$6:$U$34,0)</x:f>
        <x:v>27</x:v>
      </x:c>
      <x:c r="W34" s="53" t="n">
        <x:f>IF(F34=0,"n.a.",H34/F34-1)</x:f>
        <x:v>-0.15000000000000002</x:v>
      </x:c>
    </x:row>
    <x:row r="35" ht="21" customHeight="1">
      <x:c r="A35" s="58"/>
      <x:c r="B35" s="30"/>
      <x:c r="C35" s="47"/>
      <x:c r="D35" s="47"/>
      <x:c r="E35" s="47"/>
      <x:c r="F35" s="47"/>
      <x:c r="G35" s="47"/>
      <x:c r="H35" s="47"/>
      <x:c r="I35" s="50"/>
      <x:c r="J35" s="47"/>
      <x:c r="K35" s="53"/>
      <x:c r="L35" s="53"/>
      <x:c r="M35" s="53"/>
      <x:c r="N35" s="53"/>
      <x:c r="O35" s="53"/>
      <x:c r="P35" s="62"/>
      <x:c r="Q35" s="56"/>
      <x:c r="R35" s="56"/>
      <x:c r="S35" s="50"/>
      <x:c r="T35" s="56"/>
      <x:c r="U35" s="47"/>
      <x:c r="V35" s="56"/>
      <x:c r="W35" s="53"/>
    </x:row>
    <x:row r="36" ht="21" customHeight="1">
      <x:c r="A36" s="59" t="str">
        <x:v>49</x:v>
      </x:c>
      <x:c r="B36" s="46" t="str">
        <x:v>Utah statewide</x:v>
      </x:c>
      <x:c r="C36" s="48" t="n">
        <x:f>SUM(C6:C34)</x:f>
        <x:v>31775</x:v>
      </x:c>
      <x:c r="D36" s="48" t="n">
        <x:f>SUM(D6:D34)</x:f>
        <x:v>39058</x:v>
      </x:c>
      <x:c r="E36" s="48" t="n">
        <x:f>SUM(E6:E34)</x:f>
        <x:v>31749</x:v>
      </x:c>
      <x:c r="F36" s="48" t="n">
        <x:f>SUM(F6:F34)</x:f>
        <x:v>25361</x:v>
      </x:c>
      <x:c r="G36" s="48" t="n">
        <x:f>SUM(G6:G34)</x:f>
        <x:v>23902</x:v>
      </x:c>
      <x:c r="H36" s="48" t="n">
        <x:f>SUM(H6:H34)</x:f>
        <x:v>26775</x:v>
      </x:c>
      <x:c r="I36" s="51" t="n">
        <x:f>AVERAGE(F36:H36)</x:f>
        <x:v>25346</x:v>
      </x:c>
      <x:c r="J36" s="48" t="n">
        <x:f>H36-G36</x:f>
        <x:v>2873</x:v>
      </x:c>
      <x:c r="K36" s="54" t="n">
        <x:f>H36/G36-1</x:f>
        <x:v>0.1201991465149359</x:v>
      </x:c>
      <x:c r="L36" s="54" t="n">
        <x:f>1</x:f>
        <x:v>1</x:v>
      </x:c>
      <x:c r="M36" s="54" t="n">
        <x:f>SUMIFS('County annual'!$D$6:$D$179,'County annual'!$A$6:$A$179,H$5)/H36</x:f>
        <x:v>0.6264799253034548</x:v>
      </x:c>
      <x:c r="N36" s="54" t="n">
        <x:f>1-M36</x:f>
        <x:v>0.37352007469654525</x:v>
      </x:c>
      <x:c r="O36" s="54" t="n">
        <x:f>(H36-U36)/H36</x:f>
        <x:v>0.036601307189542485</x:v>
      </x:c>
      <x:c r="P36" s="63" t="n">
        <x:f>SUM(P6:P34)</x:f>
        <x:v>8309461558</x:v>
      </x:c>
      <x:c r="Q36" s="57"/>
      <x:c r="R36" s="57"/>
      <x:c r="S36" s="51" t="n">
        <x:f>AVERAGE(D36:H36)</x:f>
        <x:v>29369</x:v>
      </x:c>
      <x:c r="T36" s="57"/>
      <x:c r="U36" s="48" t="n">
        <x:f>SUM(U6:U34)</x:f>
        <x:v>25795</x:v>
      </x:c>
      <x:c r="V36" s="57"/>
      <x:c r="W36" s="54" t="n">
        <x:f>H36/F36-1</x:f>
        <x:v>0.05575489925476118</x:v>
      </x:c>
    </x:row>
    <x:row r="37" ht="21" customHeight="1">
      <x:c r="A37" s="58"/>
      <x:c r="B37" s="30"/>
      <x:c r="C37" s="47"/>
      <x:c r="D37" s="47"/>
      <x:c r="E37" s="47"/>
      <x:c r="F37" s="47"/>
      <x:c r="G37" s="47"/>
      <x:c r="H37" s="47"/>
      <x:c r="I37" s="50"/>
      <x:c r="J37" s="47"/>
      <x:c r="K37" s="53"/>
      <x:c r="L37" s="53"/>
      <x:c r="M37" s="53"/>
      <x:c r="N37" s="53"/>
      <x:c r="O37" s="53"/>
      <x:c r="P37" s="62"/>
      <x:c r="Q37" s="56"/>
      <x:c r="R37" s="56"/>
      <x:c r="S37" s="50"/>
      <x:c r="T37" s="56"/>
      <x:c r="U37" s="47"/>
      <x:c r="V37" s="56"/>
      <x:c r="W37" s="53"/>
    </x:row>
    <x:row r="38" ht="21" customHeight="1">
      <x:c r="A38" s="58"/>
      <x:c r="B38" s="30"/>
      <x:c r="C38" s="47"/>
      <x:c r="D38" s="47"/>
      <x:c r="E38" s="47"/>
      <x:c r="F38" s="47"/>
      <x:c r="G38" s="47"/>
      <x:c r="H38" s="47"/>
      <x:c r="I38" s="50"/>
      <x:c r="J38" s="47"/>
      <x:c r="K38" s="53"/>
      <x:c r="L38" s="53"/>
      <x:c r="M38" s="53"/>
      <x:c r="N38" s="53"/>
      <x:c r="O38" s="53"/>
      <x:c r="P38" s="62"/>
      <x:c r="Q38" s="56"/>
      <x:c r="R38" s="56"/>
      <x:c r="S38" s="50"/>
      <x:c r="T38" s="56"/>
      <x:c r="U38" s="47"/>
      <x:c r="V38" s="56"/>
      <x:c r="W38" s="53"/>
    </x:row>
    <x:row r="39" ht="21" customHeight="1">
      <x:c r="A39" s="60" t="str">
        <x:v>Growth spanning 2022–2023 also reflects Census survey-coverage changes. Prefer 2023–2025 comparisons for the recent view.</x:v>
      </x:c>
      <x:c r="B39" s="30"/>
      <x:c r="C39" s="47"/>
      <x:c r="D39" s="47"/>
      <x:c r="E39" s="47"/>
      <x:c r="F39" s="47"/>
      <x:c r="G39" s="47"/>
      <x:c r="H39" s="47"/>
      <x:c r="I39" s="50"/>
      <x:c r="J39" s="47"/>
      <x:c r="K39" s="53"/>
      <x:c r="L39" s="53"/>
      <x:c r="M39" s="53"/>
      <x:c r="N39" s="53"/>
      <x:c r="O39" s="53"/>
      <x:c r="P39" s="62"/>
      <x:c r="Q39" s="56"/>
      <x:c r="R39" s="56"/>
      <x:c r="S39" s="50"/>
      <x:c r="T39" s="56"/>
      <x:c r="U39" s="47"/>
      <x:c r="V39" s="56"/>
      <x:c r="W39" s="53"/>
    </x:row>
    <x:row r="40" ht="21" customHeight="1">
      <x:c r="A40" s="60" t="str">
        <x:v>Imputed share = (estimated units − reported units) / estimated units. Reported-only ranks are a sensitivity check, not a superior estimate.</x:v>
      </x:c>
      <x:c r="B40" s="30"/>
      <x:c r="C40" s="47"/>
      <x:c r="D40" s="47"/>
      <x:c r="E40" s="47"/>
      <x:c r="F40" s="47"/>
      <x:c r="G40" s="47"/>
      <x:c r="H40" s="47"/>
      <x:c r="I40" s="50"/>
      <x:c r="J40" s="47"/>
      <x:c r="K40" s="53"/>
      <x:c r="L40" s="53"/>
      <x:c r="M40" s="53"/>
      <x:c r="N40" s="53"/>
      <x:c r="O40" s="53"/>
      <x:c r="P40" s="62"/>
      <x:c r="Q40" s="56"/>
      <x:c r="R40" s="56"/>
      <x:c r="S40" s="50"/>
      <x:c r="T40" s="56"/>
      <x:c r="U40" s="47"/>
      <x:c r="V40" s="56"/>
      <x:c r="W40" s="53"/>
    </x:row>
    <x:row r="41" ht="21" customHeight="1">
      <x:c r="A41" s="58"/>
      <x:c r="B41" s="30"/>
      <x:c r="C41" s="47"/>
      <x:c r="D41" s="47"/>
      <x:c r="E41" s="47"/>
      <x:c r="F41" s="47"/>
      <x:c r="G41" s="47"/>
      <x:c r="H41" s="47"/>
      <x:c r="I41" s="50"/>
      <x:c r="J41" s="47"/>
      <x:c r="K41" s="53"/>
      <x:c r="L41" s="53"/>
      <x:c r="M41" s="53"/>
      <x:c r="N41" s="53"/>
      <x:c r="O41" s="53"/>
      <x:c r="P41" s="62"/>
      <x:c r="Q41" s="56"/>
      <x:c r="R41" s="56"/>
      <x:c r="S41" s="50"/>
      <x:c r="T41" s="56"/>
      <x:c r="U41" s="47"/>
      <x:c r="V41" s="56"/>
      <x:c r="W41" s="53"/>
    </x:row>
    <x:row r="42" ht="21" customHeight="1">
      <x:c r="A42" s="58"/>
      <x:c r="B42" s="30"/>
      <x:c r="C42" s="47"/>
      <x:c r="D42" s="47"/>
      <x:c r="E42" s="47"/>
      <x:c r="F42" s="47"/>
      <x:c r="G42" s="47"/>
      <x:c r="H42" s="47"/>
      <x:c r="I42" s="50"/>
      <x:c r="J42" s="47"/>
      <x:c r="K42" s="53"/>
      <x:c r="L42" s="53"/>
      <x:c r="M42" s="53"/>
      <x:c r="N42" s="53"/>
      <x:c r="O42" s="53"/>
      <x:c r="P42" s="62"/>
      <x:c r="Q42" s="56"/>
      <x:c r="R42" s="56"/>
      <x:c r="S42" s="50"/>
      <x:c r="T42" s="56"/>
      <x:c r="U42" s="47"/>
      <x:c r="V42" s="56"/>
      <x:c r="W42" s="53"/>
    </x:row>
    <x:row r="43">
      <x:c r="A43" s="61"/>
      <x:c r="C43" s="49"/>
      <x:c r="D43" s="49"/>
      <x:c r="E43" s="49"/>
      <x:c r="F43" s="49"/>
      <x:c r="G43" s="49"/>
      <x:c r="H43" s="49"/>
      <x:c r="I43" s="52"/>
      <x:c r="J43" s="49"/>
      <x:c r="K43" s="55"/>
      <x:c r="L43" s="55"/>
      <x:c r="M43" s="55"/>
      <x:c r="N43" s="55"/>
      <x:c r="O43" s="55"/>
      <x:c r="P43" s="64"/>
      <x:c r="Q43" s="28"/>
      <x:c r="R43" s="28"/>
      <x:c r="S43" s="52"/>
      <x:c r="T43" s="28"/>
      <x:c r="U43" s="49"/>
      <x:c r="V43" s="28"/>
      <x:c r="W43" s="55"/>
    </x:row>
    <x:row r="44">
      <x:c r="A44" s="61"/>
      <x:c r="C44" s="49"/>
      <x:c r="D44" s="49"/>
      <x:c r="E44" s="49"/>
      <x:c r="F44" s="49"/>
      <x:c r="G44" s="49"/>
      <x:c r="H44" s="49"/>
      <x:c r="I44" s="52"/>
      <x:c r="J44" s="49"/>
      <x:c r="K44" s="55"/>
      <x:c r="L44" s="55"/>
      <x:c r="M44" s="55"/>
      <x:c r="N44" s="55"/>
      <x:c r="O44" s="55"/>
      <x:c r="P44" s="64"/>
      <x:c r="Q44" s="28"/>
      <x:c r="R44" s="28"/>
      <x:c r="S44" s="52"/>
      <x:c r="T44" s="28"/>
      <x:c r="U44" s="49"/>
      <x:c r="V44" s="28"/>
      <x:c r="W44" s="55"/>
    </x:row>
    <x:row r="45">
      <x:c r="A45" s="61"/>
      <x:c r="C45" s="49"/>
      <x:c r="D45" s="49"/>
      <x:c r="E45" s="49"/>
      <x:c r="F45" s="49"/>
      <x:c r="G45" s="49"/>
      <x:c r="H45" s="49"/>
      <x:c r="I45" s="52"/>
      <x:c r="J45" s="49"/>
      <x:c r="K45" s="55"/>
      <x:c r="L45" s="55"/>
      <x:c r="M45" s="55"/>
      <x:c r="N45" s="55"/>
      <x:c r="O45" s="55"/>
      <x:c r="P45" s="64"/>
      <x:c r="Q45" s="28"/>
      <x:c r="R45" s="28"/>
      <x:c r="S45" s="52"/>
      <x:c r="T45" s="28"/>
      <x:c r="U45" s="49"/>
      <x:c r="V45" s="28"/>
      <x:c r="W45" s="55"/>
    </x:row>
    <x:row r="46">
      <x:c r="A46" s="61"/>
      <x:c r="C46" s="49"/>
      <x:c r="D46" s="49"/>
      <x:c r="E46" s="49"/>
      <x:c r="F46" s="49"/>
      <x:c r="G46" s="49"/>
      <x:c r="H46" s="49"/>
      <x:c r="I46" s="52"/>
      <x:c r="J46" s="49"/>
      <x:c r="K46" s="55"/>
      <x:c r="L46" s="55"/>
      <x:c r="M46" s="55"/>
      <x:c r="N46" s="55"/>
      <x:c r="O46" s="55"/>
      <x:c r="P46" s="64"/>
      <x:c r="Q46" s="28"/>
      <x:c r="R46" s="28"/>
      <x:c r="S46" s="52"/>
      <x:c r="T46" s="28"/>
      <x:c r="U46" s="49"/>
      <x:c r="V46" s="28"/>
      <x:c r="W46" s="55"/>
    </x:row>
    <x:row r="47">
      <x:c r="A47" s="61"/>
      <x:c r="C47" s="49"/>
      <x:c r="D47" s="49"/>
      <x:c r="E47" s="49"/>
      <x:c r="F47" s="49"/>
      <x:c r="G47" s="49"/>
      <x:c r="H47" s="49"/>
      <x:c r="I47" s="52"/>
      <x:c r="J47" s="49"/>
      <x:c r="K47" s="55"/>
      <x:c r="L47" s="55"/>
      <x:c r="M47" s="55"/>
      <x:c r="N47" s="55"/>
      <x:c r="O47" s="55"/>
      <x:c r="P47" s="64"/>
      <x:c r="Q47" s="28"/>
      <x:c r="R47" s="28"/>
      <x:c r="S47" s="52"/>
      <x:c r="T47" s="28"/>
      <x:c r="U47" s="49"/>
      <x:c r="V47" s="28"/>
      <x:c r="W47" s="55"/>
    </x:row>
    <x:row r="48">
      <x:c r="A48" s="61"/>
      <x:c r="C48" s="49"/>
      <x:c r="D48" s="49"/>
      <x:c r="E48" s="49"/>
      <x:c r="F48" s="49"/>
      <x:c r="G48" s="49"/>
      <x:c r="H48" s="49"/>
      <x:c r="I48" s="52"/>
      <x:c r="J48" s="49"/>
      <x:c r="K48" s="55"/>
      <x:c r="L48" s="55"/>
      <x:c r="M48" s="55"/>
      <x:c r="N48" s="55"/>
      <x:c r="O48" s="55"/>
      <x:c r="P48" s="64"/>
      <x:c r="Q48" s="28"/>
      <x:c r="R48" s="28"/>
      <x:c r="S48" s="52"/>
      <x:c r="T48" s="28"/>
      <x:c r="U48" s="49"/>
      <x:c r="V48" s="28"/>
      <x:c r="W48" s="55"/>
    </x:row>
    <x:row r="49">
      <x:c r="A49" s="61"/>
      <x:c r="C49" s="49"/>
      <x:c r="D49" s="49"/>
      <x:c r="E49" s="49"/>
      <x:c r="F49" s="49"/>
      <x:c r="G49" s="49"/>
      <x:c r="H49" s="49"/>
      <x:c r="I49" s="52"/>
      <x:c r="J49" s="49"/>
      <x:c r="K49" s="55"/>
      <x:c r="L49" s="55"/>
      <x:c r="M49" s="55"/>
      <x:c r="N49" s="55"/>
      <x:c r="O49" s="55"/>
      <x:c r="P49" s="64"/>
      <x:c r="Q49" s="28"/>
      <x:c r="R49" s="28"/>
      <x:c r="S49" s="52"/>
      <x:c r="T49" s="28"/>
      <x:c r="U49" s="49"/>
      <x:c r="V49" s="28"/>
      <x:c r="W49" s="55"/>
    </x:row>
    <x:row r="50">
      <x:c r="A50" s="61"/>
      <x:c r="C50" s="49"/>
      <x:c r="D50" s="49"/>
      <x:c r="E50" s="49"/>
      <x:c r="F50" s="49"/>
      <x:c r="G50" s="49"/>
      <x:c r="H50" s="49"/>
      <x:c r="I50" s="52"/>
      <x:c r="J50" s="49"/>
      <x:c r="K50" s="55"/>
      <x:c r="L50" s="55"/>
      <x:c r="M50" s="55"/>
      <x:c r="N50" s="55"/>
      <x:c r="O50" s="55"/>
      <x:c r="P50" s="64"/>
      <x:c r="Q50" s="28"/>
      <x:c r="R50" s="28"/>
      <x:c r="S50" s="52"/>
      <x:c r="T50" s="28"/>
      <x:c r="U50" s="49"/>
      <x:c r="V50" s="28"/>
      <x:c r="W50" s="55"/>
    </x:row>
    <x:row r="51">
      <x:c r="A51" s="61"/>
      <x:c r="C51" s="49"/>
      <x:c r="D51" s="49"/>
      <x:c r="E51" s="49"/>
      <x:c r="F51" s="49"/>
      <x:c r="G51" s="49"/>
      <x:c r="H51" s="49"/>
      <x:c r="I51" s="52"/>
      <x:c r="J51" s="49"/>
      <x:c r="K51" s="55"/>
      <x:c r="L51" s="55"/>
      <x:c r="M51" s="55"/>
      <x:c r="N51" s="55"/>
      <x:c r="O51" s="55"/>
      <x:c r="P51" s="64"/>
      <x:c r="Q51" s="28"/>
      <x:c r="R51" s="28"/>
      <x:c r="S51" s="52"/>
      <x:c r="T51" s="28"/>
      <x:c r="U51" s="49"/>
      <x:c r="V51" s="28"/>
      <x:c r="W51" s="55"/>
    </x:row>
    <x:row r="52">
      <x:c r="A52" s="61"/>
      <x:c r="C52" s="49"/>
      <x:c r="D52" s="49"/>
      <x:c r="E52" s="49"/>
      <x:c r="F52" s="49"/>
      <x:c r="G52" s="49"/>
      <x:c r="H52" s="49"/>
      <x:c r="I52" s="52"/>
      <x:c r="J52" s="49"/>
      <x:c r="K52" s="55"/>
      <x:c r="L52" s="55"/>
      <x:c r="M52" s="55"/>
      <x:c r="N52" s="55"/>
      <x:c r="O52" s="55"/>
      <x:c r="P52" s="64"/>
      <x:c r="Q52" s="28"/>
      <x:c r="R52" s="28"/>
      <x:c r="S52" s="52"/>
      <x:c r="T52" s="28"/>
      <x:c r="U52" s="49"/>
      <x:c r="V52" s="28"/>
      <x:c r="W52" s="55"/>
    </x:row>
    <x:row r="53">
      <x:c r="A53" s="61"/>
      <x:c r="C53" s="49"/>
      <x:c r="D53" s="49"/>
      <x:c r="E53" s="49"/>
      <x:c r="F53" s="49"/>
      <x:c r="G53" s="49"/>
      <x:c r="H53" s="49"/>
      <x:c r="I53" s="52"/>
      <x:c r="J53" s="49"/>
      <x:c r="K53" s="55"/>
      <x:c r="L53" s="55"/>
      <x:c r="M53" s="55"/>
      <x:c r="N53" s="55"/>
      <x:c r="O53" s="55"/>
      <x:c r="P53" s="64"/>
      <x:c r="Q53" s="28"/>
      <x:c r="R53" s="28"/>
      <x:c r="S53" s="52"/>
      <x:c r="T53" s="28"/>
      <x:c r="U53" s="49"/>
      <x:c r="V53" s="28"/>
      <x:c r="W53" s="55"/>
    </x:row>
    <x:row r="54">
      <x:c r="A54" s="61"/>
      <x:c r="C54" s="49"/>
      <x:c r="D54" s="49"/>
      <x:c r="E54" s="49"/>
      <x:c r="F54" s="49"/>
      <x:c r="G54" s="49"/>
      <x:c r="H54" s="49"/>
      <x:c r="I54" s="52"/>
      <x:c r="J54" s="49"/>
      <x:c r="K54" s="55"/>
      <x:c r="L54" s="55"/>
      <x:c r="M54" s="55"/>
      <x:c r="N54" s="55"/>
      <x:c r="O54" s="55"/>
      <x:c r="P54" s="64"/>
      <x:c r="Q54" s="28"/>
      <x:c r="R54" s="28"/>
      <x:c r="S54" s="52"/>
      <x:c r="T54" s="28"/>
      <x:c r="U54" s="49"/>
      <x:c r="V54" s="28"/>
      <x:c r="W54" s="55"/>
    </x:row>
    <x:row r="55">
      <x:c r="A55" s="61"/>
      <x:c r="C55" s="49"/>
      <x:c r="D55" s="49"/>
      <x:c r="E55" s="49"/>
      <x:c r="F55" s="49"/>
      <x:c r="G55" s="49"/>
      <x:c r="H55" s="49"/>
      <x:c r="I55" s="52"/>
      <x:c r="J55" s="49"/>
      <x:c r="K55" s="55"/>
      <x:c r="L55" s="55"/>
      <x:c r="M55" s="55"/>
      <x:c r="N55" s="55"/>
      <x:c r="O55" s="55"/>
      <x:c r="P55" s="64"/>
      <x:c r="Q55" s="28"/>
      <x:c r="R55" s="28"/>
      <x:c r="S55" s="52"/>
      <x:c r="T55" s="28"/>
      <x:c r="U55" s="49"/>
      <x:c r="V55" s="28"/>
      <x:c r="W55" s="55"/>
    </x:row>
    <x:row r="56">
      <x:c r="A56" s="61"/>
      <x:c r="C56" s="49"/>
      <x:c r="D56" s="49"/>
      <x:c r="E56" s="49"/>
      <x:c r="F56" s="49"/>
      <x:c r="G56" s="49"/>
      <x:c r="H56" s="49"/>
      <x:c r="I56" s="52"/>
      <x:c r="J56" s="49"/>
      <x:c r="K56" s="55"/>
      <x:c r="L56" s="55"/>
      <x:c r="M56" s="55"/>
      <x:c r="N56" s="55"/>
      <x:c r="O56" s="55"/>
      <x:c r="P56" s="64"/>
      <x:c r="Q56" s="28"/>
      <x:c r="R56" s="28"/>
      <x:c r="S56" s="52"/>
      <x:c r="T56" s="28"/>
      <x:c r="U56" s="49"/>
      <x:c r="V56" s="28"/>
      <x:c r="W56" s="55"/>
    </x:row>
    <x:row r="57">
      <x:c r="A57" s="61"/>
      <x:c r="C57" s="49"/>
      <x:c r="D57" s="49"/>
      <x:c r="E57" s="49"/>
      <x:c r="F57" s="49"/>
      <x:c r="G57" s="49"/>
      <x:c r="H57" s="49"/>
      <x:c r="I57" s="52"/>
      <x:c r="J57" s="49"/>
      <x:c r="K57" s="55"/>
      <x:c r="L57" s="55"/>
      <x:c r="M57" s="55"/>
      <x:c r="N57" s="55"/>
      <x:c r="O57" s="55"/>
      <x:c r="P57" s="64"/>
      <x:c r="Q57" s="28"/>
      <x:c r="R57" s="28"/>
      <x:c r="S57" s="52"/>
      <x:c r="T57" s="28"/>
      <x:c r="U57" s="49"/>
      <x:c r="V57" s="28"/>
      <x:c r="W57" s="55"/>
    </x:row>
    <x:row r="58">
      <x:c r="A58" s="61"/>
      <x:c r="C58" s="49"/>
      <x:c r="D58" s="49"/>
      <x:c r="E58" s="49"/>
      <x:c r="F58" s="49"/>
      <x:c r="G58" s="49"/>
      <x:c r="H58" s="49"/>
      <x:c r="I58" s="52"/>
      <x:c r="J58" s="49"/>
      <x:c r="K58" s="55"/>
      <x:c r="L58" s="55"/>
      <x:c r="M58" s="55"/>
      <x:c r="N58" s="55"/>
      <x:c r="O58" s="55"/>
      <x:c r="P58" s="64"/>
      <x:c r="Q58" s="28"/>
      <x:c r="R58" s="28"/>
      <x:c r="S58" s="52"/>
      <x:c r="T58" s="28"/>
      <x:c r="U58" s="49"/>
      <x:c r="V58" s="28"/>
      <x:c r="W58" s="55"/>
    </x:row>
    <x:row r="59">
      <x:c r="A59" s="61"/>
      <x:c r="C59" s="49"/>
      <x:c r="D59" s="49"/>
      <x:c r="E59" s="49"/>
      <x:c r="F59" s="49"/>
      <x:c r="G59" s="49"/>
      <x:c r="H59" s="49"/>
      <x:c r="I59" s="52"/>
      <x:c r="J59" s="49"/>
      <x:c r="K59" s="55"/>
      <x:c r="L59" s="55"/>
      <x:c r="M59" s="55"/>
      <x:c r="N59" s="55"/>
      <x:c r="O59" s="55"/>
      <x:c r="P59" s="64"/>
      <x:c r="Q59" s="28"/>
      <x:c r="R59" s="28"/>
      <x:c r="S59" s="52"/>
      <x:c r="T59" s="28"/>
      <x:c r="U59" s="49"/>
      <x:c r="V59" s="28"/>
      <x:c r="W59" s="55"/>
    </x:row>
    <x:row r="60">
      <x:c r="A60" s="61"/>
      <x:c r="C60" s="49"/>
      <x:c r="D60" s="49"/>
      <x:c r="E60" s="49"/>
      <x:c r="F60" s="49"/>
      <x:c r="G60" s="49"/>
      <x:c r="H60" s="49"/>
      <x:c r="I60" s="52"/>
      <x:c r="J60" s="49"/>
      <x:c r="K60" s="55"/>
      <x:c r="L60" s="55"/>
      <x:c r="M60" s="55"/>
      <x:c r="N60" s="55"/>
      <x:c r="O60" s="55"/>
      <x:c r="P60" s="64"/>
      <x:c r="Q60" s="28"/>
      <x:c r="R60" s="28"/>
      <x:c r="S60" s="52"/>
      <x:c r="T60" s="28"/>
      <x:c r="U60" s="49"/>
      <x:c r="V60" s="28"/>
      <x:c r="W60" s="55"/>
    </x:row>
    <x:row r="61">
      <x:c r="A61" s="61"/>
      <x:c r="C61" s="49"/>
      <x:c r="D61" s="49"/>
      <x:c r="E61" s="49"/>
      <x:c r="F61" s="49"/>
      <x:c r="G61" s="49"/>
      <x:c r="H61" s="49"/>
      <x:c r="I61" s="52"/>
      <x:c r="J61" s="49"/>
      <x:c r="K61" s="55"/>
      <x:c r="L61" s="55"/>
      <x:c r="M61" s="55"/>
      <x:c r="N61" s="55"/>
      <x:c r="O61" s="55"/>
      <x:c r="P61" s="64"/>
      <x:c r="Q61" s="28"/>
      <x:c r="R61" s="28"/>
      <x:c r="S61" s="52"/>
      <x:c r="T61" s="28"/>
      <x:c r="U61" s="49"/>
      <x:c r="V61" s="28"/>
      <x:c r="W61" s="55"/>
    </x:row>
    <x:row r="62">
      <x:c r="A62" s="61"/>
      <x:c r="C62" s="49"/>
      <x:c r="D62" s="49"/>
      <x:c r="E62" s="49"/>
      <x:c r="F62" s="49"/>
      <x:c r="G62" s="49"/>
      <x:c r="H62" s="49"/>
      <x:c r="I62" s="52"/>
      <x:c r="J62" s="49"/>
      <x:c r="K62" s="55"/>
      <x:c r="L62" s="55"/>
      <x:c r="M62" s="55"/>
      <x:c r="N62" s="55"/>
      <x:c r="O62" s="55"/>
      <x:c r="P62" s="64"/>
      <x:c r="Q62" s="28"/>
      <x:c r="R62" s="28"/>
      <x:c r="S62" s="52"/>
      <x:c r="T62" s="28"/>
      <x:c r="U62" s="49"/>
      <x:c r="V62" s="28"/>
      <x:c r="W62" s="55"/>
    </x:row>
    <x:row r="63">
      <x:c r="A63" s="61"/>
      <x:c r="C63" s="49"/>
      <x:c r="D63" s="49"/>
      <x:c r="E63" s="49"/>
      <x:c r="F63" s="49"/>
      <x:c r="G63" s="49"/>
      <x:c r="H63" s="49"/>
      <x:c r="I63" s="52"/>
      <x:c r="J63" s="49"/>
      <x:c r="K63" s="55"/>
      <x:c r="L63" s="55"/>
      <x:c r="M63" s="55"/>
      <x:c r="N63" s="55"/>
      <x:c r="O63" s="55"/>
      <x:c r="P63" s="64"/>
      <x:c r="Q63" s="28"/>
      <x:c r="R63" s="28"/>
      <x:c r="S63" s="52"/>
      <x:c r="T63" s="28"/>
      <x:c r="U63" s="49"/>
      <x:c r="V63" s="28"/>
      <x:c r="W63" s="55"/>
    </x:row>
    <x:row r="64">
      <x:c r="A64" s="61"/>
      <x:c r="C64" s="49"/>
      <x:c r="D64" s="49"/>
      <x:c r="E64" s="49"/>
      <x:c r="F64" s="49"/>
      <x:c r="G64" s="49"/>
      <x:c r="H64" s="49"/>
      <x:c r="I64" s="52"/>
      <x:c r="J64" s="49"/>
      <x:c r="K64" s="55"/>
      <x:c r="L64" s="55"/>
      <x:c r="M64" s="55"/>
      <x:c r="N64" s="55"/>
      <x:c r="O64" s="55"/>
      <x:c r="P64" s="64"/>
      <x:c r="Q64" s="28"/>
      <x:c r="R64" s="28"/>
      <x:c r="S64" s="52"/>
      <x:c r="T64" s="28"/>
      <x:c r="U64" s="49"/>
      <x:c r="V64" s="28"/>
      <x:c r="W64" s="55"/>
    </x:row>
    <x:row r="65">
      <x:c r="A65" s="61"/>
      <x:c r="C65" s="49"/>
      <x:c r="D65" s="49"/>
      <x:c r="E65" s="49"/>
      <x:c r="F65" s="49"/>
      <x:c r="G65" s="49"/>
      <x:c r="H65" s="49"/>
      <x:c r="I65" s="52"/>
      <x:c r="J65" s="49"/>
      <x:c r="K65" s="55"/>
      <x:c r="L65" s="55"/>
      <x:c r="M65" s="55"/>
      <x:c r="N65" s="55"/>
      <x:c r="O65" s="55"/>
      <x:c r="P65" s="64"/>
      <x:c r="Q65" s="28"/>
      <x:c r="R65" s="28"/>
      <x:c r="S65" s="52"/>
      <x:c r="T65" s="28"/>
      <x:c r="U65" s="49"/>
      <x:c r="V65" s="28"/>
      <x:c r="W65" s="55"/>
    </x:row>
    <x:row r="66">
      <x:c r="A66" s="61"/>
      <x:c r="C66" s="49"/>
      <x:c r="D66" s="49"/>
      <x:c r="E66" s="49"/>
      <x:c r="F66" s="49"/>
      <x:c r="G66" s="49"/>
      <x:c r="H66" s="49"/>
      <x:c r="I66" s="52"/>
      <x:c r="J66" s="49"/>
      <x:c r="K66" s="55"/>
      <x:c r="L66" s="55"/>
      <x:c r="M66" s="55"/>
      <x:c r="N66" s="55"/>
      <x:c r="O66" s="55"/>
      <x:c r="P66" s="64"/>
      <x:c r="Q66" s="28"/>
      <x:c r="R66" s="28"/>
      <x:c r="S66" s="52"/>
      <x:c r="T66" s="28"/>
      <x:c r="U66" s="49"/>
      <x:c r="V66" s="28"/>
      <x:c r="W66" s="55"/>
    </x:row>
    <x:row r="67">
      <x:c r="A67" s="61"/>
      <x:c r="C67" s="49"/>
      <x:c r="D67" s="49"/>
      <x:c r="E67" s="49"/>
      <x:c r="F67" s="49"/>
      <x:c r="G67" s="49"/>
      <x:c r="H67" s="49"/>
      <x:c r="I67" s="52"/>
      <x:c r="J67" s="49"/>
      <x:c r="K67" s="55"/>
      <x:c r="L67" s="55"/>
      <x:c r="M67" s="55"/>
      <x:c r="N67" s="55"/>
      <x:c r="O67" s="55"/>
      <x:c r="P67" s="64"/>
      <x:c r="Q67" s="28"/>
      <x:c r="R67" s="28"/>
      <x:c r="S67" s="52"/>
      <x:c r="T67" s="28"/>
      <x:c r="U67" s="49"/>
      <x:c r="V67" s="28"/>
      <x:c r="W67" s="55"/>
    </x:row>
    <x:row r="68">
      <x:c r="A68" s="61"/>
      <x:c r="C68" s="49"/>
      <x:c r="D68" s="49"/>
      <x:c r="E68" s="49"/>
      <x:c r="F68" s="49"/>
      <x:c r="G68" s="49"/>
      <x:c r="H68" s="49"/>
      <x:c r="I68" s="52"/>
      <x:c r="J68" s="49"/>
      <x:c r="K68" s="55"/>
      <x:c r="L68" s="55"/>
      <x:c r="M68" s="55"/>
      <x:c r="N68" s="55"/>
      <x:c r="O68" s="55"/>
      <x:c r="P68" s="64"/>
      <x:c r="Q68" s="28"/>
      <x:c r="R68" s="28"/>
      <x:c r="S68" s="52"/>
      <x:c r="T68" s="28"/>
      <x:c r="U68" s="49"/>
      <x:c r="V68" s="28"/>
      <x:c r="W68" s="55"/>
    </x:row>
    <x:row r="69">
      <x:c r="A69" s="61"/>
      <x:c r="C69" s="49"/>
      <x:c r="D69" s="49"/>
      <x:c r="E69" s="49"/>
      <x:c r="F69" s="49"/>
      <x:c r="G69" s="49"/>
      <x:c r="H69" s="49"/>
      <x:c r="I69" s="52"/>
      <x:c r="J69" s="49"/>
      <x:c r="K69" s="55"/>
      <x:c r="L69" s="55"/>
      <x:c r="M69" s="55"/>
      <x:c r="N69" s="55"/>
      <x:c r="O69" s="55"/>
      <x:c r="P69" s="64"/>
      <x:c r="Q69" s="28"/>
      <x:c r="R69" s="28"/>
      <x:c r="S69" s="52"/>
      <x:c r="T69" s="28"/>
      <x:c r="U69" s="49"/>
      <x:c r="V69" s="28"/>
      <x:c r="W69" s="55"/>
    </x:row>
    <x:row r="70">
      <x:c r="A70" s="61"/>
      <x:c r="C70" s="49"/>
      <x:c r="D70" s="49"/>
      <x:c r="E70" s="49"/>
      <x:c r="F70" s="49"/>
      <x:c r="G70" s="49"/>
      <x:c r="H70" s="49"/>
      <x:c r="I70" s="52"/>
      <x:c r="J70" s="49"/>
      <x:c r="K70" s="55"/>
      <x:c r="L70" s="55"/>
      <x:c r="M70" s="55"/>
      <x:c r="N70" s="55"/>
      <x:c r="O70" s="55"/>
      <x:c r="P70" s="64"/>
      <x:c r="Q70" s="28"/>
      <x:c r="R70" s="28"/>
      <x:c r="S70" s="52"/>
      <x:c r="T70" s="28"/>
      <x:c r="U70" s="49"/>
      <x:c r="V70" s="28"/>
      <x:c r="W70" s="55"/>
    </x:row>
    <x:row r="71">
      <x:c r="A71" s="61"/>
      <x:c r="C71" s="49"/>
      <x:c r="D71" s="49"/>
      <x:c r="E71" s="49"/>
      <x:c r="F71" s="49"/>
      <x:c r="G71" s="49"/>
      <x:c r="H71" s="49"/>
      <x:c r="I71" s="52"/>
      <x:c r="J71" s="49"/>
      <x:c r="K71" s="55"/>
      <x:c r="L71" s="55"/>
      <x:c r="M71" s="55"/>
      <x:c r="N71" s="55"/>
      <x:c r="O71" s="55"/>
      <x:c r="P71" s="64"/>
      <x:c r="Q71" s="28"/>
      <x:c r="R71" s="28"/>
      <x:c r="S71" s="52"/>
      <x:c r="T71" s="28"/>
      <x:c r="U71" s="49"/>
      <x:c r="V71" s="28"/>
      <x:c r="W71" s="55"/>
    </x:row>
    <x:row r="72">
      <x:c r="A72" s="61"/>
      <x:c r="C72" s="49"/>
      <x:c r="D72" s="49"/>
      <x:c r="E72" s="49"/>
      <x:c r="F72" s="49"/>
      <x:c r="G72" s="49"/>
      <x:c r="H72" s="49"/>
      <x:c r="I72" s="52"/>
      <x:c r="J72" s="49"/>
      <x:c r="K72" s="55"/>
      <x:c r="L72" s="55"/>
      <x:c r="M72" s="55"/>
      <x:c r="N72" s="55"/>
      <x:c r="O72" s="55"/>
      <x:c r="P72" s="64"/>
      <x:c r="Q72" s="28"/>
      <x:c r="R72" s="28"/>
      <x:c r="S72" s="52"/>
      <x:c r="T72" s="28"/>
      <x:c r="U72" s="49"/>
      <x:c r="V72" s="28"/>
      <x:c r="W72" s="55"/>
    </x:row>
    <x:row r="73">
      <x:c r="A73" s="61"/>
      <x:c r="C73" s="49"/>
      <x:c r="D73" s="49"/>
      <x:c r="E73" s="49"/>
      <x:c r="F73" s="49"/>
      <x:c r="G73" s="49"/>
      <x:c r="H73" s="49"/>
      <x:c r="I73" s="52"/>
      <x:c r="J73" s="49"/>
      <x:c r="K73" s="55"/>
      <x:c r="L73" s="55"/>
      <x:c r="M73" s="55"/>
      <x:c r="N73" s="55"/>
      <x:c r="O73" s="55"/>
      <x:c r="P73" s="64"/>
      <x:c r="Q73" s="28"/>
      <x:c r="R73" s="28"/>
      <x:c r="S73" s="52"/>
      <x:c r="T73" s="28"/>
      <x:c r="U73" s="49"/>
      <x:c r="V73" s="28"/>
      <x:c r="W73" s="55"/>
    </x:row>
    <x:row r="74">
      <x:c r="A74" s="61"/>
      <x:c r="C74" s="49"/>
      <x:c r="D74" s="49"/>
      <x:c r="E74" s="49"/>
      <x:c r="F74" s="49"/>
      <x:c r="G74" s="49"/>
      <x:c r="H74" s="49"/>
      <x:c r="I74" s="52"/>
      <x:c r="J74" s="49"/>
      <x:c r="K74" s="55"/>
      <x:c r="L74" s="55"/>
      <x:c r="M74" s="55"/>
      <x:c r="N74" s="55"/>
      <x:c r="O74" s="55"/>
      <x:c r="P74" s="64"/>
      <x:c r="Q74" s="28"/>
      <x:c r="R74" s="28"/>
      <x:c r="S74" s="52"/>
      <x:c r="T74" s="28"/>
      <x:c r="U74" s="49"/>
      <x:c r="V74" s="28"/>
      <x:c r="W74" s="55"/>
    </x:row>
    <x:row r="75">
      <x:c r="A75" s="61"/>
      <x:c r="C75" s="49"/>
      <x:c r="D75" s="49"/>
      <x:c r="E75" s="49"/>
      <x:c r="F75" s="49"/>
      <x:c r="G75" s="49"/>
      <x:c r="H75" s="49"/>
      <x:c r="I75" s="52"/>
      <x:c r="J75" s="49"/>
      <x:c r="K75" s="55"/>
      <x:c r="L75" s="55"/>
      <x:c r="M75" s="55"/>
      <x:c r="N75" s="55"/>
      <x:c r="O75" s="55"/>
      <x:c r="P75" s="64"/>
      <x:c r="Q75" s="28"/>
      <x:c r="R75" s="28"/>
      <x:c r="S75" s="52"/>
      <x:c r="T75" s="28"/>
      <x:c r="U75" s="49"/>
      <x:c r="V75" s="28"/>
      <x:c r="W75" s="55"/>
    </x:row>
    <x:row r="76">
      <x:c r="A76" s="61"/>
      <x:c r="C76" s="49"/>
      <x:c r="D76" s="49"/>
      <x:c r="E76" s="49"/>
      <x:c r="F76" s="49"/>
      <x:c r="G76" s="49"/>
      <x:c r="H76" s="49"/>
      <x:c r="I76" s="52"/>
      <x:c r="J76" s="49"/>
      <x:c r="K76" s="55"/>
      <x:c r="L76" s="55"/>
      <x:c r="M76" s="55"/>
      <x:c r="N76" s="55"/>
      <x:c r="O76" s="55"/>
      <x:c r="P76" s="64"/>
      <x:c r="Q76" s="28"/>
      <x:c r="R76" s="28"/>
      <x:c r="S76" s="52"/>
      <x:c r="T76" s="28"/>
      <x:c r="U76" s="49"/>
      <x:c r="V76" s="28"/>
      <x:c r="W76" s="55"/>
    </x:row>
    <x:row r="77">
      <x:c r="A77" s="61"/>
      <x:c r="C77" s="49"/>
      <x:c r="D77" s="49"/>
      <x:c r="E77" s="49"/>
      <x:c r="F77" s="49"/>
      <x:c r="G77" s="49"/>
      <x:c r="H77" s="49"/>
      <x:c r="I77" s="52"/>
      <x:c r="J77" s="49"/>
      <x:c r="K77" s="55"/>
      <x:c r="L77" s="55"/>
      <x:c r="M77" s="55"/>
      <x:c r="N77" s="55"/>
      <x:c r="O77" s="55"/>
      <x:c r="P77" s="64"/>
      <x:c r="Q77" s="28"/>
      <x:c r="R77" s="28"/>
      <x:c r="S77" s="52"/>
      <x:c r="T77" s="28"/>
      <x:c r="U77" s="49"/>
      <x:c r="V77" s="28"/>
      <x:c r="W77" s="55"/>
    </x:row>
    <x:row r="78">
      <x:c r="A78" s="61"/>
      <x:c r="C78" s="49"/>
      <x:c r="D78" s="49"/>
      <x:c r="E78" s="49"/>
      <x:c r="F78" s="49"/>
      <x:c r="G78" s="49"/>
      <x:c r="H78" s="49"/>
      <x:c r="I78" s="52"/>
      <x:c r="J78" s="49"/>
      <x:c r="K78" s="55"/>
      <x:c r="L78" s="55"/>
      <x:c r="M78" s="55"/>
      <x:c r="N78" s="55"/>
      <x:c r="O78" s="55"/>
      <x:c r="P78" s="64"/>
      <x:c r="Q78" s="28"/>
      <x:c r="R78" s="28"/>
      <x:c r="S78" s="52"/>
      <x:c r="T78" s="28"/>
      <x:c r="U78" s="49"/>
      <x:c r="V78" s="28"/>
      <x:c r="W78" s="55"/>
    </x:row>
    <x:row r="79">
      <x:c r="A79" s="61"/>
      <x:c r="C79" s="49"/>
      <x:c r="D79" s="49"/>
      <x:c r="E79" s="49"/>
      <x:c r="F79" s="49"/>
      <x:c r="G79" s="49"/>
      <x:c r="H79" s="49"/>
      <x:c r="I79" s="52"/>
      <x:c r="J79" s="49"/>
      <x:c r="K79" s="55"/>
      <x:c r="L79" s="55"/>
      <x:c r="M79" s="55"/>
      <x:c r="N79" s="55"/>
      <x:c r="O79" s="55"/>
      <x:c r="P79" s="64"/>
      <x:c r="Q79" s="28"/>
      <x:c r="R79" s="28"/>
      <x:c r="S79" s="52"/>
      <x:c r="T79" s="28"/>
      <x:c r="U79" s="49"/>
      <x:c r="V79" s="28"/>
      <x:c r="W79" s="55"/>
    </x:row>
    <x:row r="80">
      <x:c r="A80" s="61"/>
      <x:c r="C80" s="49"/>
      <x:c r="D80" s="49"/>
      <x:c r="E80" s="49"/>
      <x:c r="F80" s="49"/>
      <x:c r="G80" s="49"/>
      <x:c r="H80" s="49"/>
      <x:c r="I80" s="52"/>
      <x:c r="J80" s="49"/>
      <x:c r="K80" s="55"/>
      <x:c r="L80" s="55"/>
      <x:c r="M80" s="55"/>
      <x:c r="N80" s="55"/>
      <x:c r="O80" s="55"/>
      <x:c r="P80" s="64"/>
      <x:c r="Q80" s="28"/>
      <x:c r="R80" s="28"/>
      <x:c r="S80" s="52"/>
      <x:c r="T80" s="28"/>
      <x:c r="U80" s="49"/>
      <x:c r="V80" s="28"/>
      <x:c r="W80" s="55"/>
    </x:row>
    <x:row r="81">
      <x:c r="A81" s="61"/>
      <x:c r="C81" s="49"/>
      <x:c r="D81" s="49"/>
      <x:c r="E81" s="49"/>
      <x:c r="F81" s="49"/>
      <x:c r="G81" s="49"/>
      <x:c r="H81" s="49"/>
      <x:c r="I81" s="52"/>
      <x:c r="J81" s="49"/>
      <x:c r="K81" s="55"/>
      <x:c r="L81" s="55"/>
      <x:c r="M81" s="55"/>
      <x:c r="N81" s="55"/>
      <x:c r="O81" s="55"/>
      <x:c r="P81" s="64"/>
      <x:c r="Q81" s="28"/>
      <x:c r="R81" s="28"/>
      <x:c r="S81" s="52"/>
      <x:c r="T81" s="28"/>
      <x:c r="U81" s="49"/>
      <x:c r="V81" s="28"/>
      <x:c r="W81" s="55"/>
    </x:row>
    <x:row r="82">
      <x:c r="A82" s="61"/>
      <x:c r="C82" s="49"/>
      <x:c r="D82" s="49"/>
      <x:c r="E82" s="49"/>
      <x:c r="F82" s="49"/>
      <x:c r="G82" s="49"/>
      <x:c r="H82" s="49"/>
      <x:c r="I82" s="52"/>
      <x:c r="J82" s="49"/>
      <x:c r="K82" s="55"/>
      <x:c r="L82" s="55"/>
      <x:c r="M82" s="55"/>
      <x:c r="N82" s="55"/>
      <x:c r="O82" s="55"/>
      <x:c r="P82" s="64"/>
      <x:c r="Q82" s="28"/>
      <x:c r="R82" s="28"/>
      <x:c r="S82" s="52"/>
      <x:c r="T82" s="28"/>
      <x:c r="U82" s="49"/>
      <x:c r="V82" s="28"/>
      <x:c r="W82" s="55"/>
    </x:row>
    <x:row r="83">
      <x:c r="A83" s="61"/>
      <x:c r="C83" s="49"/>
      <x:c r="D83" s="49"/>
      <x:c r="E83" s="49"/>
      <x:c r="F83" s="49"/>
      <x:c r="G83" s="49"/>
      <x:c r="H83" s="49"/>
      <x:c r="I83" s="52"/>
      <x:c r="J83" s="49"/>
      <x:c r="K83" s="55"/>
      <x:c r="L83" s="55"/>
      <x:c r="M83" s="55"/>
      <x:c r="N83" s="55"/>
      <x:c r="O83" s="55"/>
      <x:c r="P83" s="64"/>
      <x:c r="Q83" s="28"/>
      <x:c r="R83" s="28"/>
      <x:c r="S83" s="52"/>
      <x:c r="T83" s="28"/>
      <x:c r="U83" s="49"/>
      <x:c r="V83" s="28"/>
      <x:c r="W83" s="55"/>
    </x:row>
    <x:row r="84">
      <x:c r="A84" s="61"/>
      <x:c r="C84" s="49"/>
      <x:c r="D84" s="49"/>
      <x:c r="E84" s="49"/>
      <x:c r="F84" s="49"/>
      <x:c r="G84" s="49"/>
      <x:c r="H84" s="49"/>
      <x:c r="I84" s="52"/>
      <x:c r="J84" s="49"/>
      <x:c r="K84" s="55"/>
      <x:c r="L84" s="55"/>
      <x:c r="M84" s="55"/>
      <x:c r="N84" s="55"/>
      <x:c r="O84" s="55"/>
      <x:c r="P84" s="64"/>
      <x:c r="Q84" s="28"/>
      <x:c r="R84" s="28"/>
      <x:c r="S84" s="52"/>
      <x:c r="T84" s="28"/>
      <x:c r="U84" s="49"/>
      <x:c r="V84" s="28"/>
      <x:c r="W84" s="55"/>
    </x:row>
    <x:row r="85">
      <x:c r="A85" s="61"/>
      <x:c r="C85" s="49"/>
      <x:c r="D85" s="49"/>
      <x:c r="E85" s="49"/>
      <x:c r="F85" s="49"/>
      <x:c r="G85" s="49"/>
      <x:c r="H85" s="49"/>
      <x:c r="I85" s="52"/>
      <x:c r="J85" s="49"/>
      <x:c r="K85" s="55"/>
      <x:c r="L85" s="55"/>
      <x:c r="M85" s="55"/>
      <x:c r="N85" s="55"/>
      <x:c r="O85" s="55"/>
      <x:c r="P85" s="64"/>
      <x:c r="Q85" s="28"/>
      <x:c r="R85" s="28"/>
      <x:c r="S85" s="52"/>
      <x:c r="T85" s="28"/>
      <x:c r="U85" s="49"/>
      <x:c r="V85" s="28"/>
      <x:c r="W85" s="55"/>
    </x:row>
    <x:row r="86">
      <x:c r="A86" s="61"/>
      <x:c r="C86" s="49"/>
      <x:c r="D86" s="49"/>
      <x:c r="E86" s="49"/>
      <x:c r="F86" s="49"/>
      <x:c r="G86" s="49"/>
      <x:c r="H86" s="49"/>
      <x:c r="I86" s="52"/>
      <x:c r="J86" s="49"/>
      <x:c r="K86" s="55"/>
      <x:c r="L86" s="55"/>
      <x:c r="M86" s="55"/>
      <x:c r="N86" s="55"/>
      <x:c r="O86" s="55"/>
      <x:c r="P86" s="64"/>
      <x:c r="Q86" s="28"/>
      <x:c r="R86" s="28"/>
      <x:c r="S86" s="52"/>
      <x:c r="T86" s="28"/>
      <x:c r="U86" s="49"/>
      <x:c r="V86" s="28"/>
      <x:c r="W86" s="55"/>
    </x:row>
    <x:row r="87">
      <x:c r="A87" s="61"/>
      <x:c r="C87" s="49"/>
      <x:c r="D87" s="49"/>
      <x:c r="E87" s="49"/>
      <x:c r="F87" s="49"/>
      <x:c r="G87" s="49"/>
      <x:c r="H87" s="49"/>
      <x:c r="I87" s="52"/>
      <x:c r="J87" s="49"/>
      <x:c r="K87" s="55"/>
      <x:c r="L87" s="55"/>
      <x:c r="M87" s="55"/>
      <x:c r="N87" s="55"/>
      <x:c r="O87" s="55"/>
      <x:c r="P87" s="64"/>
      <x:c r="Q87" s="28"/>
      <x:c r="R87" s="28"/>
      <x:c r="S87" s="52"/>
      <x:c r="T87" s="28"/>
      <x:c r="U87" s="49"/>
      <x:c r="V87" s="28"/>
      <x:c r="W87" s="55"/>
    </x:row>
    <x:row r="88">
      <x:c r="A88" s="61"/>
      <x:c r="C88" s="49"/>
      <x:c r="D88" s="49"/>
      <x:c r="E88" s="49"/>
      <x:c r="F88" s="49"/>
      <x:c r="G88" s="49"/>
      <x:c r="H88" s="49"/>
      <x:c r="I88" s="52"/>
      <x:c r="J88" s="49"/>
      <x:c r="K88" s="55"/>
      <x:c r="L88" s="55"/>
      <x:c r="M88" s="55"/>
      <x:c r="N88" s="55"/>
      <x:c r="O88" s="55"/>
      <x:c r="P88" s="64"/>
      <x:c r="Q88" s="28"/>
      <x:c r="R88" s="28"/>
      <x:c r="S88" s="52"/>
      <x:c r="T88" s="28"/>
      <x:c r="U88" s="49"/>
      <x:c r="V88" s="28"/>
      <x:c r="W88" s="55"/>
    </x:row>
    <x:row r="89">
      <x:c r="A89" s="61"/>
      <x:c r="C89" s="49"/>
      <x:c r="D89" s="49"/>
      <x:c r="E89" s="49"/>
      <x:c r="F89" s="49"/>
      <x:c r="G89" s="49"/>
      <x:c r="H89" s="49"/>
      <x:c r="I89" s="52"/>
      <x:c r="J89" s="49"/>
      <x:c r="K89" s="55"/>
      <x:c r="L89" s="55"/>
      <x:c r="M89" s="55"/>
      <x:c r="N89" s="55"/>
      <x:c r="O89" s="55"/>
      <x:c r="P89" s="64"/>
      <x:c r="Q89" s="28"/>
      <x:c r="R89" s="28"/>
      <x:c r="S89" s="52"/>
      <x:c r="T89" s="28"/>
      <x:c r="U89" s="49"/>
      <x:c r="V89" s="28"/>
      <x:c r="W89" s="55"/>
    </x:row>
    <x:row r="90">
      <x:c r="A90" s="61"/>
      <x:c r="C90" s="49"/>
      <x:c r="D90" s="49"/>
      <x:c r="E90" s="49"/>
      <x:c r="F90" s="49"/>
      <x:c r="G90" s="49"/>
      <x:c r="H90" s="49"/>
      <x:c r="I90" s="52"/>
      <x:c r="J90" s="49"/>
      <x:c r="K90" s="55"/>
      <x:c r="L90" s="55"/>
      <x:c r="M90" s="55"/>
      <x:c r="N90" s="55"/>
      <x:c r="O90" s="55"/>
      <x:c r="P90" s="64"/>
      <x:c r="Q90" s="28"/>
      <x:c r="R90" s="28"/>
      <x:c r="S90" s="52"/>
      <x:c r="T90" s="28"/>
      <x:c r="U90" s="49"/>
      <x:c r="V90" s="28"/>
      <x:c r="W90" s="55"/>
    </x:row>
    <x:row r="91">
      <x:c r="A91" s="61"/>
      <x:c r="C91" s="49"/>
      <x:c r="D91" s="49"/>
      <x:c r="E91" s="49"/>
      <x:c r="F91" s="49"/>
      <x:c r="G91" s="49"/>
      <x:c r="H91" s="49"/>
      <x:c r="I91" s="52"/>
      <x:c r="J91" s="49"/>
      <x:c r="K91" s="55"/>
      <x:c r="L91" s="55"/>
      <x:c r="M91" s="55"/>
      <x:c r="N91" s="55"/>
      <x:c r="O91" s="55"/>
      <x:c r="P91" s="64"/>
      <x:c r="Q91" s="28"/>
      <x:c r="R91" s="28"/>
      <x:c r="S91" s="52"/>
      <x:c r="T91" s="28"/>
      <x:c r="U91" s="49"/>
      <x:c r="V91" s="28"/>
      <x:c r="W91" s="55"/>
    </x:row>
    <x:row r="92">
      <x:c r="A92" s="61"/>
      <x:c r="C92" s="49"/>
      <x:c r="D92" s="49"/>
      <x:c r="E92" s="49"/>
      <x:c r="F92" s="49"/>
      <x:c r="G92" s="49"/>
      <x:c r="H92" s="49"/>
      <x:c r="I92" s="52"/>
      <x:c r="J92" s="49"/>
      <x:c r="K92" s="55"/>
      <x:c r="L92" s="55"/>
      <x:c r="M92" s="55"/>
      <x:c r="N92" s="55"/>
      <x:c r="O92" s="55"/>
      <x:c r="P92" s="64"/>
      <x:c r="Q92" s="28"/>
      <x:c r="R92" s="28"/>
      <x:c r="S92" s="52"/>
      <x:c r="T92" s="28"/>
      <x:c r="U92" s="49"/>
      <x:c r="V92" s="28"/>
      <x:c r="W92" s="55"/>
    </x:row>
    <x:row r="93">
      <x:c r="A93" s="61"/>
      <x:c r="C93" s="49"/>
      <x:c r="D93" s="49"/>
      <x:c r="E93" s="49"/>
      <x:c r="F93" s="49"/>
      <x:c r="G93" s="49"/>
      <x:c r="H93" s="49"/>
      <x:c r="I93" s="52"/>
      <x:c r="J93" s="49"/>
      <x:c r="K93" s="55"/>
      <x:c r="L93" s="55"/>
      <x:c r="M93" s="55"/>
      <x:c r="N93" s="55"/>
      <x:c r="O93" s="55"/>
      <x:c r="P93" s="64"/>
      <x:c r="Q93" s="28"/>
      <x:c r="R93" s="28"/>
      <x:c r="S93" s="52"/>
      <x:c r="T93" s="28"/>
      <x:c r="U93" s="49"/>
      <x:c r="V93" s="28"/>
      <x:c r="W93" s="55"/>
    </x:row>
    <x:row r="94">
      <x:c r="A94" s="61"/>
      <x:c r="C94" s="49"/>
      <x:c r="D94" s="49"/>
      <x:c r="E94" s="49"/>
      <x:c r="F94" s="49"/>
      <x:c r="G94" s="49"/>
      <x:c r="H94" s="49"/>
      <x:c r="I94" s="52"/>
      <x:c r="J94" s="49"/>
      <x:c r="K94" s="55"/>
      <x:c r="L94" s="55"/>
      <x:c r="M94" s="55"/>
      <x:c r="N94" s="55"/>
      <x:c r="O94" s="55"/>
      <x:c r="P94" s="64"/>
      <x:c r="Q94" s="28"/>
      <x:c r="R94" s="28"/>
      <x:c r="S94" s="52"/>
      <x:c r="T94" s="28"/>
      <x:c r="U94" s="49"/>
      <x:c r="V94" s="28"/>
      <x:c r="W94" s="55"/>
    </x:row>
    <x:row r="95">
      <x:c r="A95" s="61"/>
      <x:c r="C95" s="49"/>
      <x:c r="D95" s="49"/>
      <x:c r="E95" s="49"/>
      <x:c r="F95" s="49"/>
      <x:c r="G95" s="49"/>
      <x:c r="H95" s="49"/>
      <x:c r="I95" s="52"/>
      <x:c r="J95" s="49"/>
      <x:c r="K95" s="55"/>
      <x:c r="L95" s="55"/>
      <x:c r="M95" s="55"/>
      <x:c r="N95" s="55"/>
      <x:c r="O95" s="55"/>
      <x:c r="P95" s="64"/>
      <x:c r="Q95" s="28"/>
      <x:c r="R95" s="28"/>
      <x:c r="S95" s="52"/>
      <x:c r="T95" s="28"/>
      <x:c r="U95" s="49"/>
      <x:c r="V95" s="28"/>
      <x:c r="W95" s="55"/>
    </x:row>
    <x:row r="96">
      <x:c r="A96" s="61"/>
      <x:c r="C96" s="49"/>
      <x:c r="D96" s="49"/>
      <x:c r="E96" s="49"/>
      <x:c r="F96" s="49"/>
      <x:c r="G96" s="49"/>
      <x:c r="H96" s="49"/>
      <x:c r="I96" s="52"/>
      <x:c r="J96" s="49"/>
      <x:c r="K96" s="55"/>
      <x:c r="L96" s="55"/>
      <x:c r="M96" s="55"/>
      <x:c r="N96" s="55"/>
      <x:c r="O96" s="55"/>
      <x:c r="P96" s="64"/>
      <x:c r="Q96" s="28"/>
      <x:c r="R96" s="28"/>
      <x:c r="S96" s="52"/>
      <x:c r="T96" s="28"/>
      <x:c r="U96" s="49"/>
      <x:c r="V96" s="28"/>
      <x:c r="W96" s="55"/>
    </x:row>
    <x:row r="97">
      <x:c r="A97" s="61"/>
      <x:c r="C97" s="49"/>
      <x:c r="D97" s="49"/>
      <x:c r="E97" s="49"/>
      <x:c r="F97" s="49"/>
      <x:c r="G97" s="49"/>
      <x:c r="H97" s="49"/>
      <x:c r="I97" s="52"/>
      <x:c r="J97" s="49"/>
      <x:c r="K97" s="55"/>
      <x:c r="L97" s="55"/>
      <x:c r="M97" s="55"/>
      <x:c r="N97" s="55"/>
      <x:c r="O97" s="55"/>
      <x:c r="P97" s="64"/>
      <x:c r="Q97" s="28"/>
      <x:c r="R97" s="28"/>
      <x:c r="S97" s="52"/>
      <x:c r="T97" s="28"/>
      <x:c r="U97" s="49"/>
      <x:c r="V97" s="28"/>
      <x:c r="W97" s="55"/>
    </x:row>
    <x:row r="98">
      <x:c r="A98" s="61"/>
      <x:c r="C98" s="49"/>
      <x:c r="D98" s="49"/>
      <x:c r="E98" s="49"/>
      <x:c r="F98" s="49"/>
      <x:c r="G98" s="49"/>
      <x:c r="H98" s="49"/>
      <x:c r="I98" s="52"/>
      <x:c r="J98" s="49"/>
      <x:c r="K98" s="55"/>
      <x:c r="L98" s="55"/>
      <x:c r="M98" s="55"/>
      <x:c r="N98" s="55"/>
      <x:c r="O98" s="55"/>
      <x:c r="P98" s="64"/>
      <x:c r="Q98" s="28"/>
      <x:c r="R98" s="28"/>
      <x:c r="S98" s="52"/>
      <x:c r="T98" s="28"/>
      <x:c r="U98" s="49"/>
      <x:c r="V98" s="28"/>
      <x:c r="W98" s="55"/>
    </x:row>
    <x:row r="99">
      <x:c r="A99" s="61"/>
      <x:c r="C99" s="49"/>
      <x:c r="D99" s="49"/>
      <x:c r="E99" s="49"/>
      <x:c r="F99" s="49"/>
      <x:c r="G99" s="49"/>
      <x:c r="H99" s="49"/>
      <x:c r="I99" s="52"/>
      <x:c r="J99" s="49"/>
      <x:c r="K99" s="55"/>
      <x:c r="L99" s="55"/>
      <x:c r="M99" s="55"/>
      <x:c r="N99" s="55"/>
      <x:c r="O99" s="55"/>
      <x:c r="P99" s="64"/>
      <x:c r="Q99" s="28"/>
      <x:c r="R99" s="28"/>
      <x:c r="S99" s="52"/>
      <x:c r="T99" s="28"/>
      <x:c r="U99" s="49"/>
      <x:c r="V99" s="28"/>
      <x:c r="W99" s="55"/>
    </x:row>
    <x:row r="100">
      <x:c r="A100" s="61"/>
      <x:c r="C100" s="49"/>
      <x:c r="D100" s="49"/>
      <x:c r="E100" s="49"/>
      <x:c r="F100" s="49"/>
      <x:c r="G100" s="49"/>
      <x:c r="H100" s="49"/>
      <x:c r="I100" s="52"/>
      <x:c r="J100" s="49"/>
      <x:c r="K100" s="55"/>
      <x:c r="L100" s="55"/>
      <x:c r="M100" s="55"/>
      <x:c r="N100" s="55"/>
      <x:c r="O100" s="55"/>
      <x:c r="P100" s="64"/>
      <x:c r="Q100" s="28"/>
      <x:c r="R100" s="28"/>
      <x:c r="S100" s="52"/>
      <x:c r="T100" s="28"/>
      <x:c r="U100" s="49"/>
      <x:c r="V100" s="28"/>
      <x:c r="W100" s="55"/>
    </x:row>
    <x:row r="101">
      <x:c r="A101" s="61"/>
      <x:c r="C101" s="49"/>
      <x:c r="D101" s="49"/>
      <x:c r="E101" s="49"/>
      <x:c r="F101" s="49"/>
      <x:c r="G101" s="49"/>
      <x:c r="H101" s="49"/>
      <x:c r="I101" s="52"/>
      <x:c r="J101" s="49"/>
      <x:c r="K101" s="55"/>
      <x:c r="L101" s="55"/>
      <x:c r="M101" s="55"/>
      <x:c r="N101" s="55"/>
      <x:c r="O101" s="55"/>
      <x:c r="P101" s="64"/>
      <x:c r="Q101" s="28"/>
      <x:c r="R101" s="28"/>
      <x:c r="S101" s="52"/>
      <x:c r="T101" s="28"/>
      <x:c r="U101" s="49"/>
      <x:c r="V101" s="28"/>
      <x:c r="W101" s="55"/>
    </x:row>
    <x:row r="102">
      <x:c r="A102" s="61"/>
      <x:c r="C102" s="49"/>
      <x:c r="D102" s="49"/>
      <x:c r="E102" s="49"/>
      <x:c r="F102" s="49"/>
      <x:c r="G102" s="49"/>
      <x:c r="H102" s="49"/>
      <x:c r="I102" s="52"/>
      <x:c r="J102" s="49"/>
      <x:c r="K102" s="55"/>
      <x:c r="L102" s="55"/>
      <x:c r="M102" s="55"/>
      <x:c r="N102" s="55"/>
      <x:c r="O102" s="55"/>
      <x:c r="P102" s="64"/>
      <x:c r="Q102" s="28"/>
      <x:c r="R102" s="28"/>
      <x:c r="S102" s="52"/>
      <x:c r="T102" s="28"/>
      <x:c r="U102" s="49"/>
      <x:c r="V102" s="28"/>
      <x:c r="W102" s="55"/>
    </x:row>
    <x:row r="103">
      <x:c r="A103" s="61"/>
      <x:c r="C103" s="49"/>
      <x:c r="D103" s="49"/>
      <x:c r="E103" s="49"/>
      <x:c r="F103" s="49"/>
      <x:c r="G103" s="49"/>
      <x:c r="H103" s="49"/>
      <x:c r="I103" s="52"/>
      <x:c r="J103" s="49"/>
      <x:c r="K103" s="55"/>
      <x:c r="L103" s="55"/>
      <x:c r="M103" s="55"/>
      <x:c r="N103" s="55"/>
      <x:c r="O103" s="55"/>
      <x:c r="P103" s="64"/>
      <x:c r="Q103" s="28"/>
      <x:c r="R103" s="28"/>
      <x:c r="S103" s="52"/>
      <x:c r="T103" s="28"/>
      <x:c r="U103" s="49"/>
      <x:c r="V103" s="28"/>
      <x:c r="W103" s="55"/>
    </x:row>
    <x:row r="104">
      <x:c r="A104" s="61"/>
      <x:c r="C104" s="49"/>
      <x:c r="D104" s="49"/>
      <x:c r="E104" s="49"/>
      <x:c r="F104" s="49"/>
      <x:c r="G104" s="49"/>
      <x:c r="H104" s="49"/>
      <x:c r="I104" s="52"/>
      <x:c r="J104" s="49"/>
      <x:c r="K104" s="55"/>
      <x:c r="L104" s="55"/>
      <x:c r="M104" s="55"/>
      <x:c r="N104" s="55"/>
      <x:c r="O104" s="55"/>
      <x:c r="P104" s="64"/>
      <x:c r="Q104" s="28"/>
      <x:c r="R104" s="28"/>
      <x:c r="S104" s="52"/>
      <x:c r="T104" s="28"/>
      <x:c r="U104" s="49"/>
      <x:c r="V104" s="28"/>
      <x:c r="W104" s="55"/>
    </x:row>
    <x:row r="105">
      <x:c r="A105" s="61"/>
      <x:c r="C105" s="49"/>
      <x:c r="D105" s="49"/>
      <x:c r="E105" s="49"/>
      <x:c r="F105" s="49"/>
      <x:c r="G105" s="49"/>
      <x:c r="H105" s="49"/>
      <x:c r="I105" s="52"/>
      <x:c r="J105" s="49"/>
      <x:c r="K105" s="55"/>
      <x:c r="L105" s="55"/>
      <x:c r="M105" s="55"/>
      <x:c r="N105" s="55"/>
      <x:c r="O105" s="55"/>
      <x:c r="P105" s="64"/>
      <x:c r="Q105" s="28"/>
      <x:c r="R105" s="28"/>
      <x:c r="S105" s="52"/>
      <x:c r="T105" s="28"/>
      <x:c r="U105" s="49"/>
      <x:c r="V105" s="28"/>
      <x:c r="W105" s="55"/>
    </x:row>
    <x:row r="106">
      <x:c r="A106" s="61"/>
      <x:c r="C106" s="49"/>
      <x:c r="D106" s="49"/>
      <x:c r="E106" s="49"/>
      <x:c r="F106" s="49"/>
      <x:c r="G106" s="49"/>
      <x:c r="H106" s="49"/>
      <x:c r="I106" s="52"/>
      <x:c r="J106" s="49"/>
      <x:c r="K106" s="55"/>
      <x:c r="L106" s="55"/>
      <x:c r="M106" s="55"/>
      <x:c r="N106" s="55"/>
      <x:c r="O106" s="55"/>
      <x:c r="P106" s="64"/>
      <x:c r="Q106" s="28"/>
      <x:c r="R106" s="28"/>
      <x:c r="S106" s="52"/>
      <x:c r="T106" s="28"/>
      <x:c r="U106" s="49"/>
      <x:c r="V106" s="28"/>
      <x:c r="W106" s="55"/>
    </x:row>
    <x:row r="107">
      <x:c r="A107" s="61"/>
      <x:c r="C107" s="49"/>
      <x:c r="D107" s="49"/>
      <x:c r="E107" s="49"/>
      <x:c r="F107" s="49"/>
      <x:c r="G107" s="49"/>
      <x:c r="H107" s="49"/>
      <x:c r="I107" s="52"/>
      <x:c r="J107" s="49"/>
      <x:c r="K107" s="55"/>
      <x:c r="L107" s="55"/>
      <x:c r="M107" s="55"/>
      <x:c r="N107" s="55"/>
      <x:c r="O107" s="55"/>
      <x:c r="P107" s="64"/>
      <x:c r="Q107" s="28"/>
      <x:c r="R107" s="28"/>
      <x:c r="S107" s="52"/>
      <x:c r="T107" s="28"/>
      <x:c r="U107" s="49"/>
      <x:c r="V107" s="28"/>
      <x:c r="W107" s="55"/>
    </x:row>
    <x:row r="108">
      <x:c r="A108" s="61"/>
      <x:c r="C108" s="49"/>
      <x:c r="D108" s="49"/>
      <x:c r="E108" s="49"/>
      <x:c r="F108" s="49"/>
      <x:c r="G108" s="49"/>
      <x:c r="H108" s="49"/>
      <x:c r="I108" s="52"/>
      <x:c r="J108" s="49"/>
      <x:c r="K108" s="55"/>
      <x:c r="L108" s="55"/>
      <x:c r="M108" s="55"/>
      <x:c r="N108" s="55"/>
      <x:c r="O108" s="55"/>
      <x:c r="P108" s="64"/>
      <x:c r="Q108" s="28"/>
      <x:c r="R108" s="28"/>
      <x:c r="S108" s="52"/>
      <x:c r="T108" s="28"/>
      <x:c r="U108" s="49"/>
      <x:c r="V108" s="28"/>
      <x:c r="W108" s="55"/>
    </x:row>
    <x:row r="109">
      <x:c r="A109" s="61"/>
      <x:c r="C109" s="49"/>
      <x:c r="D109" s="49"/>
      <x:c r="E109" s="49"/>
      <x:c r="F109" s="49"/>
      <x:c r="G109" s="49"/>
      <x:c r="H109" s="49"/>
      <x:c r="I109" s="52"/>
      <x:c r="J109" s="49"/>
      <x:c r="K109" s="55"/>
      <x:c r="L109" s="55"/>
      <x:c r="M109" s="55"/>
      <x:c r="N109" s="55"/>
      <x:c r="O109" s="55"/>
      <x:c r="P109" s="64"/>
      <x:c r="Q109" s="28"/>
      <x:c r="R109" s="28"/>
      <x:c r="S109" s="52"/>
      <x:c r="T109" s="28"/>
      <x:c r="U109" s="49"/>
      <x:c r="V109" s="28"/>
      <x:c r="W109" s="55"/>
    </x:row>
    <x:row r="110">
      <x:c r="A110" s="61"/>
      <x:c r="C110" s="49"/>
      <x:c r="D110" s="49"/>
      <x:c r="E110" s="49"/>
      <x:c r="F110" s="49"/>
      <x:c r="G110" s="49"/>
      <x:c r="H110" s="49"/>
      <x:c r="I110" s="52"/>
      <x:c r="J110" s="49"/>
      <x:c r="K110" s="55"/>
      <x:c r="L110" s="55"/>
      <x:c r="M110" s="55"/>
      <x:c r="N110" s="55"/>
      <x:c r="O110" s="55"/>
      <x:c r="P110" s="64"/>
      <x:c r="Q110" s="28"/>
      <x:c r="R110" s="28"/>
      <x:c r="S110" s="52"/>
      <x:c r="T110" s="28"/>
      <x:c r="U110" s="49"/>
      <x:c r="V110" s="28"/>
      <x:c r="W110" s="55"/>
    </x:row>
    <x:row r="111">
      <x:c r="A111" s="61"/>
      <x:c r="C111" s="49"/>
      <x:c r="D111" s="49"/>
      <x:c r="E111" s="49"/>
      <x:c r="F111" s="49"/>
      <x:c r="G111" s="49"/>
      <x:c r="H111" s="49"/>
      <x:c r="I111" s="52"/>
      <x:c r="J111" s="49"/>
      <x:c r="K111" s="55"/>
      <x:c r="L111" s="55"/>
      <x:c r="M111" s="55"/>
      <x:c r="N111" s="55"/>
      <x:c r="O111" s="55"/>
      <x:c r="P111" s="64"/>
      <x:c r="Q111" s="28"/>
      <x:c r="R111" s="28"/>
      <x:c r="S111" s="52"/>
      <x:c r="T111" s="28"/>
      <x:c r="U111" s="49"/>
      <x:c r="V111" s="28"/>
      <x:c r="W111" s="55"/>
    </x:row>
    <x:row r="112">
      <x:c r="A112" s="61"/>
      <x:c r="C112" s="49"/>
      <x:c r="D112" s="49"/>
      <x:c r="E112" s="49"/>
      <x:c r="F112" s="49"/>
      <x:c r="G112" s="49"/>
      <x:c r="H112" s="49"/>
      <x:c r="I112" s="52"/>
      <x:c r="J112" s="49"/>
      <x:c r="K112" s="55"/>
      <x:c r="L112" s="55"/>
      <x:c r="M112" s="55"/>
      <x:c r="N112" s="55"/>
      <x:c r="O112" s="55"/>
      <x:c r="P112" s="64"/>
      <x:c r="Q112" s="28"/>
      <x:c r="R112" s="28"/>
      <x:c r="S112" s="52"/>
      <x:c r="T112" s="28"/>
      <x:c r="U112" s="49"/>
      <x:c r="V112" s="28"/>
      <x:c r="W112" s="55"/>
    </x:row>
    <x:row r="113">
      <x:c r="A113" s="61"/>
      <x:c r="C113" s="49"/>
      <x:c r="D113" s="49"/>
      <x:c r="E113" s="49"/>
      <x:c r="F113" s="49"/>
      <x:c r="G113" s="49"/>
      <x:c r="H113" s="49"/>
      <x:c r="I113" s="52"/>
      <x:c r="J113" s="49"/>
      <x:c r="K113" s="55"/>
      <x:c r="L113" s="55"/>
      <x:c r="M113" s="55"/>
      <x:c r="N113" s="55"/>
      <x:c r="O113" s="55"/>
      <x:c r="P113" s="64"/>
      <x:c r="Q113" s="28"/>
      <x:c r="R113" s="28"/>
      <x:c r="S113" s="52"/>
      <x:c r="T113" s="28"/>
      <x:c r="U113" s="49"/>
      <x:c r="V113" s="28"/>
      <x:c r="W113" s="55"/>
    </x:row>
    <x:row r="114">
      <x:c r="A114" s="61"/>
      <x:c r="C114" s="49"/>
      <x:c r="D114" s="49"/>
      <x:c r="E114" s="49"/>
      <x:c r="F114" s="49"/>
      <x:c r="G114" s="49"/>
      <x:c r="H114" s="49"/>
      <x:c r="I114" s="52"/>
      <x:c r="J114" s="49"/>
      <x:c r="K114" s="55"/>
      <x:c r="L114" s="55"/>
      <x:c r="M114" s="55"/>
      <x:c r="N114" s="55"/>
      <x:c r="O114" s="55"/>
      <x:c r="P114" s="64"/>
      <x:c r="Q114" s="28"/>
      <x:c r="R114" s="28"/>
      <x:c r="S114" s="52"/>
      <x:c r="T114" s="28"/>
      <x:c r="U114" s="49"/>
      <x:c r="V114" s="28"/>
      <x:c r="W114" s="55"/>
    </x:row>
    <x:row r="115">
      <x:c r="A115" s="61"/>
      <x:c r="C115" s="49"/>
      <x:c r="D115" s="49"/>
      <x:c r="E115" s="49"/>
      <x:c r="F115" s="49"/>
      <x:c r="G115" s="49"/>
      <x:c r="H115" s="49"/>
      <x:c r="I115" s="52"/>
      <x:c r="J115" s="49"/>
      <x:c r="K115" s="55"/>
      <x:c r="L115" s="55"/>
      <x:c r="M115" s="55"/>
      <x:c r="N115" s="55"/>
      <x:c r="O115" s="55"/>
      <x:c r="P115" s="64"/>
      <x:c r="Q115" s="28"/>
      <x:c r="R115" s="28"/>
      <x:c r="S115" s="52"/>
      <x:c r="T115" s="28"/>
      <x:c r="U115" s="49"/>
      <x:c r="V115" s="28"/>
      <x:c r="W115" s="55"/>
    </x:row>
    <x:row r="116">
      <x:c r="A116" s="61"/>
      <x:c r="C116" s="49"/>
      <x:c r="D116" s="49"/>
      <x:c r="E116" s="49"/>
      <x:c r="F116" s="49"/>
      <x:c r="G116" s="49"/>
      <x:c r="H116" s="49"/>
      <x:c r="I116" s="52"/>
      <x:c r="J116" s="49"/>
      <x:c r="K116" s="55"/>
      <x:c r="L116" s="55"/>
      <x:c r="M116" s="55"/>
      <x:c r="N116" s="55"/>
      <x:c r="O116" s="55"/>
      <x:c r="P116" s="64"/>
      <x:c r="Q116" s="28"/>
      <x:c r="R116" s="28"/>
      <x:c r="S116" s="52"/>
      <x:c r="T116" s="28"/>
      <x:c r="U116" s="49"/>
      <x:c r="V116" s="28"/>
      <x:c r="W116" s="55"/>
    </x:row>
    <x:row r="117">
      <x:c r="A117" s="61"/>
      <x:c r="C117" s="49"/>
      <x:c r="D117" s="49"/>
      <x:c r="E117" s="49"/>
      <x:c r="F117" s="49"/>
      <x:c r="G117" s="49"/>
      <x:c r="H117" s="49"/>
      <x:c r="I117" s="52"/>
      <x:c r="J117" s="49"/>
      <x:c r="K117" s="55"/>
      <x:c r="L117" s="55"/>
      <x:c r="M117" s="55"/>
      <x:c r="N117" s="55"/>
      <x:c r="O117" s="55"/>
      <x:c r="P117" s="64"/>
      <x:c r="Q117" s="28"/>
      <x:c r="R117" s="28"/>
      <x:c r="S117" s="52"/>
      <x:c r="T117" s="28"/>
      <x:c r="U117" s="49"/>
      <x:c r="V117" s="28"/>
      <x:c r="W117" s="55"/>
    </x:row>
    <x:row r="118">
      <x:c r="A118" s="61"/>
      <x:c r="C118" s="49"/>
      <x:c r="D118" s="49"/>
      <x:c r="E118" s="49"/>
      <x:c r="F118" s="49"/>
      <x:c r="G118" s="49"/>
      <x:c r="H118" s="49"/>
      <x:c r="I118" s="52"/>
      <x:c r="J118" s="49"/>
      <x:c r="K118" s="55"/>
      <x:c r="L118" s="55"/>
      <x:c r="M118" s="55"/>
      <x:c r="N118" s="55"/>
      <x:c r="O118" s="55"/>
      <x:c r="P118" s="64"/>
      <x:c r="Q118" s="28"/>
      <x:c r="R118" s="28"/>
      <x:c r="S118" s="52"/>
      <x:c r="T118" s="28"/>
      <x:c r="U118" s="49"/>
      <x:c r="V118" s="28"/>
      <x:c r="W118" s="55"/>
    </x:row>
    <x:row r="119">
      <x:c r="A119" s="61"/>
      <x:c r="C119" s="49"/>
      <x:c r="D119" s="49"/>
      <x:c r="E119" s="49"/>
      <x:c r="F119" s="49"/>
      <x:c r="G119" s="49"/>
      <x:c r="H119" s="49"/>
      <x:c r="I119" s="52"/>
      <x:c r="J119" s="49"/>
      <x:c r="K119" s="55"/>
      <x:c r="L119" s="55"/>
      <x:c r="M119" s="55"/>
      <x:c r="N119" s="55"/>
      <x:c r="O119" s="55"/>
      <x:c r="P119" s="64"/>
      <x:c r="Q119" s="28"/>
      <x:c r="R119" s="28"/>
      <x:c r="S119" s="52"/>
      <x:c r="T119" s="28"/>
      <x:c r="U119" s="49"/>
      <x:c r="V119" s="28"/>
      <x:c r="W119" s="55"/>
    </x:row>
    <x:row r="120">
      <x:c r="A120" s="61"/>
      <x:c r="C120" s="49"/>
      <x:c r="D120" s="49"/>
      <x:c r="E120" s="49"/>
      <x:c r="F120" s="49"/>
      <x:c r="G120" s="49"/>
      <x:c r="H120" s="49"/>
      <x:c r="I120" s="52"/>
      <x:c r="J120" s="49"/>
      <x:c r="K120" s="55"/>
      <x:c r="L120" s="55"/>
      <x:c r="M120" s="55"/>
      <x:c r="N120" s="55"/>
      <x:c r="O120" s="55"/>
      <x:c r="P120" s="64"/>
      <x:c r="Q120" s="28"/>
      <x:c r="R120" s="28"/>
      <x:c r="S120" s="52"/>
      <x:c r="T120" s="28"/>
      <x:c r="U120" s="49"/>
      <x:c r="V120" s="28"/>
      <x:c r="W120" s="55"/>
    </x:row>
    <x:row r="121">
      <x:c r="A121" s="61"/>
      <x:c r="C121" s="49"/>
      <x:c r="D121" s="49"/>
      <x:c r="E121" s="49"/>
      <x:c r="F121" s="49"/>
      <x:c r="G121" s="49"/>
      <x:c r="H121" s="49"/>
      <x:c r="I121" s="52"/>
      <x:c r="J121" s="49"/>
      <x:c r="K121" s="55"/>
      <x:c r="L121" s="55"/>
      <x:c r="M121" s="55"/>
      <x:c r="N121" s="55"/>
      <x:c r="O121" s="55"/>
      <x:c r="P121" s="64"/>
      <x:c r="Q121" s="28"/>
      <x:c r="R121" s="28"/>
      <x:c r="S121" s="52"/>
      <x:c r="T121" s="28"/>
      <x:c r="U121" s="49"/>
      <x:c r="V121" s="28"/>
      <x:c r="W121" s="55"/>
    </x:row>
    <x:row r="122">
      <x:c r="A122" s="61"/>
      <x:c r="C122" s="49"/>
      <x:c r="D122" s="49"/>
      <x:c r="E122" s="49"/>
      <x:c r="F122" s="49"/>
      <x:c r="G122" s="49"/>
      <x:c r="H122" s="49"/>
      <x:c r="I122" s="52"/>
      <x:c r="J122" s="49"/>
      <x:c r="K122" s="55"/>
      <x:c r="L122" s="55"/>
      <x:c r="M122" s="55"/>
      <x:c r="N122" s="55"/>
      <x:c r="O122" s="55"/>
      <x:c r="P122" s="64"/>
      <x:c r="Q122" s="28"/>
      <x:c r="R122" s="28"/>
      <x:c r="S122" s="52"/>
      <x:c r="T122" s="28"/>
      <x:c r="U122" s="49"/>
      <x:c r="V122" s="28"/>
      <x:c r="W122" s="55"/>
    </x:row>
    <x:row r="123">
      <x:c r="A123" s="61"/>
      <x:c r="C123" s="49"/>
      <x:c r="D123" s="49"/>
      <x:c r="E123" s="49"/>
      <x:c r="F123" s="49"/>
      <x:c r="G123" s="49"/>
      <x:c r="H123" s="49"/>
      <x:c r="I123" s="52"/>
      <x:c r="J123" s="49"/>
      <x:c r="K123" s="55"/>
      <x:c r="L123" s="55"/>
      <x:c r="M123" s="55"/>
      <x:c r="N123" s="55"/>
      <x:c r="O123" s="55"/>
      <x:c r="P123" s="64"/>
      <x:c r="Q123" s="28"/>
      <x:c r="R123" s="28"/>
      <x:c r="S123" s="52"/>
      <x:c r="T123" s="28"/>
      <x:c r="U123" s="49"/>
      <x:c r="V123" s="28"/>
      <x:c r="W123" s="55"/>
    </x:row>
    <x:row r="124">
      <x:c r="A124" s="61"/>
      <x:c r="C124" s="49"/>
      <x:c r="D124" s="49"/>
      <x:c r="E124" s="49"/>
      <x:c r="F124" s="49"/>
      <x:c r="G124" s="49"/>
      <x:c r="H124" s="49"/>
      <x:c r="I124" s="52"/>
      <x:c r="J124" s="49"/>
      <x:c r="K124" s="55"/>
      <x:c r="L124" s="55"/>
      <x:c r="M124" s="55"/>
      <x:c r="N124" s="55"/>
      <x:c r="O124" s="55"/>
      <x:c r="P124" s="64"/>
      <x:c r="Q124" s="28"/>
      <x:c r="R124" s="28"/>
      <x:c r="S124" s="52"/>
      <x:c r="T124" s="28"/>
      <x:c r="U124" s="49"/>
      <x:c r="V124" s="28"/>
      <x:c r="W124" s="55"/>
    </x:row>
    <x:row r="125">
      <x:c r="A125" s="61"/>
      <x:c r="C125" s="49"/>
      <x:c r="D125" s="49"/>
      <x:c r="E125" s="49"/>
      <x:c r="F125" s="49"/>
      <x:c r="G125" s="49"/>
      <x:c r="H125" s="49"/>
      <x:c r="I125" s="52"/>
      <x:c r="J125" s="49"/>
      <x:c r="K125" s="55"/>
      <x:c r="L125" s="55"/>
      <x:c r="M125" s="55"/>
      <x:c r="N125" s="55"/>
      <x:c r="O125" s="55"/>
      <x:c r="P125" s="64"/>
      <x:c r="Q125" s="28"/>
      <x:c r="R125" s="28"/>
      <x:c r="S125" s="52"/>
      <x:c r="T125" s="28"/>
      <x:c r="U125" s="49"/>
      <x:c r="V125" s="28"/>
      <x:c r="W125" s="55"/>
    </x:row>
    <x:row r="126">
      <x:c r="A126" s="61"/>
      <x:c r="C126" s="49"/>
      <x:c r="D126" s="49"/>
      <x:c r="E126" s="49"/>
      <x:c r="F126" s="49"/>
      <x:c r="G126" s="49"/>
      <x:c r="H126" s="49"/>
      <x:c r="I126" s="52"/>
      <x:c r="J126" s="49"/>
      <x:c r="K126" s="55"/>
      <x:c r="L126" s="55"/>
      <x:c r="M126" s="55"/>
      <x:c r="N126" s="55"/>
      <x:c r="O126" s="55"/>
      <x:c r="P126" s="64"/>
      <x:c r="Q126" s="28"/>
      <x:c r="R126" s="28"/>
      <x:c r="S126" s="52"/>
      <x:c r="T126" s="28"/>
      <x:c r="U126" s="49"/>
      <x:c r="V126" s="28"/>
      <x:c r="W126" s="55"/>
    </x:row>
    <x:row r="127">
      <x:c r="A127" s="61"/>
      <x:c r="C127" s="49"/>
      <x:c r="D127" s="49"/>
      <x:c r="E127" s="49"/>
      <x:c r="F127" s="49"/>
      <x:c r="G127" s="49"/>
      <x:c r="H127" s="49"/>
      <x:c r="I127" s="52"/>
      <x:c r="J127" s="49"/>
      <x:c r="K127" s="55"/>
      <x:c r="L127" s="55"/>
      <x:c r="M127" s="55"/>
      <x:c r="N127" s="55"/>
      <x:c r="O127" s="55"/>
      <x:c r="P127" s="64"/>
      <x:c r="Q127" s="28"/>
      <x:c r="R127" s="28"/>
      <x:c r="S127" s="52"/>
      <x:c r="T127" s="28"/>
      <x:c r="U127" s="49"/>
      <x:c r="V127" s="28"/>
      <x:c r="W127" s="55"/>
    </x:row>
    <x:row r="128">
      <x:c r="A128" s="61"/>
      <x:c r="C128" s="49"/>
      <x:c r="D128" s="49"/>
      <x:c r="E128" s="49"/>
      <x:c r="F128" s="49"/>
      <x:c r="G128" s="49"/>
      <x:c r="H128" s="49"/>
      <x:c r="I128" s="52"/>
      <x:c r="J128" s="49"/>
      <x:c r="K128" s="55"/>
      <x:c r="L128" s="55"/>
      <x:c r="M128" s="55"/>
      <x:c r="N128" s="55"/>
      <x:c r="O128" s="55"/>
      <x:c r="P128" s="64"/>
      <x:c r="Q128" s="28"/>
      <x:c r="R128" s="28"/>
      <x:c r="S128" s="52"/>
      <x:c r="T128" s="28"/>
      <x:c r="U128" s="49"/>
      <x:c r="V128" s="28"/>
      <x:c r="W128" s="55"/>
    </x:row>
    <x:row r="129">
      <x:c r="A129" s="61"/>
      <x:c r="C129" s="49"/>
      <x:c r="D129" s="49"/>
      <x:c r="E129" s="49"/>
      <x:c r="F129" s="49"/>
      <x:c r="G129" s="49"/>
      <x:c r="H129" s="49"/>
      <x:c r="I129" s="52"/>
      <x:c r="J129" s="49"/>
      <x:c r="K129" s="55"/>
      <x:c r="L129" s="55"/>
      <x:c r="M129" s="55"/>
      <x:c r="N129" s="55"/>
      <x:c r="O129" s="55"/>
      <x:c r="P129" s="64"/>
      <x:c r="Q129" s="28"/>
      <x:c r="R129" s="28"/>
      <x:c r="S129" s="52"/>
      <x:c r="T129" s="28"/>
      <x:c r="U129" s="49"/>
      <x:c r="V129" s="28"/>
      <x:c r="W129" s="55"/>
    </x:row>
    <x:row r="130">
      <x:c r="A130" s="61"/>
      <x:c r="C130" s="49"/>
      <x:c r="D130" s="49"/>
      <x:c r="E130" s="49"/>
      <x:c r="F130" s="49"/>
      <x:c r="G130" s="49"/>
      <x:c r="H130" s="49"/>
      <x:c r="I130" s="52"/>
      <x:c r="J130" s="49"/>
      <x:c r="K130" s="55"/>
      <x:c r="L130" s="55"/>
      <x:c r="M130" s="55"/>
      <x:c r="N130" s="55"/>
      <x:c r="O130" s="55"/>
      <x:c r="P130" s="64"/>
      <x:c r="Q130" s="28"/>
      <x:c r="R130" s="28"/>
      <x:c r="S130" s="52"/>
      <x:c r="T130" s="28"/>
      <x:c r="U130" s="49"/>
      <x:c r="V130" s="28"/>
      <x:c r="W130" s="55"/>
    </x:row>
    <x:row r="131">
      <x:c r="A131" s="61"/>
      <x:c r="C131" s="49"/>
      <x:c r="D131" s="49"/>
      <x:c r="E131" s="49"/>
      <x:c r="F131" s="49"/>
      <x:c r="G131" s="49"/>
      <x:c r="H131" s="49"/>
      <x:c r="I131" s="52"/>
      <x:c r="J131" s="49"/>
      <x:c r="K131" s="55"/>
      <x:c r="L131" s="55"/>
      <x:c r="M131" s="55"/>
      <x:c r="N131" s="55"/>
      <x:c r="O131" s="55"/>
      <x:c r="P131" s="64"/>
      <x:c r="Q131" s="28"/>
      <x:c r="R131" s="28"/>
      <x:c r="S131" s="52"/>
      <x:c r="T131" s="28"/>
      <x:c r="U131" s="49"/>
      <x:c r="V131" s="28"/>
      <x:c r="W131" s="55"/>
    </x:row>
    <x:row r="132">
      <x:c r="A132" s="61"/>
      <x:c r="C132" s="49"/>
      <x:c r="D132" s="49"/>
      <x:c r="E132" s="49"/>
      <x:c r="F132" s="49"/>
      <x:c r="G132" s="49"/>
      <x:c r="H132" s="49"/>
      <x:c r="I132" s="52"/>
      <x:c r="J132" s="49"/>
      <x:c r="K132" s="55"/>
      <x:c r="L132" s="55"/>
      <x:c r="M132" s="55"/>
      <x:c r="N132" s="55"/>
      <x:c r="O132" s="55"/>
      <x:c r="P132" s="64"/>
      <x:c r="Q132" s="28"/>
      <x:c r="R132" s="28"/>
      <x:c r="S132" s="52"/>
      <x:c r="T132" s="28"/>
      <x:c r="U132" s="49"/>
      <x:c r="V132" s="28"/>
      <x:c r="W132" s="55"/>
    </x:row>
    <x:row r="133">
      <x:c r="A133" s="61"/>
      <x:c r="C133" s="49"/>
      <x:c r="D133" s="49"/>
      <x:c r="E133" s="49"/>
      <x:c r="F133" s="49"/>
      <x:c r="G133" s="49"/>
      <x:c r="H133" s="49"/>
      <x:c r="I133" s="52"/>
      <x:c r="J133" s="49"/>
      <x:c r="K133" s="55"/>
      <x:c r="L133" s="55"/>
      <x:c r="M133" s="55"/>
      <x:c r="N133" s="55"/>
      <x:c r="O133" s="55"/>
      <x:c r="P133" s="64"/>
      <x:c r="Q133" s="28"/>
      <x:c r="R133" s="28"/>
      <x:c r="S133" s="52"/>
      <x:c r="T133" s="28"/>
      <x:c r="U133" s="49"/>
      <x:c r="V133" s="28"/>
      <x:c r="W133" s="55"/>
    </x:row>
    <x:row r="134">
      <x:c r="A134" s="61"/>
      <x:c r="C134" s="49"/>
      <x:c r="D134" s="49"/>
      <x:c r="E134" s="49"/>
      <x:c r="F134" s="49"/>
      <x:c r="G134" s="49"/>
      <x:c r="H134" s="49"/>
      <x:c r="I134" s="52"/>
      <x:c r="J134" s="49"/>
      <x:c r="K134" s="55"/>
      <x:c r="L134" s="55"/>
      <x:c r="M134" s="55"/>
      <x:c r="N134" s="55"/>
      <x:c r="O134" s="55"/>
      <x:c r="P134" s="64"/>
      <x:c r="Q134" s="28"/>
      <x:c r="R134" s="28"/>
      <x:c r="S134" s="52"/>
      <x:c r="T134" s="28"/>
      <x:c r="U134" s="49"/>
      <x:c r="V134" s="28"/>
      <x:c r="W134" s="55"/>
    </x:row>
    <x:row r="135">
      <x:c r="A135" s="61"/>
      <x:c r="C135" s="49"/>
      <x:c r="D135" s="49"/>
      <x:c r="E135" s="49"/>
      <x:c r="F135" s="49"/>
      <x:c r="G135" s="49"/>
      <x:c r="H135" s="49"/>
      <x:c r="I135" s="52"/>
      <x:c r="J135" s="49"/>
      <x:c r="K135" s="55"/>
      <x:c r="L135" s="55"/>
      <x:c r="M135" s="55"/>
      <x:c r="N135" s="55"/>
      <x:c r="O135" s="55"/>
      <x:c r="P135" s="64"/>
      <x:c r="Q135" s="28"/>
      <x:c r="R135" s="28"/>
      <x:c r="S135" s="52"/>
      <x:c r="T135" s="28"/>
      <x:c r="U135" s="49"/>
      <x:c r="V135" s="28"/>
      <x:c r="W135" s="55"/>
    </x:row>
    <x:row r="136">
      <x:c r="A136" s="61"/>
      <x:c r="C136" s="49"/>
      <x:c r="D136" s="49"/>
      <x:c r="E136" s="49"/>
      <x:c r="F136" s="49"/>
      <x:c r="G136" s="49"/>
      <x:c r="H136" s="49"/>
      <x:c r="I136" s="52"/>
      <x:c r="J136" s="49"/>
      <x:c r="K136" s="55"/>
      <x:c r="L136" s="55"/>
      <x:c r="M136" s="55"/>
      <x:c r="N136" s="55"/>
      <x:c r="O136" s="55"/>
      <x:c r="P136" s="64"/>
      <x:c r="Q136" s="28"/>
      <x:c r="R136" s="28"/>
      <x:c r="S136" s="52"/>
      <x:c r="T136" s="28"/>
      <x:c r="U136" s="49"/>
      <x:c r="V136" s="28"/>
      <x:c r="W136" s="55"/>
    </x:row>
    <x:row r="137">
      <x:c r="A137" s="61"/>
      <x:c r="C137" s="49"/>
      <x:c r="D137" s="49"/>
      <x:c r="E137" s="49"/>
      <x:c r="F137" s="49"/>
      <x:c r="G137" s="49"/>
      <x:c r="H137" s="49"/>
      <x:c r="I137" s="52"/>
      <x:c r="J137" s="49"/>
      <x:c r="K137" s="55"/>
      <x:c r="L137" s="55"/>
      <x:c r="M137" s="55"/>
      <x:c r="N137" s="55"/>
      <x:c r="O137" s="55"/>
      <x:c r="P137" s="64"/>
      <x:c r="Q137" s="28"/>
      <x:c r="R137" s="28"/>
      <x:c r="S137" s="52"/>
      <x:c r="T137" s="28"/>
      <x:c r="U137" s="49"/>
      <x:c r="V137" s="28"/>
      <x:c r="W137" s="55"/>
    </x:row>
    <x:row r="138">
      <x:c r="A138" s="61"/>
      <x:c r="C138" s="49"/>
      <x:c r="D138" s="49"/>
      <x:c r="E138" s="49"/>
      <x:c r="F138" s="49"/>
      <x:c r="G138" s="49"/>
      <x:c r="H138" s="49"/>
      <x:c r="I138" s="52"/>
      <x:c r="J138" s="49"/>
      <x:c r="K138" s="55"/>
      <x:c r="L138" s="55"/>
      <x:c r="M138" s="55"/>
      <x:c r="N138" s="55"/>
      <x:c r="O138" s="55"/>
      <x:c r="P138" s="64"/>
      <x:c r="Q138" s="28"/>
      <x:c r="R138" s="28"/>
      <x:c r="S138" s="52"/>
      <x:c r="T138" s="28"/>
      <x:c r="U138" s="49"/>
      <x:c r="V138" s="28"/>
      <x:c r="W138" s="55"/>
    </x:row>
    <x:row r="139">
      <x:c r="A139" s="61"/>
      <x:c r="C139" s="49"/>
      <x:c r="D139" s="49"/>
      <x:c r="E139" s="49"/>
      <x:c r="F139" s="49"/>
      <x:c r="G139" s="49"/>
      <x:c r="H139" s="49"/>
      <x:c r="I139" s="52"/>
      <x:c r="J139" s="49"/>
      <x:c r="K139" s="55"/>
      <x:c r="L139" s="55"/>
      <x:c r="M139" s="55"/>
      <x:c r="N139" s="55"/>
      <x:c r="O139" s="55"/>
      <x:c r="P139" s="64"/>
      <x:c r="Q139" s="28"/>
      <x:c r="R139" s="28"/>
      <x:c r="S139" s="52"/>
      <x:c r="T139" s="28"/>
      <x:c r="U139" s="49"/>
      <x:c r="V139" s="28"/>
      <x:c r="W139" s="55"/>
    </x:row>
    <x:row r="140">
      <x:c r="A140" s="61"/>
      <x:c r="C140" s="49"/>
      <x:c r="D140" s="49"/>
      <x:c r="E140" s="49"/>
      <x:c r="F140" s="49"/>
      <x:c r="G140" s="49"/>
      <x:c r="H140" s="49"/>
      <x:c r="I140" s="52"/>
      <x:c r="J140" s="49"/>
      <x:c r="K140" s="55"/>
      <x:c r="L140" s="55"/>
      <x:c r="M140" s="55"/>
      <x:c r="N140" s="55"/>
      <x:c r="O140" s="55"/>
      <x:c r="P140" s="64"/>
      <x:c r="Q140" s="28"/>
      <x:c r="R140" s="28"/>
      <x:c r="S140" s="52"/>
      <x:c r="T140" s="28"/>
      <x:c r="U140" s="49"/>
      <x:c r="V140" s="28"/>
      <x:c r="W140" s="55"/>
    </x:row>
    <x:row r="141">
      <x:c r="A141" s="61"/>
      <x:c r="C141" s="49"/>
      <x:c r="D141" s="49"/>
      <x:c r="E141" s="49"/>
      <x:c r="F141" s="49"/>
      <x:c r="G141" s="49"/>
      <x:c r="H141" s="49"/>
      <x:c r="I141" s="52"/>
      <x:c r="J141" s="49"/>
      <x:c r="K141" s="55"/>
      <x:c r="L141" s="55"/>
      <x:c r="M141" s="55"/>
      <x:c r="N141" s="55"/>
      <x:c r="O141" s="55"/>
      <x:c r="P141" s="64"/>
      <x:c r="Q141" s="28"/>
      <x:c r="R141" s="28"/>
      <x:c r="S141" s="52"/>
      <x:c r="T141" s="28"/>
      <x:c r="U141" s="49"/>
      <x:c r="V141" s="28"/>
      <x:c r="W141" s="55"/>
    </x:row>
    <x:row r="142">
      <x:c r="A142" s="61"/>
      <x:c r="C142" s="49"/>
      <x:c r="D142" s="49"/>
      <x:c r="E142" s="49"/>
      <x:c r="F142" s="49"/>
      <x:c r="G142" s="49"/>
      <x:c r="H142" s="49"/>
      <x:c r="I142" s="52"/>
      <x:c r="J142" s="49"/>
      <x:c r="K142" s="55"/>
      <x:c r="L142" s="55"/>
      <x:c r="M142" s="55"/>
      <x:c r="N142" s="55"/>
      <x:c r="O142" s="55"/>
      <x:c r="P142" s="64"/>
      <x:c r="Q142" s="28"/>
      <x:c r="R142" s="28"/>
      <x:c r="S142" s="52"/>
      <x:c r="T142" s="28"/>
      <x:c r="U142" s="49"/>
      <x:c r="V142" s="28"/>
      <x:c r="W142" s="55"/>
    </x:row>
    <x:row r="143">
      <x:c r="A143" s="61"/>
      <x:c r="C143" s="49"/>
      <x:c r="D143" s="49"/>
      <x:c r="E143" s="49"/>
      <x:c r="F143" s="49"/>
      <x:c r="G143" s="49"/>
      <x:c r="H143" s="49"/>
      <x:c r="I143" s="52"/>
      <x:c r="J143" s="49"/>
      <x:c r="K143" s="55"/>
      <x:c r="L143" s="55"/>
      <x:c r="M143" s="55"/>
      <x:c r="N143" s="55"/>
      <x:c r="O143" s="55"/>
      <x:c r="P143" s="64"/>
      <x:c r="Q143" s="28"/>
      <x:c r="R143" s="28"/>
      <x:c r="S143" s="52"/>
      <x:c r="T143" s="28"/>
      <x:c r="U143" s="49"/>
      <x:c r="V143" s="28"/>
      <x:c r="W143" s="55"/>
    </x:row>
    <x:row r="144">
      <x:c r="A144" s="61"/>
      <x:c r="C144" s="49"/>
      <x:c r="D144" s="49"/>
      <x:c r="E144" s="49"/>
      <x:c r="F144" s="49"/>
      <x:c r="G144" s="49"/>
      <x:c r="H144" s="49"/>
      <x:c r="I144" s="52"/>
      <x:c r="J144" s="49"/>
      <x:c r="K144" s="55"/>
      <x:c r="L144" s="55"/>
      <x:c r="M144" s="55"/>
      <x:c r="N144" s="55"/>
      <x:c r="O144" s="55"/>
      <x:c r="P144" s="64"/>
      <x:c r="Q144" s="28"/>
      <x:c r="R144" s="28"/>
      <x:c r="S144" s="52"/>
      <x:c r="T144" s="28"/>
      <x:c r="U144" s="49"/>
      <x:c r="V144" s="28"/>
      <x:c r="W144" s="55"/>
    </x:row>
    <x:row r="145">
      <x:c r="A145" s="61"/>
      <x:c r="C145" s="49"/>
      <x:c r="D145" s="49"/>
      <x:c r="E145" s="49"/>
      <x:c r="F145" s="49"/>
      <x:c r="G145" s="49"/>
      <x:c r="H145" s="49"/>
      <x:c r="I145" s="52"/>
      <x:c r="J145" s="49"/>
      <x:c r="K145" s="55"/>
      <x:c r="L145" s="55"/>
      <x:c r="M145" s="55"/>
      <x:c r="N145" s="55"/>
      <x:c r="O145" s="55"/>
      <x:c r="P145" s="64"/>
      <x:c r="Q145" s="28"/>
      <x:c r="R145" s="28"/>
      <x:c r="S145" s="52"/>
      <x:c r="T145" s="28"/>
      <x:c r="U145" s="49"/>
      <x:c r="V145" s="28"/>
      <x:c r="W145" s="55"/>
    </x:row>
    <x:row r="146">
      <x:c r="A146" s="61"/>
      <x:c r="C146" s="49"/>
      <x:c r="D146" s="49"/>
      <x:c r="E146" s="49"/>
      <x:c r="F146" s="49"/>
      <x:c r="G146" s="49"/>
      <x:c r="H146" s="49"/>
      <x:c r="I146" s="52"/>
      <x:c r="J146" s="49"/>
      <x:c r="K146" s="55"/>
      <x:c r="L146" s="55"/>
      <x:c r="M146" s="55"/>
      <x:c r="N146" s="55"/>
      <x:c r="O146" s="55"/>
      <x:c r="P146" s="64"/>
      <x:c r="Q146" s="28"/>
      <x:c r="R146" s="28"/>
      <x:c r="S146" s="52"/>
      <x:c r="T146" s="28"/>
      <x:c r="U146" s="49"/>
      <x:c r="V146" s="28"/>
      <x:c r="W146" s="55"/>
    </x:row>
    <x:row r="147">
      <x:c r="A147" s="61"/>
      <x:c r="C147" s="49"/>
      <x:c r="D147" s="49"/>
      <x:c r="E147" s="49"/>
      <x:c r="F147" s="49"/>
      <x:c r="G147" s="49"/>
      <x:c r="H147" s="49"/>
      <x:c r="I147" s="52"/>
      <x:c r="J147" s="49"/>
      <x:c r="K147" s="55"/>
      <x:c r="L147" s="55"/>
      <x:c r="M147" s="55"/>
      <x:c r="N147" s="55"/>
      <x:c r="O147" s="55"/>
      <x:c r="P147" s="64"/>
      <x:c r="Q147" s="28"/>
      <x:c r="R147" s="28"/>
      <x:c r="S147" s="52"/>
      <x:c r="T147" s="28"/>
      <x:c r="U147" s="49"/>
      <x:c r="V147" s="28"/>
      <x:c r="W147" s="55"/>
    </x:row>
    <x:row r="148">
      <x:c r="A148" s="61"/>
      <x:c r="C148" s="49"/>
      <x:c r="D148" s="49"/>
      <x:c r="E148" s="49"/>
      <x:c r="F148" s="49"/>
      <x:c r="G148" s="49"/>
      <x:c r="H148" s="49"/>
      <x:c r="I148" s="52"/>
      <x:c r="J148" s="49"/>
      <x:c r="K148" s="55"/>
      <x:c r="L148" s="55"/>
      <x:c r="M148" s="55"/>
      <x:c r="N148" s="55"/>
      <x:c r="O148" s="55"/>
      <x:c r="P148" s="64"/>
      <x:c r="Q148" s="28"/>
      <x:c r="R148" s="28"/>
      <x:c r="S148" s="52"/>
      <x:c r="T148" s="28"/>
      <x:c r="U148" s="49"/>
      <x:c r="V148" s="28"/>
      <x:c r="W148" s="55"/>
    </x:row>
    <x:row r="149">
      <x:c r="A149" s="61"/>
      <x:c r="C149" s="49"/>
      <x:c r="D149" s="49"/>
      <x:c r="E149" s="49"/>
      <x:c r="F149" s="49"/>
      <x:c r="G149" s="49"/>
      <x:c r="H149" s="49"/>
      <x:c r="I149" s="52"/>
      <x:c r="J149" s="49"/>
      <x:c r="K149" s="55"/>
      <x:c r="L149" s="55"/>
      <x:c r="M149" s="55"/>
      <x:c r="N149" s="55"/>
      <x:c r="O149" s="55"/>
      <x:c r="P149" s="64"/>
      <x:c r="Q149" s="28"/>
      <x:c r="R149" s="28"/>
      <x:c r="S149" s="52"/>
      <x:c r="T149" s="28"/>
      <x:c r="U149" s="49"/>
      <x:c r="V149" s="28"/>
      <x:c r="W149" s="55"/>
    </x:row>
    <x:row r="150">
      <x:c r="A150" s="61"/>
      <x:c r="C150" s="49"/>
      <x:c r="D150" s="49"/>
      <x:c r="E150" s="49"/>
      <x:c r="F150" s="49"/>
      <x:c r="G150" s="49"/>
      <x:c r="H150" s="49"/>
      <x:c r="I150" s="52"/>
      <x:c r="J150" s="49"/>
      <x:c r="K150" s="55"/>
      <x:c r="L150" s="55"/>
      <x:c r="M150" s="55"/>
      <x:c r="N150" s="55"/>
      <x:c r="O150" s="55"/>
      <x:c r="P150" s="64"/>
      <x:c r="Q150" s="28"/>
      <x:c r="R150" s="28"/>
      <x:c r="S150" s="52"/>
      <x:c r="T150" s="28"/>
      <x:c r="U150" s="49"/>
      <x:c r="V150" s="28"/>
      <x:c r="W150" s="55"/>
    </x:row>
    <x:row r="151">
      <x:c r="A151" s="61"/>
      <x:c r="C151" s="49"/>
      <x:c r="D151" s="49"/>
      <x:c r="E151" s="49"/>
      <x:c r="F151" s="49"/>
      <x:c r="G151" s="49"/>
      <x:c r="H151" s="49"/>
      <x:c r="I151" s="52"/>
      <x:c r="J151" s="49"/>
      <x:c r="K151" s="55"/>
      <x:c r="L151" s="55"/>
      <x:c r="M151" s="55"/>
      <x:c r="N151" s="55"/>
      <x:c r="O151" s="55"/>
      <x:c r="P151" s="64"/>
      <x:c r="Q151" s="28"/>
      <x:c r="R151" s="28"/>
      <x:c r="S151" s="52"/>
      <x:c r="T151" s="28"/>
      <x:c r="U151" s="49"/>
      <x:c r="V151" s="28"/>
      <x:c r="W151" s="55"/>
    </x:row>
    <x:row r="152">
      <x:c r="A152" s="61"/>
      <x:c r="C152" s="49"/>
      <x:c r="D152" s="49"/>
      <x:c r="E152" s="49"/>
      <x:c r="F152" s="49"/>
      <x:c r="G152" s="49"/>
      <x:c r="H152" s="49"/>
      <x:c r="I152" s="52"/>
      <x:c r="J152" s="49"/>
      <x:c r="K152" s="55"/>
      <x:c r="L152" s="55"/>
      <x:c r="M152" s="55"/>
      <x:c r="N152" s="55"/>
      <x:c r="O152" s="55"/>
      <x:c r="P152" s="64"/>
      <x:c r="Q152" s="28"/>
      <x:c r="R152" s="28"/>
      <x:c r="S152" s="52"/>
      <x:c r="T152" s="28"/>
      <x:c r="U152" s="49"/>
      <x:c r="V152" s="28"/>
      <x:c r="W152" s="55"/>
    </x:row>
    <x:row r="153">
      <x:c r="A153" s="61"/>
      <x:c r="C153" s="49"/>
      <x:c r="D153" s="49"/>
      <x:c r="E153" s="49"/>
      <x:c r="F153" s="49"/>
      <x:c r="G153" s="49"/>
      <x:c r="H153" s="49"/>
      <x:c r="I153" s="52"/>
      <x:c r="J153" s="49"/>
      <x:c r="K153" s="55"/>
      <x:c r="L153" s="55"/>
      <x:c r="M153" s="55"/>
      <x:c r="N153" s="55"/>
      <x:c r="O153" s="55"/>
      <x:c r="P153" s="64"/>
      <x:c r="Q153" s="28"/>
      <x:c r="R153" s="28"/>
      <x:c r="S153" s="52"/>
      <x:c r="T153" s="28"/>
      <x:c r="U153" s="49"/>
      <x:c r="V153" s="28"/>
      <x:c r="W153" s="55"/>
    </x:row>
    <x:row r="154">
      <x:c r="A154" s="61"/>
      <x:c r="C154" s="49"/>
      <x:c r="D154" s="49"/>
      <x:c r="E154" s="49"/>
      <x:c r="F154" s="49"/>
      <x:c r="G154" s="49"/>
      <x:c r="H154" s="49"/>
      <x:c r="I154" s="52"/>
      <x:c r="J154" s="49"/>
      <x:c r="K154" s="55"/>
      <x:c r="L154" s="55"/>
      <x:c r="M154" s="55"/>
      <x:c r="N154" s="55"/>
      <x:c r="O154" s="55"/>
      <x:c r="P154" s="64"/>
      <x:c r="Q154" s="28"/>
      <x:c r="R154" s="28"/>
      <x:c r="S154" s="52"/>
      <x:c r="T154" s="28"/>
      <x:c r="U154" s="49"/>
      <x:c r="V154" s="28"/>
      <x:c r="W154" s="55"/>
    </x:row>
    <x:row r="155">
      <x:c r="A155" s="61"/>
      <x:c r="C155" s="49"/>
      <x:c r="D155" s="49"/>
      <x:c r="E155" s="49"/>
      <x:c r="F155" s="49"/>
      <x:c r="G155" s="49"/>
      <x:c r="H155" s="49"/>
      <x:c r="I155" s="52"/>
      <x:c r="J155" s="49"/>
      <x:c r="K155" s="55"/>
      <x:c r="L155" s="55"/>
      <x:c r="M155" s="55"/>
      <x:c r="N155" s="55"/>
      <x:c r="O155" s="55"/>
      <x:c r="P155" s="64"/>
      <x:c r="Q155" s="28"/>
      <x:c r="R155" s="28"/>
      <x:c r="S155" s="52"/>
      <x:c r="T155" s="28"/>
      <x:c r="U155" s="49"/>
      <x:c r="V155" s="28"/>
      <x:c r="W155" s="55"/>
    </x:row>
    <x:row r="156">
      <x:c r="A156" s="61"/>
      <x:c r="C156" s="49"/>
      <x:c r="D156" s="49"/>
      <x:c r="E156" s="49"/>
      <x:c r="F156" s="49"/>
      <x:c r="G156" s="49"/>
      <x:c r="H156" s="49"/>
      <x:c r="I156" s="52"/>
      <x:c r="J156" s="49"/>
      <x:c r="K156" s="55"/>
      <x:c r="L156" s="55"/>
      <x:c r="M156" s="55"/>
      <x:c r="N156" s="55"/>
      <x:c r="O156" s="55"/>
      <x:c r="P156" s="64"/>
      <x:c r="Q156" s="28"/>
      <x:c r="R156" s="28"/>
      <x:c r="S156" s="52"/>
      <x:c r="T156" s="28"/>
      <x:c r="U156" s="49"/>
      <x:c r="V156" s="28"/>
      <x:c r="W156" s="55"/>
    </x:row>
    <x:row r="157">
      <x:c r="A157" s="61"/>
      <x:c r="C157" s="49"/>
      <x:c r="D157" s="49"/>
      <x:c r="E157" s="49"/>
      <x:c r="F157" s="49"/>
      <x:c r="G157" s="49"/>
      <x:c r="H157" s="49"/>
      <x:c r="I157" s="52"/>
      <x:c r="J157" s="49"/>
      <x:c r="K157" s="55"/>
      <x:c r="L157" s="55"/>
      <x:c r="M157" s="55"/>
      <x:c r="N157" s="55"/>
      <x:c r="O157" s="55"/>
      <x:c r="P157" s="64"/>
      <x:c r="Q157" s="28"/>
      <x:c r="R157" s="28"/>
      <x:c r="S157" s="52"/>
      <x:c r="T157" s="28"/>
      <x:c r="U157" s="49"/>
      <x:c r="V157" s="28"/>
      <x:c r="W157" s="55"/>
    </x:row>
    <x:row r="158">
      <x:c r="A158" s="61"/>
      <x:c r="C158" s="49"/>
      <x:c r="D158" s="49"/>
      <x:c r="E158" s="49"/>
      <x:c r="F158" s="49"/>
      <x:c r="G158" s="49"/>
      <x:c r="H158" s="49"/>
      <x:c r="I158" s="52"/>
      <x:c r="J158" s="49"/>
      <x:c r="K158" s="55"/>
      <x:c r="L158" s="55"/>
      <x:c r="M158" s="55"/>
      <x:c r="N158" s="55"/>
      <x:c r="O158" s="55"/>
      <x:c r="P158" s="64"/>
      <x:c r="Q158" s="28"/>
      <x:c r="R158" s="28"/>
      <x:c r="S158" s="52"/>
      <x:c r="T158" s="28"/>
      <x:c r="U158" s="49"/>
      <x:c r="V158" s="28"/>
      <x:c r="W158" s="55"/>
    </x:row>
    <x:row r="159">
      <x:c r="A159" s="61"/>
      <x:c r="C159" s="49"/>
      <x:c r="D159" s="49"/>
      <x:c r="E159" s="49"/>
      <x:c r="F159" s="49"/>
      <x:c r="G159" s="49"/>
      <x:c r="H159" s="49"/>
      <x:c r="I159" s="52"/>
      <x:c r="J159" s="49"/>
      <x:c r="K159" s="55"/>
      <x:c r="L159" s="55"/>
      <x:c r="M159" s="55"/>
      <x:c r="N159" s="55"/>
      <x:c r="O159" s="55"/>
      <x:c r="P159" s="64"/>
      <x:c r="Q159" s="28"/>
      <x:c r="R159" s="28"/>
      <x:c r="S159" s="52"/>
      <x:c r="T159" s="28"/>
      <x:c r="U159" s="49"/>
      <x:c r="V159" s="28"/>
      <x:c r="W159" s="55"/>
    </x:row>
    <x:row r="160">
      <x:c r="A160" s="61"/>
      <x:c r="C160" s="49"/>
      <x:c r="D160" s="49"/>
      <x:c r="E160" s="49"/>
      <x:c r="F160" s="49"/>
      <x:c r="G160" s="49"/>
      <x:c r="H160" s="49"/>
      <x:c r="I160" s="52"/>
      <x:c r="J160" s="49"/>
      <x:c r="K160" s="55"/>
      <x:c r="L160" s="55"/>
      <x:c r="M160" s="55"/>
      <x:c r="N160" s="55"/>
      <x:c r="O160" s="55"/>
      <x:c r="P160" s="64"/>
      <x:c r="Q160" s="28"/>
      <x:c r="R160" s="28"/>
      <x:c r="S160" s="52"/>
      <x:c r="T160" s="28"/>
      <x:c r="U160" s="49"/>
      <x:c r="V160" s="28"/>
      <x:c r="W160" s="55"/>
    </x:row>
    <x:row r="161">
      <x:c r="A161" s="61"/>
      <x:c r="C161" s="49"/>
      <x:c r="D161" s="49"/>
      <x:c r="E161" s="49"/>
      <x:c r="F161" s="49"/>
      <x:c r="G161" s="49"/>
      <x:c r="H161" s="49"/>
      <x:c r="I161" s="52"/>
      <x:c r="J161" s="49"/>
      <x:c r="K161" s="55"/>
      <x:c r="L161" s="55"/>
      <x:c r="M161" s="55"/>
      <x:c r="N161" s="55"/>
      <x:c r="O161" s="55"/>
      <x:c r="P161" s="64"/>
      <x:c r="Q161" s="28"/>
      <x:c r="R161" s="28"/>
      <x:c r="S161" s="52"/>
      <x:c r="T161" s="28"/>
      <x:c r="U161" s="49"/>
      <x:c r="V161" s="28"/>
      <x:c r="W161" s="55"/>
    </x:row>
    <x:row r="162">
      <x:c r="A162" s="61"/>
      <x:c r="C162" s="49"/>
      <x:c r="D162" s="49"/>
      <x:c r="E162" s="49"/>
      <x:c r="F162" s="49"/>
      <x:c r="G162" s="49"/>
      <x:c r="H162" s="49"/>
      <x:c r="I162" s="52"/>
      <x:c r="J162" s="49"/>
      <x:c r="K162" s="55"/>
      <x:c r="L162" s="55"/>
      <x:c r="M162" s="55"/>
      <x:c r="N162" s="55"/>
      <x:c r="O162" s="55"/>
      <x:c r="P162" s="64"/>
      <x:c r="Q162" s="28"/>
      <x:c r="R162" s="28"/>
      <x:c r="S162" s="52"/>
      <x:c r="T162" s="28"/>
      <x:c r="U162" s="49"/>
      <x:c r="V162" s="28"/>
      <x:c r="W162" s="55"/>
    </x:row>
    <x:row r="163">
      <x:c r="A163" s="61"/>
      <x:c r="C163" s="49"/>
      <x:c r="D163" s="49"/>
      <x:c r="E163" s="49"/>
      <x:c r="F163" s="49"/>
      <x:c r="G163" s="49"/>
      <x:c r="H163" s="49"/>
      <x:c r="I163" s="52"/>
      <x:c r="J163" s="49"/>
      <x:c r="K163" s="55"/>
      <x:c r="L163" s="55"/>
      <x:c r="M163" s="55"/>
      <x:c r="N163" s="55"/>
      <x:c r="O163" s="55"/>
      <x:c r="P163" s="64"/>
      <x:c r="Q163" s="28"/>
      <x:c r="R163" s="28"/>
      <x:c r="S163" s="52"/>
      <x:c r="T163" s="28"/>
      <x:c r="U163" s="49"/>
      <x:c r="V163" s="28"/>
      <x:c r="W163" s="55"/>
    </x:row>
    <x:row r="164">
      <x:c r="A164" s="61"/>
      <x:c r="C164" s="49"/>
      <x:c r="D164" s="49"/>
      <x:c r="E164" s="49"/>
      <x:c r="F164" s="49"/>
      <x:c r="G164" s="49"/>
      <x:c r="H164" s="49"/>
      <x:c r="I164" s="52"/>
      <x:c r="J164" s="49"/>
      <x:c r="K164" s="55"/>
      <x:c r="L164" s="55"/>
      <x:c r="M164" s="55"/>
      <x:c r="N164" s="55"/>
      <x:c r="O164" s="55"/>
      <x:c r="P164" s="64"/>
      <x:c r="Q164" s="28"/>
      <x:c r="R164" s="28"/>
      <x:c r="S164" s="52"/>
      <x:c r="T164" s="28"/>
      <x:c r="U164" s="49"/>
      <x:c r="V164" s="28"/>
      <x:c r="W164" s="55"/>
    </x:row>
    <x:row r="165">
      <x:c r="A165" s="61"/>
      <x:c r="C165" s="49"/>
      <x:c r="D165" s="49"/>
      <x:c r="E165" s="49"/>
      <x:c r="F165" s="49"/>
      <x:c r="G165" s="49"/>
      <x:c r="H165" s="49"/>
      <x:c r="I165" s="52"/>
      <x:c r="J165" s="49"/>
      <x:c r="K165" s="55"/>
      <x:c r="L165" s="55"/>
      <x:c r="M165" s="55"/>
      <x:c r="N165" s="55"/>
      <x:c r="O165" s="55"/>
      <x:c r="P165" s="64"/>
      <x:c r="Q165" s="28"/>
      <x:c r="R165" s="28"/>
      <x:c r="S165" s="52"/>
      <x:c r="T165" s="28"/>
      <x:c r="U165" s="49"/>
      <x:c r="V165" s="28"/>
      <x:c r="W165" s="55"/>
    </x:row>
    <x:row r="166">
      <x:c r="A166" s="61"/>
      <x:c r="C166" s="49"/>
      <x:c r="D166" s="49"/>
      <x:c r="E166" s="49"/>
      <x:c r="F166" s="49"/>
      <x:c r="G166" s="49"/>
      <x:c r="H166" s="49"/>
      <x:c r="I166" s="52"/>
      <x:c r="J166" s="49"/>
      <x:c r="K166" s="55"/>
      <x:c r="L166" s="55"/>
      <x:c r="M166" s="55"/>
      <x:c r="N166" s="55"/>
      <x:c r="O166" s="55"/>
      <x:c r="P166" s="64"/>
      <x:c r="Q166" s="28"/>
      <x:c r="R166" s="28"/>
      <x:c r="S166" s="52"/>
      <x:c r="T166" s="28"/>
      <x:c r="U166" s="49"/>
      <x:c r="V166" s="28"/>
      <x:c r="W166" s="55"/>
    </x:row>
    <x:row r="167">
      <x:c r="A167" s="61"/>
      <x:c r="C167" s="49"/>
      <x:c r="D167" s="49"/>
      <x:c r="E167" s="49"/>
      <x:c r="F167" s="49"/>
      <x:c r="G167" s="49"/>
      <x:c r="H167" s="49"/>
      <x:c r="I167" s="52"/>
      <x:c r="J167" s="49"/>
      <x:c r="K167" s="55"/>
      <x:c r="L167" s="55"/>
      <x:c r="M167" s="55"/>
      <x:c r="N167" s="55"/>
      <x:c r="O167" s="55"/>
      <x:c r="P167" s="64"/>
      <x:c r="Q167" s="28"/>
      <x:c r="R167" s="28"/>
      <x:c r="S167" s="52"/>
      <x:c r="T167" s="28"/>
      <x:c r="U167" s="49"/>
      <x:c r="V167" s="28"/>
      <x:c r="W167" s="55"/>
    </x:row>
    <x:row r="168">
      <x:c r="A168" s="61"/>
      <x:c r="C168" s="49"/>
      <x:c r="D168" s="49"/>
      <x:c r="E168" s="49"/>
      <x:c r="F168" s="49"/>
      <x:c r="G168" s="49"/>
      <x:c r="H168" s="49"/>
      <x:c r="I168" s="52"/>
      <x:c r="J168" s="49"/>
      <x:c r="K168" s="55"/>
      <x:c r="L168" s="55"/>
      <x:c r="M168" s="55"/>
      <x:c r="N168" s="55"/>
      <x:c r="O168" s="55"/>
      <x:c r="P168" s="64"/>
      <x:c r="Q168" s="28"/>
      <x:c r="R168" s="28"/>
      <x:c r="S168" s="52"/>
      <x:c r="T168" s="28"/>
      <x:c r="U168" s="49"/>
      <x:c r="V168" s="28"/>
      <x:c r="W168" s="55"/>
    </x:row>
    <x:row r="169">
      <x:c r="A169" s="61"/>
      <x:c r="C169" s="49"/>
      <x:c r="D169" s="49"/>
      <x:c r="E169" s="49"/>
      <x:c r="F169" s="49"/>
      <x:c r="G169" s="49"/>
      <x:c r="H169" s="49"/>
      <x:c r="I169" s="52"/>
      <x:c r="J169" s="49"/>
      <x:c r="K169" s="55"/>
      <x:c r="L169" s="55"/>
      <x:c r="M169" s="55"/>
      <x:c r="N169" s="55"/>
      <x:c r="O169" s="55"/>
      <x:c r="P169" s="64"/>
      <x:c r="Q169" s="28"/>
      <x:c r="R169" s="28"/>
      <x:c r="S169" s="52"/>
      <x:c r="T169" s="28"/>
      <x:c r="U169" s="49"/>
      <x:c r="V169" s="28"/>
      <x:c r="W169" s="55"/>
    </x:row>
    <x:row r="170">
      <x:c r="A170" s="61"/>
      <x:c r="C170" s="49"/>
      <x:c r="D170" s="49"/>
      <x:c r="E170" s="49"/>
      <x:c r="F170" s="49"/>
      <x:c r="G170" s="49"/>
      <x:c r="H170" s="49"/>
      <x:c r="I170" s="52"/>
      <x:c r="J170" s="49"/>
      <x:c r="K170" s="55"/>
      <x:c r="L170" s="55"/>
      <x:c r="M170" s="55"/>
      <x:c r="N170" s="55"/>
      <x:c r="O170" s="55"/>
      <x:c r="P170" s="64"/>
      <x:c r="Q170" s="28"/>
      <x:c r="R170" s="28"/>
      <x:c r="S170" s="52"/>
      <x:c r="T170" s="28"/>
      <x:c r="U170" s="49"/>
      <x:c r="V170" s="28"/>
      <x:c r="W170" s="55"/>
    </x:row>
    <x:row r="171">
      <x:c r="A171" s="61"/>
      <x:c r="C171" s="49"/>
      <x:c r="D171" s="49"/>
      <x:c r="E171" s="49"/>
      <x:c r="F171" s="49"/>
      <x:c r="G171" s="49"/>
      <x:c r="H171" s="49"/>
      <x:c r="I171" s="52"/>
      <x:c r="J171" s="49"/>
      <x:c r="K171" s="55"/>
      <x:c r="L171" s="55"/>
      <x:c r="M171" s="55"/>
      <x:c r="N171" s="55"/>
      <x:c r="O171" s="55"/>
      <x:c r="P171" s="64"/>
      <x:c r="Q171" s="28"/>
      <x:c r="R171" s="28"/>
      <x:c r="S171" s="52"/>
      <x:c r="T171" s="28"/>
      <x:c r="U171" s="49"/>
      <x:c r="V171" s="28"/>
      <x:c r="W171" s="55"/>
    </x:row>
    <x:row r="172">
      <x:c r="A172" s="61"/>
      <x:c r="C172" s="49"/>
      <x:c r="D172" s="49"/>
      <x:c r="E172" s="49"/>
      <x:c r="F172" s="49"/>
      <x:c r="G172" s="49"/>
      <x:c r="H172" s="49"/>
      <x:c r="I172" s="52"/>
      <x:c r="J172" s="49"/>
      <x:c r="K172" s="55"/>
      <x:c r="L172" s="55"/>
      <x:c r="M172" s="55"/>
      <x:c r="N172" s="55"/>
      <x:c r="O172" s="55"/>
      <x:c r="P172" s="64"/>
      <x:c r="Q172" s="28"/>
      <x:c r="R172" s="28"/>
      <x:c r="S172" s="52"/>
      <x:c r="T172" s="28"/>
      <x:c r="U172" s="49"/>
      <x:c r="V172" s="28"/>
      <x:c r="W172" s="55"/>
    </x:row>
    <x:row r="173">
      <x:c r="A173" s="61"/>
      <x:c r="C173" s="49"/>
      <x:c r="D173" s="49"/>
      <x:c r="E173" s="49"/>
      <x:c r="F173" s="49"/>
      <x:c r="G173" s="49"/>
      <x:c r="H173" s="49"/>
      <x:c r="I173" s="52"/>
      <x:c r="J173" s="49"/>
      <x:c r="K173" s="55"/>
      <x:c r="L173" s="55"/>
      <x:c r="M173" s="55"/>
      <x:c r="N173" s="55"/>
      <x:c r="O173" s="55"/>
      <x:c r="P173" s="64"/>
      <x:c r="Q173" s="28"/>
      <x:c r="R173" s="28"/>
      <x:c r="S173" s="52"/>
      <x:c r="T173" s="28"/>
      <x:c r="U173" s="49"/>
      <x:c r="V173" s="28"/>
      <x:c r="W173" s="55"/>
    </x:row>
    <x:row r="174">
      <x:c r="A174" s="61"/>
      <x:c r="C174" s="49"/>
      <x:c r="D174" s="49"/>
      <x:c r="E174" s="49"/>
      <x:c r="F174" s="49"/>
      <x:c r="G174" s="49"/>
      <x:c r="H174" s="49"/>
      <x:c r="I174" s="52"/>
      <x:c r="J174" s="49"/>
      <x:c r="K174" s="55"/>
      <x:c r="L174" s="55"/>
      <x:c r="M174" s="55"/>
      <x:c r="N174" s="55"/>
      <x:c r="O174" s="55"/>
      <x:c r="P174" s="64"/>
      <x:c r="Q174" s="28"/>
      <x:c r="R174" s="28"/>
      <x:c r="S174" s="52"/>
      <x:c r="T174" s="28"/>
      <x:c r="U174" s="49"/>
      <x:c r="V174" s="28"/>
      <x:c r="W174" s="55"/>
    </x:row>
    <x:row r="175">
      <x:c r="A175" s="61"/>
      <x:c r="C175" s="49"/>
      <x:c r="D175" s="49"/>
      <x:c r="E175" s="49"/>
      <x:c r="F175" s="49"/>
      <x:c r="G175" s="49"/>
      <x:c r="H175" s="49"/>
      <x:c r="I175" s="52"/>
      <x:c r="J175" s="49"/>
      <x:c r="K175" s="55"/>
      <x:c r="L175" s="55"/>
      <x:c r="M175" s="55"/>
      <x:c r="N175" s="55"/>
      <x:c r="O175" s="55"/>
      <x:c r="P175" s="64"/>
      <x:c r="Q175" s="28"/>
      <x:c r="R175" s="28"/>
      <x:c r="S175" s="52"/>
      <x:c r="T175" s="28"/>
      <x:c r="U175" s="49"/>
      <x:c r="V175" s="28"/>
      <x:c r="W175" s="55"/>
    </x:row>
    <x:row r="176">
      <x:c r="A176" s="61"/>
      <x:c r="C176" s="49"/>
      <x:c r="D176" s="49"/>
      <x:c r="E176" s="49"/>
      <x:c r="F176" s="49"/>
      <x:c r="G176" s="49"/>
      <x:c r="H176" s="49"/>
      <x:c r="I176" s="52"/>
      <x:c r="J176" s="49"/>
      <x:c r="K176" s="55"/>
      <x:c r="L176" s="55"/>
      <x:c r="M176" s="55"/>
      <x:c r="N176" s="55"/>
      <x:c r="O176" s="55"/>
      <x:c r="P176" s="64"/>
      <x:c r="Q176" s="28"/>
      <x:c r="R176" s="28"/>
      <x:c r="S176" s="52"/>
      <x:c r="T176" s="28"/>
      <x:c r="U176" s="49"/>
      <x:c r="V176" s="28"/>
      <x:c r="W176" s="55"/>
    </x:row>
    <x:row r="177">
      <x:c r="A177" s="61"/>
      <x:c r="C177" s="49"/>
      <x:c r="D177" s="49"/>
      <x:c r="E177" s="49"/>
      <x:c r="F177" s="49"/>
      <x:c r="G177" s="49"/>
      <x:c r="H177" s="49"/>
      <x:c r="I177" s="52"/>
      <x:c r="J177" s="49"/>
      <x:c r="K177" s="55"/>
      <x:c r="L177" s="55"/>
      <x:c r="M177" s="55"/>
      <x:c r="N177" s="55"/>
      <x:c r="O177" s="55"/>
      <x:c r="P177" s="64"/>
      <x:c r="Q177" s="28"/>
      <x:c r="R177" s="28"/>
      <x:c r="S177" s="52"/>
      <x:c r="T177" s="28"/>
      <x:c r="U177" s="49"/>
      <x:c r="V177" s="28"/>
      <x:c r="W177" s="55"/>
    </x:row>
    <x:row r="178">
      <x:c r="A178" s="61"/>
      <x:c r="C178" s="49"/>
      <x:c r="D178" s="49"/>
      <x:c r="E178" s="49"/>
      <x:c r="F178" s="49"/>
      <x:c r="G178" s="49"/>
      <x:c r="H178" s="49"/>
      <x:c r="I178" s="52"/>
      <x:c r="J178" s="49"/>
      <x:c r="K178" s="55"/>
      <x:c r="L178" s="55"/>
      <x:c r="M178" s="55"/>
      <x:c r="N178" s="55"/>
      <x:c r="O178" s="55"/>
      <x:c r="P178" s="64"/>
      <x:c r="Q178" s="28"/>
      <x:c r="R178" s="28"/>
      <x:c r="S178" s="52"/>
      <x:c r="T178" s="28"/>
      <x:c r="U178" s="49"/>
      <x:c r="V178" s="28"/>
      <x:c r="W178" s="55"/>
    </x:row>
    <x:row r="179">
      <x:c r="A179" s="61"/>
      <x:c r="C179" s="49"/>
      <x:c r="D179" s="49"/>
      <x:c r="E179" s="49"/>
      <x:c r="F179" s="49"/>
      <x:c r="G179" s="49"/>
      <x:c r="H179" s="49"/>
      <x:c r="I179" s="52"/>
      <x:c r="J179" s="49"/>
      <x:c r="K179" s="55"/>
      <x:c r="L179" s="55"/>
      <x:c r="M179" s="55"/>
      <x:c r="N179" s="55"/>
      <x:c r="O179" s="55"/>
      <x:c r="P179" s="64"/>
      <x:c r="Q179" s="28"/>
      <x:c r="R179" s="28"/>
      <x:c r="S179" s="52"/>
      <x:c r="T179" s="28"/>
      <x:c r="U179" s="49"/>
      <x:c r="V179" s="28"/>
      <x:c r="W179" s="55"/>
    </x:row>
    <x:row r="180">
      <x:c r="A180" s="61"/>
      <x:c r="C180" s="49"/>
      <x:c r="D180" s="49"/>
      <x:c r="E180" s="49"/>
      <x:c r="F180" s="49"/>
      <x:c r="G180" s="49"/>
      <x:c r="H180" s="49"/>
      <x:c r="I180" s="52"/>
      <x:c r="J180" s="49"/>
      <x:c r="K180" s="55"/>
      <x:c r="L180" s="55"/>
      <x:c r="M180" s="55"/>
      <x:c r="N180" s="55"/>
      <x:c r="O180" s="55"/>
      <x:c r="P180" s="64"/>
      <x:c r="Q180" s="28"/>
      <x:c r="R180" s="28"/>
      <x:c r="S180" s="52"/>
      <x:c r="T180" s="28"/>
      <x:c r="U180" s="49"/>
      <x:c r="V180" s="28"/>
      <x:c r="W180" s="55"/>
    </x:row>
    <x:row r="181">
      <x:c r="A181" s="61"/>
      <x:c r="C181" s="49"/>
      <x:c r="D181" s="49"/>
      <x:c r="E181" s="49"/>
      <x:c r="F181" s="49"/>
      <x:c r="G181" s="49"/>
      <x:c r="H181" s="49"/>
      <x:c r="I181" s="52"/>
      <x:c r="J181" s="49"/>
      <x:c r="K181" s="55"/>
      <x:c r="L181" s="55"/>
      <x:c r="M181" s="55"/>
      <x:c r="N181" s="55"/>
      <x:c r="O181" s="55"/>
      <x:c r="P181" s="64"/>
      <x:c r="Q181" s="28"/>
      <x:c r="R181" s="28"/>
      <x:c r="S181" s="52"/>
      <x:c r="T181" s="28"/>
      <x:c r="U181" s="49"/>
      <x:c r="V181" s="28"/>
      <x:c r="W181" s="55"/>
    </x:row>
    <x:row r="182">
      <x:c r="A182" s="61"/>
      <x:c r="C182" s="49"/>
      <x:c r="D182" s="49"/>
      <x:c r="E182" s="49"/>
      <x:c r="F182" s="49"/>
      <x:c r="G182" s="49"/>
      <x:c r="H182" s="49"/>
      <x:c r="I182" s="52"/>
      <x:c r="J182" s="49"/>
      <x:c r="K182" s="55"/>
      <x:c r="L182" s="55"/>
      <x:c r="M182" s="55"/>
      <x:c r="N182" s="55"/>
      <x:c r="O182" s="55"/>
      <x:c r="P182" s="64"/>
      <x:c r="Q182" s="28"/>
      <x:c r="R182" s="28"/>
      <x:c r="S182" s="52"/>
      <x:c r="T182" s="28"/>
      <x:c r="U182" s="49"/>
      <x:c r="V182" s="28"/>
      <x:c r="W182" s="55"/>
    </x:row>
    <x:row r="183">
      <x:c r="A183" s="61"/>
      <x:c r="C183" s="49"/>
      <x:c r="D183" s="49"/>
      <x:c r="E183" s="49"/>
      <x:c r="F183" s="49"/>
      <x:c r="G183" s="49"/>
      <x:c r="H183" s="49"/>
      <x:c r="I183" s="52"/>
      <x:c r="J183" s="49"/>
      <x:c r="K183" s="55"/>
      <x:c r="L183" s="55"/>
      <x:c r="M183" s="55"/>
      <x:c r="N183" s="55"/>
      <x:c r="O183" s="55"/>
      <x:c r="P183" s="64"/>
      <x:c r="Q183" s="28"/>
      <x:c r="R183" s="28"/>
      <x:c r="S183" s="52"/>
      <x:c r="T183" s="28"/>
      <x:c r="U183" s="49"/>
      <x:c r="V183" s="28"/>
      <x:c r="W183" s="55"/>
    </x:row>
    <x:row r="184">
      <x:c r="A184" s="61"/>
      <x:c r="C184" s="49"/>
      <x:c r="D184" s="49"/>
      <x:c r="E184" s="49"/>
      <x:c r="F184" s="49"/>
      <x:c r="G184" s="49"/>
      <x:c r="H184" s="49"/>
      <x:c r="I184" s="52"/>
      <x:c r="J184" s="49"/>
      <x:c r="K184" s="55"/>
      <x:c r="L184" s="55"/>
      <x:c r="M184" s="55"/>
      <x:c r="N184" s="55"/>
      <x:c r="O184" s="55"/>
      <x:c r="P184" s="64"/>
      <x:c r="Q184" s="28"/>
      <x:c r="R184" s="28"/>
      <x:c r="S184" s="52"/>
      <x:c r="T184" s="28"/>
      <x:c r="U184" s="49"/>
      <x:c r="V184" s="28"/>
      <x:c r="W184" s="55"/>
    </x:row>
    <x:row r="185">
      <x:c r="A185" s="61"/>
      <x:c r="C185" s="49"/>
      <x:c r="D185" s="49"/>
      <x:c r="E185" s="49"/>
      <x:c r="F185" s="49"/>
      <x:c r="G185" s="49"/>
      <x:c r="H185" s="49"/>
      <x:c r="I185" s="52"/>
      <x:c r="J185" s="49"/>
      <x:c r="K185" s="55"/>
      <x:c r="L185" s="55"/>
      <x:c r="M185" s="55"/>
      <x:c r="N185" s="55"/>
      <x:c r="O185" s="55"/>
      <x:c r="P185" s="64"/>
      <x:c r="Q185" s="28"/>
      <x:c r="R185" s="28"/>
      <x:c r="S185" s="52"/>
      <x:c r="T185" s="28"/>
      <x:c r="U185" s="49"/>
      <x:c r="V185" s="28"/>
      <x:c r="W185" s="55"/>
    </x:row>
    <x:row r="186">
      <x:c r="A186" s="61"/>
      <x:c r="C186" s="49"/>
      <x:c r="D186" s="49"/>
      <x:c r="E186" s="49"/>
      <x:c r="F186" s="49"/>
      <x:c r="G186" s="49"/>
      <x:c r="H186" s="49"/>
      <x:c r="I186" s="52"/>
      <x:c r="J186" s="49"/>
      <x:c r="K186" s="55"/>
      <x:c r="L186" s="55"/>
      <x:c r="M186" s="55"/>
      <x:c r="N186" s="55"/>
      <x:c r="O186" s="55"/>
      <x:c r="P186" s="64"/>
      <x:c r="Q186" s="28"/>
      <x:c r="R186" s="28"/>
      <x:c r="S186" s="52"/>
      <x:c r="T186" s="28"/>
      <x:c r="U186" s="49"/>
      <x:c r="V186" s="28"/>
      <x:c r="W186" s="55"/>
    </x:row>
    <x:row r="187">
      <x:c r="A187" s="61"/>
      <x:c r="C187" s="49"/>
      <x:c r="D187" s="49"/>
      <x:c r="E187" s="49"/>
      <x:c r="F187" s="49"/>
      <x:c r="G187" s="49"/>
      <x:c r="H187" s="49"/>
      <x:c r="I187" s="52"/>
      <x:c r="J187" s="49"/>
      <x:c r="K187" s="55"/>
      <x:c r="L187" s="55"/>
      <x:c r="M187" s="55"/>
      <x:c r="N187" s="55"/>
      <x:c r="O187" s="55"/>
      <x:c r="P187" s="64"/>
      <x:c r="Q187" s="28"/>
      <x:c r="R187" s="28"/>
      <x:c r="S187" s="52"/>
      <x:c r="T187" s="28"/>
      <x:c r="U187" s="49"/>
      <x:c r="V187" s="28"/>
      <x:c r="W187" s="55"/>
    </x:row>
    <x:row r="188">
      <x:c r="A188" s="61"/>
      <x:c r="C188" s="49"/>
      <x:c r="D188" s="49"/>
      <x:c r="E188" s="49"/>
      <x:c r="F188" s="49"/>
      <x:c r="G188" s="49"/>
      <x:c r="H188" s="49"/>
      <x:c r="I188" s="52"/>
      <x:c r="J188" s="49"/>
      <x:c r="K188" s="55"/>
      <x:c r="L188" s="55"/>
      <x:c r="M188" s="55"/>
      <x:c r="N188" s="55"/>
      <x:c r="O188" s="55"/>
      <x:c r="P188" s="64"/>
      <x:c r="Q188" s="28"/>
      <x:c r="R188" s="28"/>
      <x:c r="S188" s="52"/>
      <x:c r="T188" s="28"/>
      <x:c r="U188" s="49"/>
      <x:c r="V188" s="28"/>
      <x:c r="W188" s="55"/>
    </x:row>
    <x:row r="189">
      <x:c r="A189" s="61"/>
      <x:c r="C189" s="49"/>
      <x:c r="D189" s="49"/>
      <x:c r="E189" s="49"/>
      <x:c r="F189" s="49"/>
      <x:c r="G189" s="49"/>
      <x:c r="H189" s="49"/>
      <x:c r="I189" s="52"/>
      <x:c r="J189" s="49"/>
      <x:c r="K189" s="55"/>
      <x:c r="L189" s="55"/>
      <x:c r="M189" s="55"/>
      <x:c r="N189" s="55"/>
      <x:c r="O189" s="55"/>
      <x:c r="P189" s="64"/>
      <x:c r="Q189" s="28"/>
      <x:c r="R189" s="28"/>
      <x:c r="S189" s="52"/>
      <x:c r="T189" s="28"/>
      <x:c r="U189" s="49"/>
      <x:c r="V189" s="28"/>
      <x:c r="W189" s="55"/>
    </x:row>
    <x:row r="190">
      <x:c r="A190" s="61"/>
      <x:c r="C190" s="49"/>
      <x:c r="D190" s="49"/>
      <x:c r="E190" s="49"/>
      <x:c r="F190" s="49"/>
      <x:c r="G190" s="49"/>
      <x:c r="H190" s="49"/>
      <x:c r="I190" s="52"/>
      <x:c r="J190" s="49"/>
      <x:c r="K190" s="55"/>
      <x:c r="L190" s="55"/>
      <x:c r="M190" s="55"/>
      <x:c r="N190" s="55"/>
      <x:c r="O190" s="55"/>
      <x:c r="P190" s="64"/>
      <x:c r="Q190" s="28"/>
      <x:c r="R190" s="28"/>
      <x:c r="S190" s="52"/>
      <x:c r="T190" s="28"/>
      <x:c r="U190" s="49"/>
      <x:c r="V190" s="28"/>
      <x:c r="W190" s="55"/>
    </x:row>
    <x:row r="191">
      <x:c r="A191" s="61"/>
      <x:c r="C191" s="49"/>
      <x:c r="D191" s="49"/>
      <x:c r="E191" s="49"/>
      <x:c r="F191" s="49"/>
      <x:c r="G191" s="49"/>
      <x:c r="H191" s="49"/>
      <x:c r="I191" s="52"/>
      <x:c r="J191" s="49"/>
      <x:c r="K191" s="55"/>
      <x:c r="L191" s="55"/>
      <x:c r="M191" s="55"/>
      <x:c r="N191" s="55"/>
      <x:c r="O191" s="55"/>
      <x:c r="P191" s="64"/>
      <x:c r="Q191" s="28"/>
      <x:c r="R191" s="28"/>
      <x:c r="S191" s="52"/>
      <x:c r="T191" s="28"/>
      <x:c r="U191" s="49"/>
      <x:c r="V191" s="28"/>
      <x:c r="W191" s="55"/>
    </x:row>
    <x:row r="192">
      <x:c r="A192" s="61"/>
      <x:c r="C192" s="49"/>
      <x:c r="D192" s="49"/>
      <x:c r="E192" s="49"/>
      <x:c r="F192" s="49"/>
      <x:c r="G192" s="49"/>
      <x:c r="H192" s="49"/>
      <x:c r="I192" s="52"/>
      <x:c r="J192" s="49"/>
      <x:c r="K192" s="55"/>
      <x:c r="L192" s="55"/>
      <x:c r="M192" s="55"/>
      <x:c r="N192" s="55"/>
      <x:c r="O192" s="55"/>
      <x:c r="P192" s="64"/>
      <x:c r="Q192" s="28"/>
      <x:c r="R192" s="28"/>
      <x:c r="S192" s="52"/>
      <x:c r="T192" s="28"/>
      <x:c r="U192" s="49"/>
      <x:c r="V192" s="28"/>
      <x:c r="W192" s="55"/>
    </x:row>
    <x:row r="193">
      <x:c r="A193" s="61"/>
      <x:c r="C193" s="49"/>
      <x:c r="D193" s="49"/>
      <x:c r="E193" s="49"/>
      <x:c r="F193" s="49"/>
      <x:c r="G193" s="49"/>
      <x:c r="H193" s="49"/>
      <x:c r="I193" s="52"/>
      <x:c r="J193" s="49"/>
      <x:c r="K193" s="55"/>
      <x:c r="L193" s="55"/>
      <x:c r="M193" s="55"/>
      <x:c r="N193" s="55"/>
      <x:c r="O193" s="55"/>
      <x:c r="P193" s="64"/>
      <x:c r="Q193" s="28"/>
      <x:c r="R193" s="28"/>
      <x:c r="S193" s="52"/>
      <x:c r="T193" s="28"/>
      <x:c r="U193" s="49"/>
      <x:c r="V193" s="28"/>
      <x:c r="W193" s="55"/>
    </x:row>
    <x:row r="194">
      <x:c r="A194" s="61"/>
      <x:c r="C194" s="49"/>
      <x:c r="D194" s="49"/>
      <x:c r="E194" s="49"/>
      <x:c r="F194" s="49"/>
      <x:c r="G194" s="49"/>
      <x:c r="H194" s="49"/>
      <x:c r="I194" s="52"/>
      <x:c r="J194" s="49"/>
      <x:c r="K194" s="55"/>
      <x:c r="L194" s="55"/>
      <x:c r="M194" s="55"/>
      <x:c r="N194" s="55"/>
      <x:c r="O194" s="55"/>
      <x:c r="P194" s="64"/>
      <x:c r="Q194" s="28"/>
      <x:c r="R194" s="28"/>
      <x:c r="S194" s="52"/>
      <x:c r="T194" s="28"/>
      <x:c r="U194" s="49"/>
      <x:c r="V194" s="28"/>
      <x:c r="W194" s="55"/>
    </x:row>
    <x:row r="195">
      <x:c r="A195" s="61"/>
      <x:c r="C195" s="49"/>
      <x:c r="D195" s="49"/>
      <x:c r="E195" s="49"/>
      <x:c r="F195" s="49"/>
      <x:c r="G195" s="49"/>
      <x:c r="H195" s="49"/>
      <x:c r="I195" s="52"/>
      <x:c r="J195" s="49"/>
      <x:c r="K195" s="55"/>
      <x:c r="L195" s="55"/>
      <x:c r="M195" s="55"/>
      <x:c r="N195" s="55"/>
      <x:c r="O195" s="55"/>
      <x:c r="P195" s="64"/>
      <x:c r="Q195" s="28"/>
      <x:c r="R195" s="28"/>
      <x:c r="S195" s="52"/>
      <x:c r="T195" s="28"/>
      <x:c r="U195" s="49"/>
      <x:c r="V195" s="28"/>
      <x:c r="W195" s="55"/>
    </x:row>
    <x:row r="196">
      <x:c r="A196" s="61"/>
      <x:c r="C196" s="49"/>
      <x:c r="D196" s="49"/>
      <x:c r="E196" s="49"/>
      <x:c r="F196" s="49"/>
      <x:c r="G196" s="49"/>
      <x:c r="H196" s="49"/>
      <x:c r="I196" s="52"/>
      <x:c r="J196" s="49"/>
      <x:c r="K196" s="55"/>
      <x:c r="L196" s="55"/>
      <x:c r="M196" s="55"/>
      <x:c r="N196" s="55"/>
      <x:c r="O196" s="55"/>
      <x:c r="P196" s="64"/>
      <x:c r="Q196" s="28"/>
      <x:c r="R196" s="28"/>
      <x:c r="S196" s="52"/>
      <x:c r="T196" s="28"/>
      <x:c r="U196" s="49"/>
      <x:c r="V196" s="28"/>
      <x:c r="W196" s="55"/>
    </x:row>
    <x:row r="197">
      <x:c r="A197" s="61"/>
      <x:c r="C197" s="49"/>
      <x:c r="D197" s="49"/>
      <x:c r="E197" s="49"/>
      <x:c r="F197" s="49"/>
      <x:c r="G197" s="49"/>
      <x:c r="H197" s="49"/>
      <x:c r="I197" s="52"/>
      <x:c r="J197" s="49"/>
      <x:c r="K197" s="55"/>
      <x:c r="L197" s="55"/>
      <x:c r="M197" s="55"/>
      <x:c r="N197" s="55"/>
      <x:c r="O197" s="55"/>
      <x:c r="P197" s="64"/>
      <x:c r="Q197" s="28"/>
      <x:c r="R197" s="28"/>
      <x:c r="S197" s="52"/>
      <x:c r="T197" s="28"/>
      <x:c r="U197" s="49"/>
      <x:c r="V197" s="28"/>
      <x:c r="W197" s="55"/>
    </x:row>
    <x:row r="198">
      <x:c r="A198" s="61"/>
      <x:c r="C198" s="49"/>
      <x:c r="D198" s="49"/>
      <x:c r="E198" s="49"/>
      <x:c r="F198" s="49"/>
      <x:c r="G198" s="49"/>
      <x:c r="H198" s="49"/>
      <x:c r="I198" s="52"/>
      <x:c r="J198" s="49"/>
      <x:c r="K198" s="55"/>
      <x:c r="L198" s="55"/>
      <x:c r="M198" s="55"/>
      <x:c r="N198" s="55"/>
      <x:c r="O198" s="55"/>
      <x:c r="P198" s="64"/>
      <x:c r="Q198" s="28"/>
      <x:c r="R198" s="28"/>
      <x:c r="S198" s="52"/>
      <x:c r="T198" s="28"/>
      <x:c r="U198" s="49"/>
      <x:c r="V198" s="28"/>
      <x:c r="W198" s="55"/>
    </x:row>
    <x:row r="199">
      <x:c r="A199" s="61"/>
      <x:c r="C199" s="49"/>
      <x:c r="D199" s="49"/>
      <x:c r="E199" s="49"/>
      <x:c r="F199" s="49"/>
      <x:c r="G199" s="49"/>
      <x:c r="H199" s="49"/>
      <x:c r="I199" s="52"/>
      <x:c r="J199" s="49"/>
      <x:c r="K199" s="55"/>
      <x:c r="L199" s="55"/>
      <x:c r="M199" s="55"/>
      <x:c r="N199" s="55"/>
      <x:c r="O199" s="55"/>
      <x:c r="P199" s="64"/>
      <x:c r="Q199" s="28"/>
      <x:c r="R199" s="28"/>
      <x:c r="S199" s="52"/>
      <x:c r="T199" s="28"/>
      <x:c r="U199" s="49"/>
      <x:c r="V199" s="28"/>
      <x:c r="W199" s="55"/>
    </x:row>
    <x:row r="200">
      <x:c r="A200" s="61"/>
      <x:c r="C200" s="49"/>
      <x:c r="D200" s="49"/>
      <x:c r="E200" s="49"/>
      <x:c r="F200" s="49"/>
      <x:c r="G200" s="49"/>
      <x:c r="H200" s="49"/>
      <x:c r="I200" s="52"/>
      <x:c r="J200" s="49"/>
      <x:c r="K200" s="55"/>
      <x:c r="L200" s="55"/>
      <x:c r="M200" s="55"/>
      <x:c r="N200" s="55"/>
      <x:c r="O200" s="55"/>
      <x:c r="P200" s="64"/>
      <x:c r="Q200" s="28"/>
      <x:c r="R200" s="28"/>
      <x:c r="S200" s="52"/>
      <x:c r="T200" s="28"/>
      <x:c r="U200" s="49"/>
      <x:c r="V200" s="28"/>
      <x:c r="W200" s="55"/>
    </x:row>
  </x:sheetData>
  <x:pageMargins left="0.7" right="0.7" top="0.75" bottom="0.75" header="0.3" footer="0.3"/>
  <x:tableParts count="1">
    <x:tablePart xmlns:r="http://schemas.openxmlformats.org/officeDocument/2006/relationships" r:id="Rb021df3dc44e444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9" hidden="0" customWidth="1"/>
  </x:cols>
  <x:sheetData>
    <x:row r="1" ht="31" customHeight="1">
      <x:c r="A1" s="31" t="str">
        <x:v>County-year coverage</x:v>
      </x:c>
      <x:c r="B1" s="30"/>
      <x:c r="C1" s="30"/>
      <x:c r="D1" s="30"/>
      <x:c r="E1" s="30"/>
      <x:c r="F1" s="30"/>
      <x:c r="G1" s="30"/>
      <x:c r="H1" s="30"/>
      <x:c r="I1" s="30"/>
    </x:row>
    <x:row r="2" ht="21" customHeight="1">
      <x:c r="A2" s="32" t="str">
        <x:v>Each expected county-year must occur exactly once. Zero means missing; more than one means duplicate.</x:v>
      </x:c>
      <x:c r="B2" s="30"/>
      <x:c r="C2" s="30"/>
      <x:c r="D2" s="30"/>
      <x:c r="E2" s="30"/>
      <x:c r="F2" s="30"/>
      <x:c r="G2" s="30"/>
      <x:c r="H2" s="30"/>
      <x:c r="I2" s="30"/>
    </x:row>
    <x:row r="3" ht="21" customHeight="1">
      <x:c r="A3" s="33"/>
      <x:c r="B3" s="33"/>
      <x:c r="C3" s="33"/>
      <x:c r="D3" s="33"/>
      <x:c r="E3" s="33"/>
      <x:c r="F3" s="33"/>
      <x:c r="G3" s="33"/>
      <x:c r="H3" s="33"/>
      <x:c r="I3" s="33"/>
    </x:row>
    <x:row r="4" ht="21" customHeight="1">
      <x:c r="A4" s="30"/>
      <x:c r="B4" s="30"/>
      <x:c r="C4" s="30"/>
      <x:c r="D4" s="30"/>
      <x:c r="E4" s="30"/>
      <x:c r="F4" s="30"/>
      <x:c r="G4" s="30"/>
      <x:c r="H4" s="30"/>
      <x:c r="I4" s="30"/>
    </x:row>
    <x:row r="5" ht="37" customHeight="1">
      <x:c r="A5" s="42" t="str">
        <x:v>County FIPS</x:v>
      </x:c>
      <x:c r="B5" s="43" t="str">
        <x:v>County</x:v>
      </x:c>
      <x:c r="C5" s="43" t="n">
        <x:v>2020</x:v>
      </x:c>
      <x:c r="D5" s="43" t="n">
        <x:v>2021</x:v>
      </x:c>
      <x:c r="E5" s="43" t="n">
        <x:v>2022</x:v>
      </x:c>
      <x:c r="F5" s="43" t="n">
        <x:v>2023</x:v>
      </x:c>
      <x:c r="G5" s="43" t="n">
        <x:v>2024</x:v>
      </x:c>
      <x:c r="H5" s="43" t="n">
        <x:v>2025</x:v>
      </x:c>
      <x:c r="I5" s="44" t="str">
        <x:v>Years present once</x:v>
      </x:c>
    </x:row>
    <x:row r="6" ht="21" customHeight="1">
      <x:c r="A6" s="66" t="str">
        <x:v>49001</x:v>
      </x:c>
      <x:c r="B6" s="65" t="str">
        <x:v>Beaver County</x:v>
      </x:c>
      <x:c r="C6" s="68" t="n">
        <x:f>COUNTIFS('County annual'!$C$6:$C$179,$A6,'County annual'!$A$6:$A$179,C$5)</x:f>
        <x:v>1</x:v>
      </x:c>
      <x:c r="D6" s="68" t="n">
        <x:f>COUNTIFS('County annual'!$C$6:$C$179,$A6,'County annual'!$A$6:$A$179,D$5)</x:f>
        <x:v>1</x:v>
      </x:c>
      <x:c r="E6" s="68" t="n">
        <x:f>COUNTIFS('County annual'!$C$6:$C$179,$A6,'County annual'!$A$6:$A$179,E$5)</x:f>
        <x:v>1</x:v>
      </x:c>
      <x:c r="F6" s="68" t="n">
        <x:f>COUNTIFS('County annual'!$C$6:$C$179,$A6,'County annual'!$A$6:$A$179,F$5)</x:f>
        <x:v>1</x:v>
      </x:c>
      <x:c r="G6" s="68" t="n">
        <x:f>COUNTIFS('County annual'!$C$6:$C$179,$A6,'County annual'!$A$6:$A$179,G$5)</x:f>
        <x:v>1</x:v>
      </x:c>
      <x:c r="H6" s="68" t="n">
        <x:f>COUNTIFS('County annual'!$C$6:$C$179,$A6,'County annual'!$A$6:$A$179,H$5)</x:f>
        <x:v>1</x:v>
      </x:c>
      <x:c r="I6" s="68" t="n">
        <x:f>COUNTIFS(C6:H6,1)</x:f>
        <x:v>6</x:v>
      </x:c>
    </x:row>
    <x:row r="7" ht="21" customHeight="1">
      <x:c r="A7" s="58" t="str">
        <x:v>49003</x:v>
      </x:c>
      <x:c r="B7" s="30" t="str">
        <x:v>Box Elder County</x:v>
      </x:c>
      <x:c r="C7" s="69" t="n">
        <x:f>COUNTIFS('County annual'!$C$6:$C$179,$A7,'County annual'!$A$6:$A$179,C$5)</x:f>
        <x:v>1</x:v>
      </x:c>
      <x:c r="D7" s="69" t="n">
        <x:f>COUNTIFS('County annual'!$C$6:$C$179,$A7,'County annual'!$A$6:$A$179,D$5)</x:f>
        <x:v>1</x:v>
      </x:c>
      <x:c r="E7" s="69" t="n">
        <x:f>COUNTIFS('County annual'!$C$6:$C$179,$A7,'County annual'!$A$6:$A$179,E$5)</x:f>
        <x:v>1</x:v>
      </x:c>
      <x:c r="F7" s="69" t="n">
        <x:f>COUNTIFS('County annual'!$C$6:$C$179,$A7,'County annual'!$A$6:$A$179,F$5)</x:f>
        <x:v>1</x:v>
      </x:c>
      <x:c r="G7" s="69" t="n">
        <x:f>COUNTIFS('County annual'!$C$6:$C$179,$A7,'County annual'!$A$6:$A$179,G$5)</x:f>
        <x:v>1</x:v>
      </x:c>
      <x:c r="H7" s="69" t="n">
        <x:f>COUNTIFS('County annual'!$C$6:$C$179,$A7,'County annual'!$A$6:$A$179,H$5)</x:f>
        <x:v>1</x:v>
      </x:c>
      <x:c r="I7" s="69" t="n">
        <x:f>COUNTIFS(C7:H7,1)</x:f>
        <x:v>6</x:v>
      </x:c>
    </x:row>
    <x:row r="8" ht="21" customHeight="1">
      <x:c r="A8" s="66" t="str">
        <x:v>49005</x:v>
      </x:c>
      <x:c r="B8" s="65" t="str">
        <x:v>Cache County</x:v>
      </x:c>
      <x:c r="C8" s="68" t="n">
        <x:f>COUNTIFS('County annual'!$C$6:$C$179,$A8,'County annual'!$A$6:$A$179,C$5)</x:f>
        <x:v>1</x:v>
      </x:c>
      <x:c r="D8" s="68" t="n">
        <x:f>COUNTIFS('County annual'!$C$6:$C$179,$A8,'County annual'!$A$6:$A$179,D$5)</x:f>
        <x:v>1</x:v>
      </x:c>
      <x:c r="E8" s="68" t="n">
        <x:f>COUNTIFS('County annual'!$C$6:$C$179,$A8,'County annual'!$A$6:$A$179,E$5)</x:f>
        <x:v>1</x:v>
      </x:c>
      <x:c r="F8" s="68" t="n">
        <x:f>COUNTIFS('County annual'!$C$6:$C$179,$A8,'County annual'!$A$6:$A$179,F$5)</x:f>
        <x:v>1</x:v>
      </x:c>
      <x:c r="G8" s="68" t="n">
        <x:f>COUNTIFS('County annual'!$C$6:$C$179,$A8,'County annual'!$A$6:$A$179,G$5)</x:f>
        <x:v>1</x:v>
      </x:c>
      <x:c r="H8" s="68" t="n">
        <x:f>COUNTIFS('County annual'!$C$6:$C$179,$A8,'County annual'!$A$6:$A$179,H$5)</x:f>
        <x:v>1</x:v>
      </x:c>
      <x:c r="I8" s="68" t="n">
        <x:f>COUNTIFS(C8:H8,1)</x:f>
        <x:v>6</x:v>
      </x:c>
    </x:row>
    <x:row r="9" ht="21" customHeight="1">
      <x:c r="A9" s="58" t="str">
        <x:v>49007</x:v>
      </x:c>
      <x:c r="B9" s="30" t="str">
        <x:v>Carbon County</x:v>
      </x:c>
      <x:c r="C9" s="69" t="n">
        <x:f>COUNTIFS('County annual'!$C$6:$C$179,$A9,'County annual'!$A$6:$A$179,C$5)</x:f>
        <x:v>1</x:v>
      </x:c>
      <x:c r="D9" s="69" t="n">
        <x:f>COUNTIFS('County annual'!$C$6:$C$179,$A9,'County annual'!$A$6:$A$179,D$5)</x:f>
        <x:v>1</x:v>
      </x:c>
      <x:c r="E9" s="69" t="n">
        <x:f>COUNTIFS('County annual'!$C$6:$C$179,$A9,'County annual'!$A$6:$A$179,E$5)</x:f>
        <x:v>1</x:v>
      </x:c>
      <x:c r="F9" s="69" t="n">
        <x:f>COUNTIFS('County annual'!$C$6:$C$179,$A9,'County annual'!$A$6:$A$179,F$5)</x:f>
        <x:v>1</x:v>
      </x:c>
      <x:c r="G9" s="69" t="n">
        <x:f>COUNTIFS('County annual'!$C$6:$C$179,$A9,'County annual'!$A$6:$A$179,G$5)</x:f>
        <x:v>1</x:v>
      </x:c>
      <x:c r="H9" s="69" t="n">
        <x:f>COUNTIFS('County annual'!$C$6:$C$179,$A9,'County annual'!$A$6:$A$179,H$5)</x:f>
        <x:v>1</x:v>
      </x:c>
      <x:c r="I9" s="69" t="n">
        <x:f>COUNTIFS(C9:H9,1)</x:f>
        <x:v>6</x:v>
      </x:c>
    </x:row>
    <x:row r="10" ht="21" customHeight="1">
      <x:c r="A10" s="66" t="str">
        <x:v>49009</x:v>
      </x:c>
      <x:c r="B10" s="65" t="str">
        <x:v>Daggett County</x:v>
      </x:c>
      <x:c r="C10" s="68" t="n">
        <x:f>COUNTIFS('County annual'!$C$6:$C$179,$A10,'County annual'!$A$6:$A$179,C$5)</x:f>
        <x:v>1</x:v>
      </x:c>
      <x:c r="D10" s="68" t="n">
        <x:f>COUNTIFS('County annual'!$C$6:$C$179,$A10,'County annual'!$A$6:$A$179,D$5)</x:f>
        <x:v>1</x:v>
      </x:c>
      <x:c r="E10" s="68" t="n">
        <x:f>COUNTIFS('County annual'!$C$6:$C$179,$A10,'County annual'!$A$6:$A$179,E$5)</x:f>
        <x:v>1</x:v>
      </x:c>
      <x:c r="F10" s="68" t="n">
        <x:f>COUNTIFS('County annual'!$C$6:$C$179,$A10,'County annual'!$A$6:$A$179,F$5)</x:f>
        <x:v>1</x:v>
      </x:c>
      <x:c r="G10" s="68" t="n">
        <x:f>COUNTIFS('County annual'!$C$6:$C$179,$A10,'County annual'!$A$6:$A$179,G$5)</x:f>
        <x:v>1</x:v>
      </x:c>
      <x:c r="H10" s="68" t="n">
        <x:f>COUNTIFS('County annual'!$C$6:$C$179,$A10,'County annual'!$A$6:$A$179,H$5)</x:f>
        <x:v>1</x:v>
      </x:c>
      <x:c r="I10" s="68" t="n">
        <x:f>COUNTIFS(C10:H10,1)</x:f>
        <x:v>6</x:v>
      </x:c>
    </x:row>
    <x:row r="11" ht="21" customHeight="1">
      <x:c r="A11" s="58" t="str">
        <x:v>49011</x:v>
      </x:c>
      <x:c r="B11" s="30" t="str">
        <x:v>Davis County</x:v>
      </x:c>
      <x:c r="C11" s="69" t="n">
        <x:f>COUNTIFS('County annual'!$C$6:$C$179,$A11,'County annual'!$A$6:$A$179,C$5)</x:f>
        <x:v>1</x:v>
      </x:c>
      <x:c r="D11" s="69" t="n">
        <x:f>COUNTIFS('County annual'!$C$6:$C$179,$A11,'County annual'!$A$6:$A$179,D$5)</x:f>
        <x:v>1</x:v>
      </x:c>
      <x:c r="E11" s="69" t="n">
        <x:f>COUNTIFS('County annual'!$C$6:$C$179,$A11,'County annual'!$A$6:$A$179,E$5)</x:f>
        <x:v>1</x:v>
      </x:c>
      <x:c r="F11" s="69" t="n">
        <x:f>COUNTIFS('County annual'!$C$6:$C$179,$A11,'County annual'!$A$6:$A$179,F$5)</x:f>
        <x:v>1</x:v>
      </x:c>
      <x:c r="G11" s="69" t="n">
        <x:f>COUNTIFS('County annual'!$C$6:$C$179,$A11,'County annual'!$A$6:$A$179,G$5)</x:f>
        <x:v>1</x:v>
      </x:c>
      <x:c r="H11" s="69" t="n">
        <x:f>COUNTIFS('County annual'!$C$6:$C$179,$A11,'County annual'!$A$6:$A$179,H$5)</x:f>
        <x:v>1</x:v>
      </x:c>
      <x:c r="I11" s="69" t="n">
        <x:f>COUNTIFS(C11:H11,1)</x:f>
        <x:v>6</x:v>
      </x:c>
    </x:row>
    <x:row r="12" ht="21" customHeight="1">
      <x:c r="A12" s="66" t="str">
        <x:v>49013</x:v>
      </x:c>
      <x:c r="B12" s="65" t="str">
        <x:v>Duchesne County</x:v>
      </x:c>
      <x:c r="C12" s="68" t="n">
        <x:f>COUNTIFS('County annual'!$C$6:$C$179,$A12,'County annual'!$A$6:$A$179,C$5)</x:f>
        <x:v>1</x:v>
      </x:c>
      <x:c r="D12" s="68" t="n">
        <x:f>COUNTIFS('County annual'!$C$6:$C$179,$A12,'County annual'!$A$6:$A$179,D$5)</x:f>
        <x:v>1</x:v>
      </x:c>
      <x:c r="E12" s="68" t="n">
        <x:f>COUNTIFS('County annual'!$C$6:$C$179,$A12,'County annual'!$A$6:$A$179,E$5)</x:f>
        <x:v>1</x:v>
      </x:c>
      <x:c r="F12" s="68" t="n">
        <x:f>COUNTIFS('County annual'!$C$6:$C$179,$A12,'County annual'!$A$6:$A$179,F$5)</x:f>
        <x:v>1</x:v>
      </x:c>
      <x:c r="G12" s="68" t="n">
        <x:f>COUNTIFS('County annual'!$C$6:$C$179,$A12,'County annual'!$A$6:$A$179,G$5)</x:f>
        <x:v>1</x:v>
      </x:c>
      <x:c r="H12" s="68" t="n">
        <x:f>COUNTIFS('County annual'!$C$6:$C$179,$A12,'County annual'!$A$6:$A$179,H$5)</x:f>
        <x:v>1</x:v>
      </x:c>
      <x:c r="I12" s="68" t="n">
        <x:f>COUNTIFS(C12:H12,1)</x:f>
        <x:v>6</x:v>
      </x:c>
    </x:row>
    <x:row r="13" ht="21" customHeight="1">
      <x:c r="A13" s="58" t="str">
        <x:v>49015</x:v>
      </x:c>
      <x:c r="B13" s="30" t="str">
        <x:v>Emery County</x:v>
      </x:c>
      <x:c r="C13" s="69" t="n">
        <x:f>COUNTIFS('County annual'!$C$6:$C$179,$A13,'County annual'!$A$6:$A$179,C$5)</x:f>
        <x:v>1</x:v>
      </x:c>
      <x:c r="D13" s="69" t="n">
        <x:f>COUNTIFS('County annual'!$C$6:$C$179,$A13,'County annual'!$A$6:$A$179,D$5)</x:f>
        <x:v>1</x:v>
      </x:c>
      <x:c r="E13" s="69" t="n">
        <x:f>COUNTIFS('County annual'!$C$6:$C$179,$A13,'County annual'!$A$6:$A$179,E$5)</x:f>
        <x:v>1</x:v>
      </x:c>
      <x:c r="F13" s="69" t="n">
        <x:f>COUNTIFS('County annual'!$C$6:$C$179,$A13,'County annual'!$A$6:$A$179,F$5)</x:f>
        <x:v>1</x:v>
      </x:c>
      <x:c r="G13" s="69" t="n">
        <x:f>COUNTIFS('County annual'!$C$6:$C$179,$A13,'County annual'!$A$6:$A$179,G$5)</x:f>
        <x:v>1</x:v>
      </x:c>
      <x:c r="H13" s="69" t="n">
        <x:f>COUNTIFS('County annual'!$C$6:$C$179,$A13,'County annual'!$A$6:$A$179,H$5)</x:f>
        <x:v>1</x:v>
      </x:c>
      <x:c r="I13" s="69" t="n">
        <x:f>COUNTIFS(C13:H13,1)</x:f>
        <x:v>6</x:v>
      </x:c>
    </x:row>
    <x:row r="14" ht="21" customHeight="1">
      <x:c r="A14" s="66" t="str">
        <x:v>49017</x:v>
      </x:c>
      <x:c r="B14" s="65" t="str">
        <x:v>Garfield County</x:v>
      </x:c>
      <x:c r="C14" s="68" t="n">
        <x:f>COUNTIFS('County annual'!$C$6:$C$179,$A14,'County annual'!$A$6:$A$179,C$5)</x:f>
        <x:v>1</x:v>
      </x:c>
      <x:c r="D14" s="68" t="n">
        <x:f>COUNTIFS('County annual'!$C$6:$C$179,$A14,'County annual'!$A$6:$A$179,D$5)</x:f>
        <x:v>1</x:v>
      </x:c>
      <x:c r="E14" s="68" t="n">
        <x:f>COUNTIFS('County annual'!$C$6:$C$179,$A14,'County annual'!$A$6:$A$179,E$5)</x:f>
        <x:v>1</x:v>
      </x:c>
      <x:c r="F14" s="68" t="n">
        <x:f>COUNTIFS('County annual'!$C$6:$C$179,$A14,'County annual'!$A$6:$A$179,F$5)</x:f>
        <x:v>1</x:v>
      </x:c>
      <x:c r="G14" s="68" t="n">
        <x:f>COUNTIFS('County annual'!$C$6:$C$179,$A14,'County annual'!$A$6:$A$179,G$5)</x:f>
        <x:v>1</x:v>
      </x:c>
      <x:c r="H14" s="68" t="n">
        <x:f>COUNTIFS('County annual'!$C$6:$C$179,$A14,'County annual'!$A$6:$A$179,H$5)</x:f>
        <x:v>1</x:v>
      </x:c>
      <x:c r="I14" s="68" t="n">
        <x:f>COUNTIFS(C14:H14,1)</x:f>
        <x:v>6</x:v>
      </x:c>
    </x:row>
    <x:row r="15" ht="21" customHeight="1">
      <x:c r="A15" s="58" t="str">
        <x:v>49019</x:v>
      </x:c>
      <x:c r="B15" s="30" t="str">
        <x:v>Grand County</x:v>
      </x:c>
      <x:c r="C15" s="69" t="n">
        <x:f>COUNTIFS('County annual'!$C$6:$C$179,$A15,'County annual'!$A$6:$A$179,C$5)</x:f>
        <x:v>1</x:v>
      </x:c>
      <x:c r="D15" s="69" t="n">
        <x:f>COUNTIFS('County annual'!$C$6:$C$179,$A15,'County annual'!$A$6:$A$179,D$5)</x:f>
        <x:v>1</x:v>
      </x:c>
      <x:c r="E15" s="69" t="n">
        <x:f>COUNTIFS('County annual'!$C$6:$C$179,$A15,'County annual'!$A$6:$A$179,E$5)</x:f>
        <x:v>1</x:v>
      </x:c>
      <x:c r="F15" s="69" t="n">
        <x:f>COUNTIFS('County annual'!$C$6:$C$179,$A15,'County annual'!$A$6:$A$179,F$5)</x:f>
        <x:v>1</x:v>
      </x:c>
      <x:c r="G15" s="69" t="n">
        <x:f>COUNTIFS('County annual'!$C$6:$C$179,$A15,'County annual'!$A$6:$A$179,G$5)</x:f>
        <x:v>1</x:v>
      </x:c>
      <x:c r="H15" s="69" t="n">
        <x:f>COUNTIFS('County annual'!$C$6:$C$179,$A15,'County annual'!$A$6:$A$179,H$5)</x:f>
        <x:v>1</x:v>
      </x:c>
      <x:c r="I15" s="69" t="n">
        <x:f>COUNTIFS(C15:H15,1)</x:f>
        <x:v>6</x:v>
      </x:c>
    </x:row>
    <x:row r="16" ht="21" customHeight="1">
      <x:c r="A16" s="66" t="str">
        <x:v>49021</x:v>
      </x:c>
      <x:c r="B16" s="65" t="str">
        <x:v>Iron County</x:v>
      </x:c>
      <x:c r="C16" s="68" t="n">
        <x:f>COUNTIFS('County annual'!$C$6:$C$179,$A16,'County annual'!$A$6:$A$179,C$5)</x:f>
        <x:v>1</x:v>
      </x:c>
      <x:c r="D16" s="68" t="n">
        <x:f>COUNTIFS('County annual'!$C$6:$C$179,$A16,'County annual'!$A$6:$A$179,D$5)</x:f>
        <x:v>1</x:v>
      </x:c>
      <x:c r="E16" s="68" t="n">
        <x:f>COUNTIFS('County annual'!$C$6:$C$179,$A16,'County annual'!$A$6:$A$179,E$5)</x:f>
        <x:v>1</x:v>
      </x:c>
      <x:c r="F16" s="68" t="n">
        <x:f>COUNTIFS('County annual'!$C$6:$C$179,$A16,'County annual'!$A$6:$A$179,F$5)</x:f>
        <x:v>1</x:v>
      </x:c>
      <x:c r="G16" s="68" t="n">
        <x:f>COUNTIFS('County annual'!$C$6:$C$179,$A16,'County annual'!$A$6:$A$179,G$5)</x:f>
        <x:v>1</x:v>
      </x:c>
      <x:c r="H16" s="68" t="n">
        <x:f>COUNTIFS('County annual'!$C$6:$C$179,$A16,'County annual'!$A$6:$A$179,H$5)</x:f>
        <x:v>1</x:v>
      </x:c>
      <x:c r="I16" s="68" t="n">
        <x:f>COUNTIFS(C16:H16,1)</x:f>
        <x:v>6</x:v>
      </x:c>
    </x:row>
    <x:row r="17" ht="21" customHeight="1">
      <x:c r="A17" s="58" t="str">
        <x:v>49023</x:v>
      </x:c>
      <x:c r="B17" s="30" t="str">
        <x:v>Juab County</x:v>
      </x:c>
      <x:c r="C17" s="69" t="n">
        <x:f>COUNTIFS('County annual'!$C$6:$C$179,$A17,'County annual'!$A$6:$A$179,C$5)</x:f>
        <x:v>1</x:v>
      </x:c>
      <x:c r="D17" s="69" t="n">
        <x:f>COUNTIFS('County annual'!$C$6:$C$179,$A17,'County annual'!$A$6:$A$179,D$5)</x:f>
        <x:v>1</x:v>
      </x:c>
      <x:c r="E17" s="69" t="n">
        <x:f>COUNTIFS('County annual'!$C$6:$C$179,$A17,'County annual'!$A$6:$A$179,E$5)</x:f>
        <x:v>1</x:v>
      </x:c>
      <x:c r="F17" s="69" t="n">
        <x:f>COUNTIFS('County annual'!$C$6:$C$179,$A17,'County annual'!$A$6:$A$179,F$5)</x:f>
        <x:v>1</x:v>
      </x:c>
      <x:c r="G17" s="69" t="n">
        <x:f>COUNTIFS('County annual'!$C$6:$C$179,$A17,'County annual'!$A$6:$A$179,G$5)</x:f>
        <x:v>1</x:v>
      </x:c>
      <x:c r="H17" s="69" t="n">
        <x:f>COUNTIFS('County annual'!$C$6:$C$179,$A17,'County annual'!$A$6:$A$179,H$5)</x:f>
        <x:v>1</x:v>
      </x:c>
      <x:c r="I17" s="69" t="n">
        <x:f>COUNTIFS(C17:H17,1)</x:f>
        <x:v>6</x:v>
      </x:c>
    </x:row>
    <x:row r="18" ht="21" customHeight="1">
      <x:c r="A18" s="66" t="str">
        <x:v>49025</x:v>
      </x:c>
      <x:c r="B18" s="65" t="str">
        <x:v>Kane County</x:v>
      </x:c>
      <x:c r="C18" s="68" t="n">
        <x:f>COUNTIFS('County annual'!$C$6:$C$179,$A18,'County annual'!$A$6:$A$179,C$5)</x:f>
        <x:v>1</x:v>
      </x:c>
      <x:c r="D18" s="68" t="n">
        <x:f>COUNTIFS('County annual'!$C$6:$C$179,$A18,'County annual'!$A$6:$A$179,D$5)</x:f>
        <x:v>1</x:v>
      </x:c>
      <x:c r="E18" s="68" t="n">
        <x:f>COUNTIFS('County annual'!$C$6:$C$179,$A18,'County annual'!$A$6:$A$179,E$5)</x:f>
        <x:v>1</x:v>
      </x:c>
      <x:c r="F18" s="68" t="n">
        <x:f>COUNTIFS('County annual'!$C$6:$C$179,$A18,'County annual'!$A$6:$A$179,F$5)</x:f>
        <x:v>1</x:v>
      </x:c>
      <x:c r="G18" s="68" t="n">
        <x:f>COUNTIFS('County annual'!$C$6:$C$179,$A18,'County annual'!$A$6:$A$179,G$5)</x:f>
        <x:v>1</x:v>
      </x:c>
      <x:c r="H18" s="68" t="n">
        <x:f>COUNTIFS('County annual'!$C$6:$C$179,$A18,'County annual'!$A$6:$A$179,H$5)</x:f>
        <x:v>1</x:v>
      </x:c>
      <x:c r="I18" s="68" t="n">
        <x:f>COUNTIFS(C18:H18,1)</x:f>
        <x:v>6</x:v>
      </x:c>
    </x:row>
    <x:row r="19" ht="21" customHeight="1">
      <x:c r="A19" s="58" t="str">
        <x:v>49027</x:v>
      </x:c>
      <x:c r="B19" s="30" t="str">
        <x:v>Millard County</x:v>
      </x:c>
      <x:c r="C19" s="69" t="n">
        <x:f>COUNTIFS('County annual'!$C$6:$C$179,$A19,'County annual'!$A$6:$A$179,C$5)</x:f>
        <x:v>1</x:v>
      </x:c>
      <x:c r="D19" s="69" t="n">
        <x:f>COUNTIFS('County annual'!$C$6:$C$179,$A19,'County annual'!$A$6:$A$179,D$5)</x:f>
        <x:v>1</x:v>
      </x:c>
      <x:c r="E19" s="69" t="n">
        <x:f>COUNTIFS('County annual'!$C$6:$C$179,$A19,'County annual'!$A$6:$A$179,E$5)</x:f>
        <x:v>1</x:v>
      </x:c>
      <x:c r="F19" s="69" t="n">
        <x:f>COUNTIFS('County annual'!$C$6:$C$179,$A19,'County annual'!$A$6:$A$179,F$5)</x:f>
        <x:v>1</x:v>
      </x:c>
      <x:c r="G19" s="69" t="n">
        <x:f>COUNTIFS('County annual'!$C$6:$C$179,$A19,'County annual'!$A$6:$A$179,G$5)</x:f>
        <x:v>1</x:v>
      </x:c>
      <x:c r="H19" s="69" t="n">
        <x:f>COUNTIFS('County annual'!$C$6:$C$179,$A19,'County annual'!$A$6:$A$179,H$5)</x:f>
        <x:v>1</x:v>
      </x:c>
      <x:c r="I19" s="69" t="n">
        <x:f>COUNTIFS(C19:H19,1)</x:f>
        <x:v>6</x:v>
      </x:c>
    </x:row>
    <x:row r="20" ht="21" customHeight="1">
      <x:c r="A20" s="66" t="str">
        <x:v>49029</x:v>
      </x:c>
      <x:c r="B20" s="65" t="str">
        <x:v>Morgan County</x:v>
      </x:c>
      <x:c r="C20" s="68" t="n">
        <x:f>COUNTIFS('County annual'!$C$6:$C$179,$A20,'County annual'!$A$6:$A$179,C$5)</x:f>
        <x:v>1</x:v>
      </x:c>
      <x:c r="D20" s="68" t="n">
        <x:f>COUNTIFS('County annual'!$C$6:$C$179,$A20,'County annual'!$A$6:$A$179,D$5)</x:f>
        <x:v>1</x:v>
      </x:c>
      <x:c r="E20" s="68" t="n">
        <x:f>COUNTIFS('County annual'!$C$6:$C$179,$A20,'County annual'!$A$6:$A$179,E$5)</x:f>
        <x:v>1</x:v>
      </x:c>
      <x:c r="F20" s="68" t="n">
        <x:f>COUNTIFS('County annual'!$C$6:$C$179,$A20,'County annual'!$A$6:$A$179,F$5)</x:f>
        <x:v>1</x:v>
      </x:c>
      <x:c r="G20" s="68" t="n">
        <x:f>COUNTIFS('County annual'!$C$6:$C$179,$A20,'County annual'!$A$6:$A$179,G$5)</x:f>
        <x:v>1</x:v>
      </x:c>
      <x:c r="H20" s="68" t="n">
        <x:f>COUNTIFS('County annual'!$C$6:$C$179,$A20,'County annual'!$A$6:$A$179,H$5)</x:f>
        <x:v>1</x:v>
      </x:c>
      <x:c r="I20" s="68" t="n">
        <x:f>COUNTIFS(C20:H20,1)</x:f>
        <x:v>6</x:v>
      </x:c>
    </x:row>
    <x:row r="21" ht="21" customHeight="1">
      <x:c r="A21" s="58" t="str">
        <x:v>49031</x:v>
      </x:c>
      <x:c r="B21" s="30" t="str">
        <x:v>Piute County</x:v>
      </x:c>
      <x:c r="C21" s="69" t="n">
        <x:f>COUNTIFS('County annual'!$C$6:$C$179,$A21,'County annual'!$A$6:$A$179,C$5)</x:f>
        <x:v>1</x:v>
      </x:c>
      <x:c r="D21" s="69" t="n">
        <x:f>COUNTIFS('County annual'!$C$6:$C$179,$A21,'County annual'!$A$6:$A$179,D$5)</x:f>
        <x:v>1</x:v>
      </x:c>
      <x:c r="E21" s="69" t="n">
        <x:f>COUNTIFS('County annual'!$C$6:$C$179,$A21,'County annual'!$A$6:$A$179,E$5)</x:f>
        <x:v>1</x:v>
      </x:c>
      <x:c r="F21" s="69" t="n">
        <x:f>COUNTIFS('County annual'!$C$6:$C$179,$A21,'County annual'!$A$6:$A$179,F$5)</x:f>
        <x:v>1</x:v>
      </x:c>
      <x:c r="G21" s="69" t="n">
        <x:f>COUNTIFS('County annual'!$C$6:$C$179,$A21,'County annual'!$A$6:$A$179,G$5)</x:f>
        <x:v>1</x:v>
      </x:c>
      <x:c r="H21" s="69" t="n">
        <x:f>COUNTIFS('County annual'!$C$6:$C$179,$A21,'County annual'!$A$6:$A$179,H$5)</x:f>
        <x:v>1</x:v>
      </x:c>
      <x:c r="I21" s="69" t="n">
        <x:f>COUNTIFS(C21:H21,1)</x:f>
        <x:v>6</x:v>
      </x:c>
    </x:row>
    <x:row r="22" ht="21" customHeight="1">
      <x:c r="A22" s="66" t="str">
        <x:v>49033</x:v>
      </x:c>
      <x:c r="B22" s="65" t="str">
        <x:v>Rich County</x:v>
      </x:c>
      <x:c r="C22" s="68" t="n">
        <x:f>COUNTIFS('County annual'!$C$6:$C$179,$A22,'County annual'!$A$6:$A$179,C$5)</x:f>
        <x:v>1</x:v>
      </x:c>
      <x:c r="D22" s="68" t="n">
        <x:f>COUNTIFS('County annual'!$C$6:$C$179,$A22,'County annual'!$A$6:$A$179,D$5)</x:f>
        <x:v>1</x:v>
      </x:c>
      <x:c r="E22" s="68" t="n">
        <x:f>COUNTIFS('County annual'!$C$6:$C$179,$A22,'County annual'!$A$6:$A$179,E$5)</x:f>
        <x:v>1</x:v>
      </x:c>
      <x:c r="F22" s="68" t="n">
        <x:f>COUNTIFS('County annual'!$C$6:$C$179,$A22,'County annual'!$A$6:$A$179,F$5)</x:f>
        <x:v>1</x:v>
      </x:c>
      <x:c r="G22" s="68" t="n">
        <x:f>COUNTIFS('County annual'!$C$6:$C$179,$A22,'County annual'!$A$6:$A$179,G$5)</x:f>
        <x:v>1</x:v>
      </x:c>
      <x:c r="H22" s="68" t="n">
        <x:f>COUNTIFS('County annual'!$C$6:$C$179,$A22,'County annual'!$A$6:$A$179,H$5)</x:f>
        <x:v>1</x:v>
      </x:c>
      <x:c r="I22" s="68" t="n">
        <x:f>COUNTIFS(C22:H22,1)</x:f>
        <x:v>6</x:v>
      </x:c>
    </x:row>
    <x:row r="23" ht="21" customHeight="1">
      <x:c r="A23" s="58" t="str">
        <x:v>49035</x:v>
      </x:c>
      <x:c r="B23" s="30" t="str">
        <x:v>Salt Lake County</x:v>
      </x:c>
      <x:c r="C23" s="69" t="n">
        <x:f>COUNTIFS('County annual'!$C$6:$C$179,$A23,'County annual'!$A$6:$A$179,C$5)</x:f>
        <x:v>1</x:v>
      </x:c>
      <x:c r="D23" s="69" t="n">
        <x:f>COUNTIFS('County annual'!$C$6:$C$179,$A23,'County annual'!$A$6:$A$179,D$5)</x:f>
        <x:v>1</x:v>
      </x:c>
      <x:c r="E23" s="69" t="n">
        <x:f>COUNTIFS('County annual'!$C$6:$C$179,$A23,'County annual'!$A$6:$A$179,E$5)</x:f>
        <x:v>1</x:v>
      </x:c>
      <x:c r="F23" s="69" t="n">
        <x:f>COUNTIFS('County annual'!$C$6:$C$179,$A23,'County annual'!$A$6:$A$179,F$5)</x:f>
        <x:v>1</x:v>
      </x:c>
      <x:c r="G23" s="69" t="n">
        <x:f>COUNTIFS('County annual'!$C$6:$C$179,$A23,'County annual'!$A$6:$A$179,G$5)</x:f>
        <x:v>1</x:v>
      </x:c>
      <x:c r="H23" s="69" t="n">
        <x:f>COUNTIFS('County annual'!$C$6:$C$179,$A23,'County annual'!$A$6:$A$179,H$5)</x:f>
        <x:v>1</x:v>
      </x:c>
      <x:c r="I23" s="69" t="n">
        <x:f>COUNTIFS(C23:H23,1)</x:f>
        <x:v>6</x:v>
      </x:c>
    </x:row>
    <x:row r="24" ht="21" customHeight="1">
      <x:c r="A24" s="66" t="str">
        <x:v>49037</x:v>
      </x:c>
      <x:c r="B24" s="65" t="str">
        <x:v>San Juan County</x:v>
      </x:c>
      <x:c r="C24" s="68" t="n">
        <x:f>COUNTIFS('County annual'!$C$6:$C$179,$A24,'County annual'!$A$6:$A$179,C$5)</x:f>
        <x:v>1</x:v>
      </x:c>
      <x:c r="D24" s="68" t="n">
        <x:f>COUNTIFS('County annual'!$C$6:$C$179,$A24,'County annual'!$A$6:$A$179,D$5)</x:f>
        <x:v>1</x:v>
      </x:c>
      <x:c r="E24" s="68" t="n">
        <x:f>COUNTIFS('County annual'!$C$6:$C$179,$A24,'County annual'!$A$6:$A$179,E$5)</x:f>
        <x:v>1</x:v>
      </x:c>
      <x:c r="F24" s="68" t="n">
        <x:f>COUNTIFS('County annual'!$C$6:$C$179,$A24,'County annual'!$A$6:$A$179,F$5)</x:f>
        <x:v>1</x:v>
      </x:c>
      <x:c r="G24" s="68" t="n">
        <x:f>COUNTIFS('County annual'!$C$6:$C$179,$A24,'County annual'!$A$6:$A$179,G$5)</x:f>
        <x:v>1</x:v>
      </x:c>
      <x:c r="H24" s="68" t="n">
        <x:f>COUNTIFS('County annual'!$C$6:$C$179,$A24,'County annual'!$A$6:$A$179,H$5)</x:f>
        <x:v>1</x:v>
      </x:c>
      <x:c r="I24" s="68" t="n">
        <x:f>COUNTIFS(C24:H24,1)</x:f>
        <x:v>6</x:v>
      </x:c>
    </x:row>
    <x:row r="25" ht="21" customHeight="1">
      <x:c r="A25" s="58" t="str">
        <x:v>49039</x:v>
      </x:c>
      <x:c r="B25" s="30" t="str">
        <x:v>Sanpete County</x:v>
      </x:c>
      <x:c r="C25" s="69" t="n">
        <x:f>COUNTIFS('County annual'!$C$6:$C$179,$A25,'County annual'!$A$6:$A$179,C$5)</x:f>
        <x:v>1</x:v>
      </x:c>
      <x:c r="D25" s="69" t="n">
        <x:f>COUNTIFS('County annual'!$C$6:$C$179,$A25,'County annual'!$A$6:$A$179,D$5)</x:f>
        <x:v>1</x:v>
      </x:c>
      <x:c r="E25" s="69" t="n">
        <x:f>COUNTIFS('County annual'!$C$6:$C$179,$A25,'County annual'!$A$6:$A$179,E$5)</x:f>
        <x:v>1</x:v>
      </x:c>
      <x:c r="F25" s="69" t="n">
        <x:f>COUNTIFS('County annual'!$C$6:$C$179,$A25,'County annual'!$A$6:$A$179,F$5)</x:f>
        <x:v>1</x:v>
      </x:c>
      <x:c r="G25" s="69" t="n">
        <x:f>COUNTIFS('County annual'!$C$6:$C$179,$A25,'County annual'!$A$6:$A$179,G$5)</x:f>
        <x:v>1</x:v>
      </x:c>
      <x:c r="H25" s="69" t="n">
        <x:f>COUNTIFS('County annual'!$C$6:$C$179,$A25,'County annual'!$A$6:$A$179,H$5)</x:f>
        <x:v>1</x:v>
      </x:c>
      <x:c r="I25" s="69" t="n">
        <x:f>COUNTIFS(C25:H25,1)</x:f>
        <x:v>6</x:v>
      </x:c>
    </x:row>
    <x:row r="26" ht="21" customHeight="1">
      <x:c r="A26" s="66" t="str">
        <x:v>49041</x:v>
      </x:c>
      <x:c r="B26" s="65" t="str">
        <x:v>Sevier County</x:v>
      </x:c>
      <x:c r="C26" s="68" t="n">
        <x:f>COUNTIFS('County annual'!$C$6:$C$179,$A26,'County annual'!$A$6:$A$179,C$5)</x:f>
        <x:v>1</x:v>
      </x:c>
      <x:c r="D26" s="68" t="n">
        <x:f>COUNTIFS('County annual'!$C$6:$C$179,$A26,'County annual'!$A$6:$A$179,D$5)</x:f>
        <x:v>1</x:v>
      </x:c>
      <x:c r="E26" s="68" t="n">
        <x:f>COUNTIFS('County annual'!$C$6:$C$179,$A26,'County annual'!$A$6:$A$179,E$5)</x:f>
        <x:v>1</x:v>
      </x:c>
      <x:c r="F26" s="68" t="n">
        <x:f>COUNTIFS('County annual'!$C$6:$C$179,$A26,'County annual'!$A$6:$A$179,F$5)</x:f>
        <x:v>1</x:v>
      </x:c>
      <x:c r="G26" s="68" t="n">
        <x:f>COUNTIFS('County annual'!$C$6:$C$179,$A26,'County annual'!$A$6:$A$179,G$5)</x:f>
        <x:v>1</x:v>
      </x:c>
      <x:c r="H26" s="68" t="n">
        <x:f>COUNTIFS('County annual'!$C$6:$C$179,$A26,'County annual'!$A$6:$A$179,H$5)</x:f>
        <x:v>1</x:v>
      </x:c>
      <x:c r="I26" s="68" t="n">
        <x:f>COUNTIFS(C26:H26,1)</x:f>
        <x:v>6</x:v>
      </x:c>
    </x:row>
    <x:row r="27" ht="21" customHeight="1">
      <x:c r="A27" s="58" t="str">
        <x:v>49043</x:v>
      </x:c>
      <x:c r="B27" s="30" t="str">
        <x:v>Summit County</x:v>
      </x:c>
      <x:c r="C27" s="69" t="n">
        <x:f>COUNTIFS('County annual'!$C$6:$C$179,$A27,'County annual'!$A$6:$A$179,C$5)</x:f>
        <x:v>1</x:v>
      </x:c>
      <x:c r="D27" s="69" t="n">
        <x:f>COUNTIFS('County annual'!$C$6:$C$179,$A27,'County annual'!$A$6:$A$179,D$5)</x:f>
        <x:v>1</x:v>
      </x:c>
      <x:c r="E27" s="69" t="n">
        <x:f>COUNTIFS('County annual'!$C$6:$C$179,$A27,'County annual'!$A$6:$A$179,E$5)</x:f>
        <x:v>1</x:v>
      </x:c>
      <x:c r="F27" s="69" t="n">
        <x:f>COUNTIFS('County annual'!$C$6:$C$179,$A27,'County annual'!$A$6:$A$179,F$5)</x:f>
        <x:v>1</x:v>
      </x:c>
      <x:c r="G27" s="69" t="n">
        <x:f>COUNTIFS('County annual'!$C$6:$C$179,$A27,'County annual'!$A$6:$A$179,G$5)</x:f>
        <x:v>1</x:v>
      </x:c>
      <x:c r="H27" s="69" t="n">
        <x:f>COUNTIFS('County annual'!$C$6:$C$179,$A27,'County annual'!$A$6:$A$179,H$5)</x:f>
        <x:v>1</x:v>
      </x:c>
      <x:c r="I27" s="69" t="n">
        <x:f>COUNTIFS(C27:H27,1)</x:f>
        <x:v>6</x:v>
      </x:c>
    </x:row>
    <x:row r="28" ht="21" customHeight="1">
      <x:c r="A28" s="66" t="str">
        <x:v>49045</x:v>
      </x:c>
      <x:c r="B28" s="65" t="str">
        <x:v>Tooele County</x:v>
      </x:c>
      <x:c r="C28" s="68" t="n">
        <x:f>COUNTIFS('County annual'!$C$6:$C$179,$A28,'County annual'!$A$6:$A$179,C$5)</x:f>
        <x:v>1</x:v>
      </x:c>
      <x:c r="D28" s="68" t="n">
        <x:f>COUNTIFS('County annual'!$C$6:$C$179,$A28,'County annual'!$A$6:$A$179,D$5)</x:f>
        <x:v>1</x:v>
      </x:c>
      <x:c r="E28" s="68" t="n">
        <x:f>COUNTIFS('County annual'!$C$6:$C$179,$A28,'County annual'!$A$6:$A$179,E$5)</x:f>
        <x:v>1</x:v>
      </x:c>
      <x:c r="F28" s="68" t="n">
        <x:f>COUNTIFS('County annual'!$C$6:$C$179,$A28,'County annual'!$A$6:$A$179,F$5)</x:f>
        <x:v>1</x:v>
      </x:c>
      <x:c r="G28" s="68" t="n">
        <x:f>COUNTIFS('County annual'!$C$6:$C$179,$A28,'County annual'!$A$6:$A$179,G$5)</x:f>
        <x:v>1</x:v>
      </x:c>
      <x:c r="H28" s="68" t="n">
        <x:f>COUNTIFS('County annual'!$C$6:$C$179,$A28,'County annual'!$A$6:$A$179,H$5)</x:f>
        <x:v>1</x:v>
      </x:c>
      <x:c r="I28" s="68" t="n">
        <x:f>COUNTIFS(C28:H28,1)</x:f>
        <x:v>6</x:v>
      </x:c>
    </x:row>
    <x:row r="29" ht="21" customHeight="1">
      <x:c r="A29" s="58" t="str">
        <x:v>49047</x:v>
      </x:c>
      <x:c r="B29" s="30" t="str">
        <x:v>Uintah County</x:v>
      </x:c>
      <x:c r="C29" s="69" t="n">
        <x:f>COUNTIFS('County annual'!$C$6:$C$179,$A29,'County annual'!$A$6:$A$179,C$5)</x:f>
        <x:v>1</x:v>
      </x:c>
      <x:c r="D29" s="69" t="n">
        <x:f>COUNTIFS('County annual'!$C$6:$C$179,$A29,'County annual'!$A$6:$A$179,D$5)</x:f>
        <x:v>1</x:v>
      </x:c>
      <x:c r="E29" s="69" t="n">
        <x:f>COUNTIFS('County annual'!$C$6:$C$179,$A29,'County annual'!$A$6:$A$179,E$5)</x:f>
        <x:v>1</x:v>
      </x:c>
      <x:c r="F29" s="69" t="n">
        <x:f>COUNTIFS('County annual'!$C$6:$C$179,$A29,'County annual'!$A$6:$A$179,F$5)</x:f>
        <x:v>1</x:v>
      </x:c>
      <x:c r="G29" s="69" t="n">
        <x:f>COUNTIFS('County annual'!$C$6:$C$179,$A29,'County annual'!$A$6:$A$179,G$5)</x:f>
        <x:v>1</x:v>
      </x:c>
      <x:c r="H29" s="69" t="n">
        <x:f>COUNTIFS('County annual'!$C$6:$C$179,$A29,'County annual'!$A$6:$A$179,H$5)</x:f>
        <x:v>1</x:v>
      </x:c>
      <x:c r="I29" s="69" t="n">
        <x:f>COUNTIFS(C29:H29,1)</x:f>
        <x:v>6</x:v>
      </x:c>
    </x:row>
    <x:row r="30" ht="21" customHeight="1">
      <x:c r="A30" s="66" t="str">
        <x:v>49049</x:v>
      </x:c>
      <x:c r="B30" s="65" t="str">
        <x:v>Utah County</x:v>
      </x:c>
      <x:c r="C30" s="68" t="n">
        <x:f>COUNTIFS('County annual'!$C$6:$C$179,$A30,'County annual'!$A$6:$A$179,C$5)</x:f>
        <x:v>1</x:v>
      </x:c>
      <x:c r="D30" s="68" t="n">
        <x:f>COUNTIFS('County annual'!$C$6:$C$179,$A30,'County annual'!$A$6:$A$179,D$5)</x:f>
        <x:v>1</x:v>
      </x:c>
      <x:c r="E30" s="68" t="n">
        <x:f>COUNTIFS('County annual'!$C$6:$C$179,$A30,'County annual'!$A$6:$A$179,E$5)</x:f>
        <x:v>1</x:v>
      </x:c>
      <x:c r="F30" s="68" t="n">
        <x:f>COUNTIFS('County annual'!$C$6:$C$179,$A30,'County annual'!$A$6:$A$179,F$5)</x:f>
        <x:v>1</x:v>
      </x:c>
      <x:c r="G30" s="68" t="n">
        <x:f>COUNTIFS('County annual'!$C$6:$C$179,$A30,'County annual'!$A$6:$A$179,G$5)</x:f>
        <x:v>1</x:v>
      </x:c>
      <x:c r="H30" s="68" t="n">
        <x:f>COUNTIFS('County annual'!$C$6:$C$179,$A30,'County annual'!$A$6:$A$179,H$5)</x:f>
        <x:v>1</x:v>
      </x:c>
      <x:c r="I30" s="68" t="n">
        <x:f>COUNTIFS(C30:H30,1)</x:f>
        <x:v>6</x:v>
      </x:c>
    </x:row>
    <x:row r="31" ht="21" customHeight="1">
      <x:c r="A31" s="58" t="str">
        <x:v>49051</x:v>
      </x:c>
      <x:c r="B31" s="30" t="str">
        <x:v>Wasatch County</x:v>
      </x:c>
      <x:c r="C31" s="69" t="n">
        <x:f>COUNTIFS('County annual'!$C$6:$C$179,$A31,'County annual'!$A$6:$A$179,C$5)</x:f>
        <x:v>1</x:v>
      </x:c>
      <x:c r="D31" s="69" t="n">
        <x:f>COUNTIFS('County annual'!$C$6:$C$179,$A31,'County annual'!$A$6:$A$179,D$5)</x:f>
        <x:v>1</x:v>
      </x:c>
      <x:c r="E31" s="69" t="n">
        <x:f>COUNTIFS('County annual'!$C$6:$C$179,$A31,'County annual'!$A$6:$A$179,E$5)</x:f>
        <x:v>1</x:v>
      </x:c>
      <x:c r="F31" s="69" t="n">
        <x:f>COUNTIFS('County annual'!$C$6:$C$179,$A31,'County annual'!$A$6:$A$179,F$5)</x:f>
        <x:v>1</x:v>
      </x:c>
      <x:c r="G31" s="69" t="n">
        <x:f>COUNTIFS('County annual'!$C$6:$C$179,$A31,'County annual'!$A$6:$A$179,G$5)</x:f>
        <x:v>1</x:v>
      </x:c>
      <x:c r="H31" s="69" t="n">
        <x:f>COUNTIFS('County annual'!$C$6:$C$179,$A31,'County annual'!$A$6:$A$179,H$5)</x:f>
        <x:v>1</x:v>
      </x:c>
      <x:c r="I31" s="69" t="n">
        <x:f>COUNTIFS(C31:H31,1)</x:f>
        <x:v>6</x:v>
      </x:c>
    </x:row>
    <x:row r="32" ht="21" customHeight="1">
      <x:c r="A32" s="66" t="str">
        <x:v>49053</x:v>
      </x:c>
      <x:c r="B32" s="65" t="str">
        <x:v>Washington County</x:v>
      </x:c>
      <x:c r="C32" s="68" t="n">
        <x:f>COUNTIFS('County annual'!$C$6:$C$179,$A32,'County annual'!$A$6:$A$179,C$5)</x:f>
        <x:v>1</x:v>
      </x:c>
      <x:c r="D32" s="68" t="n">
        <x:f>COUNTIFS('County annual'!$C$6:$C$179,$A32,'County annual'!$A$6:$A$179,D$5)</x:f>
        <x:v>1</x:v>
      </x:c>
      <x:c r="E32" s="68" t="n">
        <x:f>COUNTIFS('County annual'!$C$6:$C$179,$A32,'County annual'!$A$6:$A$179,E$5)</x:f>
        <x:v>1</x:v>
      </x:c>
      <x:c r="F32" s="68" t="n">
        <x:f>COUNTIFS('County annual'!$C$6:$C$179,$A32,'County annual'!$A$6:$A$179,F$5)</x:f>
        <x:v>1</x:v>
      </x:c>
      <x:c r="G32" s="68" t="n">
        <x:f>COUNTIFS('County annual'!$C$6:$C$179,$A32,'County annual'!$A$6:$A$179,G$5)</x:f>
        <x:v>1</x:v>
      </x:c>
      <x:c r="H32" s="68" t="n">
        <x:f>COUNTIFS('County annual'!$C$6:$C$179,$A32,'County annual'!$A$6:$A$179,H$5)</x:f>
        <x:v>1</x:v>
      </x:c>
      <x:c r="I32" s="68" t="n">
        <x:f>COUNTIFS(C32:H32,1)</x:f>
        <x:v>6</x:v>
      </x:c>
    </x:row>
    <x:row r="33" ht="21" customHeight="1">
      <x:c r="A33" s="58" t="str">
        <x:v>49055</x:v>
      </x:c>
      <x:c r="B33" s="30" t="str">
        <x:v>Wayne County</x:v>
      </x:c>
      <x:c r="C33" s="69" t="n">
        <x:f>COUNTIFS('County annual'!$C$6:$C$179,$A33,'County annual'!$A$6:$A$179,C$5)</x:f>
        <x:v>1</x:v>
      </x:c>
      <x:c r="D33" s="69" t="n">
        <x:f>COUNTIFS('County annual'!$C$6:$C$179,$A33,'County annual'!$A$6:$A$179,D$5)</x:f>
        <x:v>1</x:v>
      </x:c>
      <x:c r="E33" s="69" t="n">
        <x:f>COUNTIFS('County annual'!$C$6:$C$179,$A33,'County annual'!$A$6:$A$179,E$5)</x:f>
        <x:v>1</x:v>
      </x:c>
      <x:c r="F33" s="69" t="n">
        <x:f>COUNTIFS('County annual'!$C$6:$C$179,$A33,'County annual'!$A$6:$A$179,F$5)</x:f>
        <x:v>1</x:v>
      </x:c>
      <x:c r="G33" s="69" t="n">
        <x:f>COUNTIFS('County annual'!$C$6:$C$179,$A33,'County annual'!$A$6:$A$179,G$5)</x:f>
        <x:v>1</x:v>
      </x:c>
      <x:c r="H33" s="69" t="n">
        <x:f>COUNTIFS('County annual'!$C$6:$C$179,$A33,'County annual'!$A$6:$A$179,H$5)</x:f>
        <x:v>1</x:v>
      </x:c>
      <x:c r="I33" s="69" t="n">
        <x:f>COUNTIFS(C33:H33,1)</x:f>
        <x:v>6</x:v>
      </x:c>
    </x:row>
    <x:row r="34" ht="21" customHeight="1">
      <x:c r="A34" s="66" t="str">
        <x:v>49057</x:v>
      </x:c>
      <x:c r="B34" s="65" t="str">
        <x:v>Weber County</x:v>
      </x:c>
      <x:c r="C34" s="68" t="n">
        <x:f>COUNTIFS('County annual'!$C$6:$C$179,$A34,'County annual'!$A$6:$A$179,C$5)</x:f>
        <x:v>1</x:v>
      </x:c>
      <x:c r="D34" s="68" t="n">
        <x:f>COUNTIFS('County annual'!$C$6:$C$179,$A34,'County annual'!$A$6:$A$179,D$5)</x:f>
        <x:v>1</x:v>
      </x:c>
      <x:c r="E34" s="68" t="n">
        <x:f>COUNTIFS('County annual'!$C$6:$C$179,$A34,'County annual'!$A$6:$A$179,E$5)</x:f>
        <x:v>1</x:v>
      </x:c>
      <x:c r="F34" s="68" t="n">
        <x:f>COUNTIFS('County annual'!$C$6:$C$179,$A34,'County annual'!$A$6:$A$179,F$5)</x:f>
        <x:v>1</x:v>
      </x:c>
      <x:c r="G34" s="68" t="n">
        <x:f>COUNTIFS('County annual'!$C$6:$C$179,$A34,'County annual'!$A$6:$A$179,G$5)</x:f>
        <x:v>1</x:v>
      </x:c>
      <x:c r="H34" s="68" t="n">
        <x:f>COUNTIFS('County annual'!$C$6:$C$179,$A34,'County annual'!$A$6:$A$179,H$5)</x:f>
        <x:v>1</x:v>
      </x:c>
      <x:c r="I34" s="68" t="n">
        <x:f>COUNTIFS(C34:H34,1)</x:f>
        <x:v>6</x:v>
      </x:c>
    </x:row>
    <x:row r="35" ht="21" customHeight="1">
      <x:c r="A35" s="58"/>
      <x:c r="B35" s="30"/>
      <x:c r="C35" s="56"/>
      <x:c r="D35" s="56"/>
      <x:c r="E35" s="56"/>
      <x:c r="F35" s="56"/>
      <x:c r="G35" s="56"/>
      <x:c r="H35" s="56"/>
      <x:c r="I35" s="56"/>
    </x:row>
    <x:row r="36" ht="21" customHeight="1">
      <x:c r="A36" s="58"/>
      <x:c r="B36" s="30" t="str">
        <x:v>Expected pairs present once</x:v>
      </x:c>
      <x:c r="C36" s="56" t="n">
        <x:f>COUNTIFS(C6:H34,1)</x:f>
        <x:v>174</x:v>
      </x:c>
      <x:c r="D36" s="56"/>
      <x:c r="E36" s="56"/>
      <x:c r="F36" s="56"/>
      <x:c r="G36" s="56"/>
      <x:c r="H36" s="56"/>
      <x:c r="I36" s="56"/>
    </x:row>
    <x:row r="37" ht="21" customHeight="1">
      <x:c r="A37" s="58"/>
      <x:c r="B37" s="30" t="str">
        <x:v>Expected total</x:v>
      </x:c>
      <x:c r="C37" s="56" t="n">
        <x:v>174</x:v>
      </x:c>
      <x:c r="D37" s="56"/>
      <x:c r="E37" s="56"/>
      <x:c r="F37" s="56"/>
      <x:c r="G37" s="56"/>
      <x:c r="H37" s="56"/>
      <x:c r="I37" s="56"/>
    </x:row>
    <x:row r="38" ht="21" customHeight="1">
      <x:c r="A38" s="58"/>
      <x:c r="B38" s="30"/>
      <x:c r="C38" s="56"/>
      <x:c r="D38" s="56"/>
      <x:c r="E38" s="56"/>
      <x:c r="F38" s="56"/>
      <x:c r="G38" s="56"/>
      <x:c r="H38" s="56"/>
      <x:c r="I38" s="56"/>
    </x:row>
    <x:row r="39" ht="21" customHeight="1">
      <x:c r="A39" s="58"/>
      <x:c r="B39" s="32" t="str">
        <x:v>Roster source: data/counties.csv; five-digit county FIPS codes are text identifiers.</x:v>
      </x:c>
      <x:c r="C39" s="56"/>
      <x:c r="D39" s="56"/>
      <x:c r="E39" s="56"/>
      <x:c r="F39" s="56"/>
      <x:c r="G39" s="56"/>
      <x:c r="H39" s="56"/>
      <x:c r="I39" s="56"/>
    </x:row>
    <x:row r="40">
      <x:c r="A40" s="61"/>
      <x:c r="C40" s="28"/>
      <x:c r="D40" s="28"/>
      <x:c r="E40" s="28"/>
      <x:c r="F40" s="28"/>
      <x:c r="G40" s="28"/>
      <x:c r="H40" s="28"/>
      <x:c r="I40" s="28"/>
    </x:row>
    <x:row r="41">
      <x:c r="A41" s="61"/>
      <x:c r="C41" s="28"/>
      <x:c r="D41" s="28"/>
      <x:c r="E41" s="28"/>
      <x:c r="F41" s="28"/>
      <x:c r="G41" s="28"/>
      <x:c r="H41" s="28"/>
      <x:c r="I41" s="28"/>
    </x:row>
    <x:row r="42">
      <x:c r="A42" s="61"/>
      <x:c r="C42" s="28"/>
      <x:c r="D42" s="28"/>
      <x:c r="E42" s="28"/>
      <x:c r="F42" s="28"/>
      <x:c r="G42" s="28"/>
      <x:c r="H42" s="28"/>
      <x:c r="I42" s="28"/>
    </x:row>
    <x:row r="43">
      <x:c r="A43" s="61"/>
      <x:c r="C43" s="28"/>
      <x:c r="D43" s="28"/>
      <x:c r="E43" s="28"/>
      <x:c r="F43" s="28"/>
      <x:c r="G43" s="28"/>
      <x:c r="H43" s="28"/>
      <x:c r="I43" s="28"/>
    </x:row>
    <x:row r="44">
      <x:c r="A44" s="61"/>
      <x:c r="C44" s="28"/>
      <x:c r="D44" s="28"/>
      <x:c r="E44" s="28"/>
      <x:c r="F44" s="28"/>
      <x:c r="G44" s="28"/>
      <x:c r="H44" s="28"/>
      <x:c r="I44" s="28"/>
    </x:row>
    <x:row r="45">
      <x:c r="A45" s="61"/>
      <x:c r="C45" s="28"/>
      <x:c r="D45" s="28"/>
      <x:c r="E45" s="28"/>
      <x:c r="F45" s="28"/>
      <x:c r="G45" s="28"/>
      <x:c r="H45" s="28"/>
      <x:c r="I45" s="28"/>
    </x:row>
    <x:row r="46">
      <x:c r="A46" s="61"/>
      <x:c r="C46" s="28"/>
      <x:c r="D46" s="28"/>
      <x:c r="E46" s="28"/>
      <x:c r="F46" s="28"/>
      <x:c r="G46" s="28"/>
      <x:c r="H46" s="28"/>
      <x:c r="I46" s="28"/>
    </x:row>
    <x:row r="47">
      <x:c r="A47" s="61"/>
      <x:c r="C47" s="28"/>
      <x:c r="D47" s="28"/>
      <x:c r="E47" s="28"/>
      <x:c r="F47" s="28"/>
      <x:c r="G47" s="28"/>
      <x:c r="H47" s="28"/>
      <x:c r="I47" s="28"/>
    </x:row>
    <x:row r="48">
      <x:c r="A48" s="61"/>
      <x:c r="C48" s="28"/>
      <x:c r="D48" s="28"/>
      <x:c r="E48" s="28"/>
      <x:c r="F48" s="28"/>
      <x:c r="G48" s="28"/>
      <x:c r="H48" s="28"/>
      <x:c r="I48" s="28"/>
    </x:row>
    <x:row r="49">
      <x:c r="A49" s="61"/>
      <x:c r="C49" s="28"/>
      <x:c r="D49" s="28"/>
      <x:c r="E49" s="28"/>
      <x:c r="F49" s="28"/>
      <x:c r="G49" s="28"/>
      <x:c r="H49" s="28"/>
      <x:c r="I49" s="28"/>
    </x:row>
    <x:row r="50">
      <x:c r="A50" s="61"/>
      <x:c r="C50" s="28"/>
      <x:c r="D50" s="28"/>
      <x:c r="E50" s="28"/>
      <x:c r="F50" s="28"/>
      <x:c r="G50" s="28"/>
      <x:c r="H50" s="28"/>
      <x:c r="I50" s="28"/>
    </x:row>
    <x:row r="51">
      <x:c r="A51" s="61"/>
      <x:c r="C51" s="28"/>
      <x:c r="D51" s="28"/>
      <x:c r="E51" s="28"/>
      <x:c r="F51" s="28"/>
      <x:c r="G51" s="28"/>
      <x:c r="H51" s="28"/>
      <x:c r="I51" s="28"/>
    </x:row>
    <x:row r="52">
      <x:c r="A52" s="61"/>
      <x:c r="C52" s="28"/>
      <x:c r="D52" s="28"/>
      <x:c r="E52" s="28"/>
      <x:c r="F52" s="28"/>
      <x:c r="G52" s="28"/>
      <x:c r="H52" s="28"/>
      <x:c r="I52" s="28"/>
    </x:row>
    <x:row r="53">
      <x:c r="A53" s="61"/>
      <x:c r="C53" s="28"/>
      <x:c r="D53" s="28"/>
      <x:c r="E53" s="28"/>
      <x:c r="F53" s="28"/>
      <x:c r="G53" s="28"/>
      <x:c r="H53" s="28"/>
      <x:c r="I53" s="28"/>
    </x:row>
    <x:row r="54">
      <x:c r="A54" s="61"/>
      <x:c r="C54" s="28"/>
      <x:c r="D54" s="28"/>
      <x:c r="E54" s="28"/>
      <x:c r="F54" s="28"/>
      <x:c r="G54" s="28"/>
      <x:c r="H54" s="28"/>
      <x:c r="I54" s="28"/>
    </x:row>
    <x:row r="55">
      <x:c r="A55" s="61"/>
      <x:c r="C55" s="28"/>
      <x:c r="D55" s="28"/>
      <x:c r="E55" s="28"/>
      <x:c r="F55" s="28"/>
      <x:c r="G55" s="28"/>
      <x:c r="H55" s="28"/>
      <x:c r="I55" s="28"/>
    </x:row>
    <x:row r="56">
      <x:c r="A56" s="61"/>
      <x:c r="C56" s="28"/>
      <x:c r="D56" s="28"/>
      <x:c r="E56" s="28"/>
      <x:c r="F56" s="28"/>
      <x:c r="G56" s="28"/>
      <x:c r="H56" s="28"/>
      <x:c r="I56" s="28"/>
    </x:row>
    <x:row r="57">
      <x:c r="A57" s="61"/>
      <x:c r="C57" s="28"/>
      <x:c r="D57" s="28"/>
      <x:c r="E57" s="28"/>
      <x:c r="F57" s="28"/>
      <x:c r="G57" s="28"/>
      <x:c r="H57" s="28"/>
      <x:c r="I57" s="28"/>
    </x:row>
    <x:row r="58">
      <x:c r="A58" s="61"/>
      <x:c r="C58" s="28"/>
      <x:c r="D58" s="28"/>
      <x:c r="E58" s="28"/>
      <x:c r="F58" s="28"/>
      <x:c r="G58" s="28"/>
      <x:c r="H58" s="28"/>
      <x:c r="I58" s="28"/>
    </x:row>
    <x:row r="59">
      <x:c r="A59" s="61"/>
      <x:c r="C59" s="28"/>
      <x:c r="D59" s="28"/>
      <x:c r="E59" s="28"/>
      <x:c r="F59" s="28"/>
      <x:c r="G59" s="28"/>
      <x:c r="H59" s="28"/>
      <x:c r="I59" s="28"/>
    </x:row>
    <x:row r="60">
      <x:c r="A60" s="61"/>
      <x:c r="C60" s="28"/>
      <x:c r="D60" s="28"/>
      <x:c r="E60" s="28"/>
      <x:c r="F60" s="28"/>
      <x:c r="G60" s="28"/>
      <x:c r="H60" s="28"/>
      <x:c r="I60" s="28"/>
    </x:row>
    <x:row r="61">
      <x:c r="A61" s="61"/>
      <x:c r="C61" s="28"/>
      <x:c r="D61" s="28"/>
      <x:c r="E61" s="28"/>
      <x:c r="F61" s="28"/>
      <x:c r="G61" s="28"/>
      <x:c r="H61" s="28"/>
      <x:c r="I61" s="28"/>
    </x:row>
    <x:row r="62">
      <x:c r="A62" s="61"/>
      <x:c r="C62" s="28"/>
      <x:c r="D62" s="28"/>
      <x:c r="E62" s="28"/>
      <x:c r="F62" s="28"/>
      <x:c r="G62" s="28"/>
      <x:c r="H62" s="28"/>
      <x:c r="I62" s="28"/>
    </x:row>
    <x:row r="63">
      <x:c r="A63" s="61"/>
      <x:c r="C63" s="28"/>
      <x:c r="D63" s="28"/>
      <x:c r="E63" s="28"/>
      <x:c r="F63" s="28"/>
      <x:c r="G63" s="28"/>
      <x:c r="H63" s="28"/>
      <x:c r="I63" s="28"/>
    </x:row>
    <x:row r="64">
      <x:c r="A64" s="61"/>
      <x:c r="C64" s="28"/>
      <x:c r="D64" s="28"/>
      <x:c r="E64" s="28"/>
      <x:c r="F64" s="28"/>
      <x:c r="G64" s="28"/>
      <x:c r="H64" s="28"/>
      <x:c r="I64" s="28"/>
    </x:row>
    <x:row r="65">
      <x:c r="A65" s="61"/>
      <x:c r="C65" s="28"/>
      <x:c r="D65" s="28"/>
      <x:c r="E65" s="28"/>
      <x:c r="F65" s="28"/>
      <x:c r="G65" s="28"/>
      <x:c r="H65" s="28"/>
      <x:c r="I65" s="28"/>
    </x:row>
    <x:row r="66">
      <x:c r="A66" s="61"/>
      <x:c r="C66" s="28"/>
      <x:c r="D66" s="28"/>
      <x:c r="E66" s="28"/>
      <x:c r="F66" s="28"/>
      <x:c r="G66" s="28"/>
      <x:c r="H66" s="28"/>
      <x:c r="I66" s="28"/>
    </x:row>
    <x:row r="67">
      <x:c r="A67" s="61"/>
      <x:c r="C67" s="28"/>
      <x:c r="D67" s="28"/>
      <x:c r="E67" s="28"/>
      <x:c r="F67" s="28"/>
      <x:c r="G67" s="28"/>
      <x:c r="H67" s="28"/>
      <x:c r="I67" s="28"/>
    </x:row>
    <x:row r="68">
      <x:c r="A68" s="61"/>
      <x:c r="C68" s="28"/>
      <x:c r="D68" s="28"/>
      <x:c r="E68" s="28"/>
      <x:c r="F68" s="28"/>
      <x:c r="G68" s="28"/>
      <x:c r="H68" s="28"/>
      <x:c r="I68" s="28"/>
    </x:row>
    <x:row r="69">
      <x:c r="A69" s="61"/>
      <x:c r="C69" s="28"/>
      <x:c r="D69" s="28"/>
      <x:c r="E69" s="28"/>
      <x:c r="F69" s="28"/>
      <x:c r="G69" s="28"/>
      <x:c r="H69" s="28"/>
      <x:c r="I69" s="28"/>
    </x:row>
    <x:row r="70">
      <x:c r="A70" s="61"/>
      <x:c r="C70" s="28"/>
      <x:c r="D70" s="28"/>
      <x:c r="E70" s="28"/>
      <x:c r="F70" s="28"/>
      <x:c r="G70" s="28"/>
      <x:c r="H70" s="28"/>
      <x:c r="I70" s="28"/>
    </x:row>
    <x:row r="71">
      <x:c r="A71" s="61"/>
      <x:c r="C71" s="28"/>
      <x:c r="D71" s="28"/>
      <x:c r="E71" s="28"/>
      <x:c r="F71" s="28"/>
      <x:c r="G71" s="28"/>
      <x:c r="H71" s="28"/>
      <x:c r="I71" s="28"/>
    </x:row>
    <x:row r="72">
      <x:c r="A72" s="61"/>
      <x:c r="C72" s="28"/>
      <x:c r="D72" s="28"/>
      <x:c r="E72" s="28"/>
      <x:c r="F72" s="28"/>
      <x:c r="G72" s="28"/>
      <x:c r="H72" s="28"/>
      <x:c r="I72" s="28"/>
    </x:row>
    <x:row r="73">
      <x:c r="A73" s="61"/>
      <x:c r="C73" s="28"/>
      <x:c r="D73" s="28"/>
      <x:c r="E73" s="28"/>
      <x:c r="F73" s="28"/>
      <x:c r="G73" s="28"/>
      <x:c r="H73" s="28"/>
      <x:c r="I73" s="28"/>
    </x:row>
    <x:row r="74">
      <x:c r="A74" s="61"/>
      <x:c r="C74" s="28"/>
      <x:c r="D74" s="28"/>
      <x:c r="E74" s="28"/>
      <x:c r="F74" s="28"/>
      <x:c r="G74" s="28"/>
      <x:c r="H74" s="28"/>
      <x:c r="I74" s="28"/>
    </x:row>
    <x:row r="75">
      <x:c r="A75" s="61"/>
      <x:c r="C75" s="28"/>
      <x:c r="D75" s="28"/>
      <x:c r="E75" s="28"/>
      <x:c r="F75" s="28"/>
      <x:c r="G75" s="28"/>
      <x:c r="H75" s="28"/>
      <x:c r="I75" s="28"/>
    </x:row>
    <x:row r="76">
      <x:c r="A76" s="61"/>
      <x:c r="C76" s="28"/>
      <x:c r="D76" s="28"/>
      <x:c r="E76" s="28"/>
      <x:c r="F76" s="28"/>
      <x:c r="G76" s="28"/>
      <x:c r="H76" s="28"/>
      <x:c r="I76" s="28"/>
    </x:row>
    <x:row r="77">
      <x:c r="A77" s="61"/>
      <x:c r="C77" s="28"/>
      <x:c r="D77" s="28"/>
      <x:c r="E77" s="28"/>
      <x:c r="F77" s="28"/>
      <x:c r="G77" s="28"/>
      <x:c r="H77" s="28"/>
      <x:c r="I77" s="28"/>
    </x:row>
    <x:row r="78">
      <x:c r="A78" s="61"/>
      <x:c r="C78" s="28"/>
      <x:c r="D78" s="28"/>
      <x:c r="E78" s="28"/>
      <x:c r="F78" s="28"/>
      <x:c r="G78" s="28"/>
      <x:c r="H78" s="28"/>
      <x:c r="I78" s="28"/>
    </x:row>
    <x:row r="79">
      <x:c r="A79" s="61"/>
      <x:c r="C79" s="28"/>
      <x:c r="D79" s="28"/>
      <x:c r="E79" s="28"/>
      <x:c r="F79" s="28"/>
      <x:c r="G79" s="28"/>
      <x:c r="H79" s="28"/>
      <x:c r="I79" s="28"/>
    </x:row>
    <x:row r="80">
      <x:c r="A80" s="61"/>
      <x:c r="C80" s="28"/>
      <x:c r="D80" s="28"/>
      <x:c r="E80" s="28"/>
      <x:c r="F80" s="28"/>
      <x:c r="G80" s="28"/>
      <x:c r="H80" s="28"/>
      <x:c r="I80" s="28"/>
    </x:row>
    <x:row r="81">
      <x:c r="A81" s="61"/>
      <x:c r="C81" s="28"/>
      <x:c r="D81" s="28"/>
      <x:c r="E81" s="28"/>
      <x:c r="F81" s="28"/>
      <x:c r="G81" s="28"/>
      <x:c r="H81" s="28"/>
      <x:c r="I81" s="28"/>
    </x:row>
    <x:row r="82">
      <x:c r="A82" s="61"/>
      <x:c r="C82" s="28"/>
      <x:c r="D82" s="28"/>
      <x:c r="E82" s="28"/>
      <x:c r="F82" s="28"/>
      <x:c r="G82" s="28"/>
      <x:c r="H82" s="28"/>
      <x:c r="I82" s="28"/>
    </x:row>
    <x:row r="83">
      <x:c r="A83" s="61"/>
      <x:c r="C83" s="28"/>
      <x:c r="D83" s="28"/>
      <x:c r="E83" s="28"/>
      <x:c r="F83" s="28"/>
      <x:c r="G83" s="28"/>
      <x:c r="H83" s="28"/>
      <x:c r="I83" s="28"/>
    </x:row>
    <x:row r="84">
      <x:c r="A84" s="61"/>
      <x:c r="C84" s="28"/>
      <x:c r="D84" s="28"/>
      <x:c r="E84" s="28"/>
      <x:c r="F84" s="28"/>
      <x:c r="G84" s="28"/>
      <x:c r="H84" s="28"/>
      <x:c r="I84" s="28"/>
    </x:row>
    <x:row r="85">
      <x:c r="A85" s="61"/>
      <x:c r="C85" s="28"/>
      <x:c r="D85" s="28"/>
      <x:c r="E85" s="28"/>
      <x:c r="F85" s="28"/>
      <x:c r="G85" s="28"/>
      <x:c r="H85" s="28"/>
      <x:c r="I85" s="28"/>
    </x:row>
    <x:row r="86">
      <x:c r="A86" s="61"/>
      <x:c r="C86" s="28"/>
      <x:c r="D86" s="28"/>
      <x:c r="E86" s="28"/>
      <x:c r="F86" s="28"/>
      <x:c r="G86" s="28"/>
      <x:c r="H86" s="28"/>
      <x:c r="I86" s="28"/>
    </x:row>
    <x:row r="87">
      <x:c r="A87" s="61"/>
      <x:c r="C87" s="28"/>
      <x:c r="D87" s="28"/>
      <x:c r="E87" s="28"/>
      <x:c r="F87" s="28"/>
      <x:c r="G87" s="28"/>
      <x:c r="H87" s="28"/>
      <x:c r="I87" s="28"/>
    </x:row>
    <x:row r="88">
      <x:c r="A88" s="61"/>
      <x:c r="C88" s="28"/>
      <x:c r="D88" s="28"/>
      <x:c r="E88" s="28"/>
      <x:c r="F88" s="28"/>
      <x:c r="G88" s="28"/>
      <x:c r="H88" s="28"/>
      <x:c r="I88" s="28"/>
    </x:row>
    <x:row r="89">
      <x:c r="A89" s="61"/>
      <x:c r="C89" s="28"/>
      <x:c r="D89" s="28"/>
      <x:c r="E89" s="28"/>
      <x:c r="F89" s="28"/>
      <x:c r="G89" s="28"/>
      <x:c r="H89" s="28"/>
      <x:c r="I89" s="28"/>
    </x:row>
    <x:row r="90">
      <x:c r="A90" s="61"/>
      <x:c r="C90" s="28"/>
      <x:c r="D90" s="28"/>
      <x:c r="E90" s="28"/>
      <x:c r="F90" s="28"/>
      <x:c r="G90" s="28"/>
      <x:c r="H90" s="28"/>
      <x:c r="I90" s="28"/>
    </x:row>
    <x:row r="91">
      <x:c r="A91" s="61"/>
      <x:c r="C91" s="28"/>
      <x:c r="D91" s="28"/>
      <x:c r="E91" s="28"/>
      <x:c r="F91" s="28"/>
      <x:c r="G91" s="28"/>
      <x:c r="H91" s="28"/>
      <x:c r="I91" s="28"/>
    </x:row>
    <x:row r="92">
      <x:c r="A92" s="61"/>
      <x:c r="C92" s="28"/>
      <x:c r="D92" s="28"/>
      <x:c r="E92" s="28"/>
      <x:c r="F92" s="28"/>
      <x:c r="G92" s="28"/>
      <x:c r="H92" s="28"/>
      <x:c r="I92" s="28"/>
    </x:row>
    <x:row r="93">
      <x:c r="A93" s="61"/>
      <x:c r="C93" s="28"/>
      <x:c r="D93" s="28"/>
      <x:c r="E93" s="28"/>
      <x:c r="F93" s="28"/>
      <x:c r="G93" s="28"/>
      <x:c r="H93" s="28"/>
      <x:c r="I93" s="28"/>
    </x:row>
    <x:row r="94">
      <x:c r="A94" s="61"/>
      <x:c r="C94" s="28"/>
      <x:c r="D94" s="28"/>
      <x:c r="E94" s="28"/>
      <x:c r="F94" s="28"/>
      <x:c r="G94" s="28"/>
      <x:c r="H94" s="28"/>
      <x:c r="I94" s="28"/>
    </x:row>
    <x:row r="95">
      <x:c r="A95" s="61"/>
      <x:c r="C95" s="28"/>
      <x:c r="D95" s="28"/>
      <x:c r="E95" s="28"/>
      <x:c r="F95" s="28"/>
      <x:c r="G95" s="28"/>
      <x:c r="H95" s="28"/>
      <x:c r="I95" s="28"/>
    </x:row>
    <x:row r="96">
      <x:c r="A96" s="61"/>
      <x:c r="C96" s="28"/>
      <x:c r="D96" s="28"/>
      <x:c r="E96" s="28"/>
      <x:c r="F96" s="28"/>
      <x:c r="G96" s="28"/>
      <x:c r="H96" s="28"/>
      <x:c r="I96" s="28"/>
    </x:row>
    <x:row r="97">
      <x:c r="A97" s="61"/>
      <x:c r="C97" s="28"/>
      <x:c r="D97" s="28"/>
      <x:c r="E97" s="28"/>
      <x:c r="F97" s="28"/>
      <x:c r="G97" s="28"/>
      <x:c r="H97" s="28"/>
      <x:c r="I97" s="28"/>
    </x:row>
    <x:row r="98">
      <x:c r="A98" s="61"/>
      <x:c r="C98" s="28"/>
      <x:c r="D98" s="28"/>
      <x:c r="E98" s="28"/>
      <x:c r="F98" s="28"/>
      <x:c r="G98" s="28"/>
      <x:c r="H98" s="28"/>
      <x:c r="I98" s="28"/>
    </x:row>
    <x:row r="99">
      <x:c r="A99" s="61"/>
      <x:c r="C99" s="28"/>
      <x:c r="D99" s="28"/>
      <x:c r="E99" s="28"/>
      <x:c r="F99" s="28"/>
      <x:c r="G99" s="28"/>
      <x:c r="H99" s="28"/>
      <x:c r="I99" s="28"/>
    </x:row>
    <x:row r="100">
      <x:c r="A100" s="61"/>
      <x:c r="C100" s="28"/>
      <x:c r="D100" s="28"/>
      <x:c r="E100" s="28"/>
      <x:c r="F100" s="28"/>
      <x:c r="G100" s="28"/>
      <x:c r="H100" s="28"/>
      <x:c r="I100" s="28"/>
    </x:row>
    <x:row r="101">
      <x:c r="A101" s="61"/>
      <x:c r="C101" s="28"/>
      <x:c r="D101" s="28"/>
      <x:c r="E101" s="28"/>
      <x:c r="F101" s="28"/>
      <x:c r="G101" s="28"/>
      <x:c r="H101" s="28"/>
      <x:c r="I101" s="28"/>
    </x:row>
    <x:row r="102">
      <x:c r="A102" s="61"/>
      <x:c r="C102" s="28"/>
      <x:c r="D102" s="28"/>
      <x:c r="E102" s="28"/>
      <x:c r="F102" s="28"/>
      <x:c r="G102" s="28"/>
      <x:c r="H102" s="28"/>
      <x:c r="I102" s="28"/>
    </x:row>
    <x:row r="103">
      <x:c r="A103" s="61"/>
      <x:c r="C103" s="28"/>
      <x:c r="D103" s="28"/>
      <x:c r="E103" s="28"/>
      <x:c r="F103" s="28"/>
      <x:c r="G103" s="28"/>
      <x:c r="H103" s="28"/>
      <x:c r="I103" s="28"/>
    </x:row>
    <x:row r="104">
      <x:c r="A104" s="61"/>
      <x:c r="C104" s="28"/>
      <x:c r="D104" s="28"/>
      <x:c r="E104" s="28"/>
      <x:c r="F104" s="28"/>
      <x:c r="G104" s="28"/>
      <x:c r="H104" s="28"/>
      <x:c r="I104" s="28"/>
    </x:row>
    <x:row r="105">
      <x:c r="A105" s="61"/>
      <x:c r="C105" s="28"/>
      <x:c r="D105" s="28"/>
      <x:c r="E105" s="28"/>
      <x:c r="F105" s="28"/>
      <x:c r="G105" s="28"/>
      <x:c r="H105" s="28"/>
      <x:c r="I105" s="28"/>
    </x:row>
    <x:row r="106">
      <x:c r="A106" s="61"/>
      <x:c r="C106" s="28"/>
      <x:c r="D106" s="28"/>
      <x:c r="E106" s="28"/>
      <x:c r="F106" s="28"/>
      <x:c r="G106" s="28"/>
      <x:c r="H106" s="28"/>
      <x:c r="I106" s="28"/>
    </x:row>
    <x:row r="107">
      <x:c r="A107" s="61"/>
      <x:c r="C107" s="28"/>
      <x:c r="D107" s="28"/>
      <x:c r="E107" s="28"/>
      <x:c r="F107" s="28"/>
      <x:c r="G107" s="28"/>
      <x:c r="H107" s="28"/>
      <x:c r="I107" s="28"/>
    </x:row>
    <x:row r="108">
      <x:c r="A108" s="61"/>
      <x:c r="C108" s="28"/>
      <x:c r="D108" s="28"/>
      <x:c r="E108" s="28"/>
      <x:c r="F108" s="28"/>
      <x:c r="G108" s="28"/>
      <x:c r="H108" s="28"/>
      <x:c r="I108" s="28"/>
    </x:row>
    <x:row r="109">
      <x:c r="A109" s="61"/>
      <x:c r="C109" s="28"/>
      <x:c r="D109" s="28"/>
      <x:c r="E109" s="28"/>
      <x:c r="F109" s="28"/>
      <x:c r="G109" s="28"/>
      <x:c r="H109" s="28"/>
      <x:c r="I109" s="28"/>
    </x:row>
    <x:row r="110">
      <x:c r="A110" s="61"/>
      <x:c r="C110" s="28"/>
      <x:c r="D110" s="28"/>
      <x:c r="E110" s="28"/>
      <x:c r="F110" s="28"/>
      <x:c r="G110" s="28"/>
      <x:c r="H110" s="28"/>
      <x:c r="I110" s="28"/>
    </x:row>
    <x:row r="111">
      <x:c r="A111" s="61"/>
      <x:c r="C111" s="28"/>
      <x:c r="D111" s="28"/>
      <x:c r="E111" s="28"/>
      <x:c r="F111" s="28"/>
      <x:c r="G111" s="28"/>
      <x:c r="H111" s="28"/>
      <x:c r="I111" s="28"/>
    </x:row>
    <x:row r="112">
      <x:c r="A112" s="61"/>
      <x:c r="C112" s="28"/>
      <x:c r="D112" s="28"/>
      <x:c r="E112" s="28"/>
      <x:c r="F112" s="28"/>
      <x:c r="G112" s="28"/>
      <x:c r="H112" s="28"/>
      <x:c r="I112" s="28"/>
    </x:row>
    <x:row r="113">
      <x:c r="A113" s="61"/>
      <x:c r="C113" s="28"/>
      <x:c r="D113" s="28"/>
      <x:c r="E113" s="28"/>
      <x:c r="F113" s="28"/>
      <x:c r="G113" s="28"/>
      <x:c r="H113" s="28"/>
      <x:c r="I113" s="28"/>
    </x:row>
    <x:row r="114">
      <x:c r="A114" s="61"/>
      <x:c r="C114" s="28"/>
      <x:c r="D114" s="28"/>
      <x:c r="E114" s="28"/>
      <x:c r="F114" s="28"/>
      <x:c r="G114" s="28"/>
      <x:c r="H114" s="28"/>
      <x:c r="I114" s="28"/>
    </x:row>
    <x:row r="115">
      <x:c r="A115" s="61"/>
      <x:c r="C115" s="28"/>
      <x:c r="D115" s="28"/>
      <x:c r="E115" s="28"/>
      <x:c r="F115" s="28"/>
      <x:c r="G115" s="28"/>
      <x:c r="H115" s="28"/>
      <x:c r="I115" s="28"/>
    </x:row>
    <x:row r="116">
      <x:c r="A116" s="61"/>
      <x:c r="C116" s="28"/>
      <x:c r="D116" s="28"/>
      <x:c r="E116" s="28"/>
      <x:c r="F116" s="28"/>
      <x:c r="G116" s="28"/>
      <x:c r="H116" s="28"/>
      <x:c r="I116" s="28"/>
    </x:row>
    <x:row r="117">
      <x:c r="A117" s="61"/>
      <x:c r="C117" s="28"/>
      <x:c r="D117" s="28"/>
      <x:c r="E117" s="28"/>
      <x:c r="F117" s="28"/>
      <x:c r="G117" s="28"/>
      <x:c r="H117" s="28"/>
      <x:c r="I117" s="28"/>
    </x:row>
    <x:row r="118">
      <x:c r="A118" s="61"/>
      <x:c r="C118" s="28"/>
      <x:c r="D118" s="28"/>
      <x:c r="E118" s="28"/>
      <x:c r="F118" s="28"/>
      <x:c r="G118" s="28"/>
      <x:c r="H118" s="28"/>
      <x:c r="I118" s="28"/>
    </x:row>
    <x:row r="119">
      <x:c r="A119" s="61"/>
      <x:c r="C119" s="28"/>
      <x:c r="D119" s="28"/>
      <x:c r="E119" s="28"/>
      <x:c r="F119" s="28"/>
      <x:c r="G119" s="28"/>
      <x:c r="H119" s="28"/>
      <x:c r="I119" s="28"/>
    </x:row>
    <x:row r="120">
      <x:c r="A120" s="61"/>
      <x:c r="C120" s="28"/>
      <x:c r="D120" s="28"/>
      <x:c r="E120" s="28"/>
      <x:c r="F120" s="28"/>
      <x:c r="G120" s="28"/>
      <x:c r="H120" s="28"/>
      <x:c r="I120" s="28"/>
    </x:row>
    <x:row r="121">
      <x:c r="A121" s="61"/>
      <x:c r="C121" s="28"/>
      <x:c r="D121" s="28"/>
      <x:c r="E121" s="28"/>
      <x:c r="F121" s="28"/>
      <x:c r="G121" s="28"/>
      <x:c r="H121" s="28"/>
      <x:c r="I121" s="28"/>
    </x:row>
    <x:row r="122">
      <x:c r="A122" s="61"/>
      <x:c r="C122" s="28"/>
      <x:c r="D122" s="28"/>
      <x:c r="E122" s="28"/>
      <x:c r="F122" s="28"/>
      <x:c r="G122" s="28"/>
      <x:c r="H122" s="28"/>
      <x:c r="I122" s="28"/>
    </x:row>
    <x:row r="123">
      <x:c r="A123" s="61"/>
      <x:c r="C123" s="28"/>
      <x:c r="D123" s="28"/>
      <x:c r="E123" s="28"/>
      <x:c r="F123" s="28"/>
      <x:c r="G123" s="28"/>
      <x:c r="H123" s="28"/>
      <x:c r="I123" s="28"/>
    </x:row>
    <x:row r="124">
      <x:c r="A124" s="61"/>
      <x:c r="C124" s="28"/>
      <x:c r="D124" s="28"/>
      <x:c r="E124" s="28"/>
      <x:c r="F124" s="28"/>
      <x:c r="G124" s="28"/>
      <x:c r="H124" s="28"/>
      <x:c r="I124" s="28"/>
    </x:row>
    <x:row r="125">
      <x:c r="A125" s="61"/>
      <x:c r="C125" s="28"/>
      <x:c r="D125" s="28"/>
      <x:c r="E125" s="28"/>
      <x:c r="F125" s="28"/>
      <x:c r="G125" s="28"/>
      <x:c r="H125" s="28"/>
      <x:c r="I125" s="28"/>
    </x:row>
    <x:row r="126">
      <x:c r="A126" s="61"/>
      <x:c r="C126" s="28"/>
      <x:c r="D126" s="28"/>
      <x:c r="E126" s="28"/>
      <x:c r="F126" s="28"/>
      <x:c r="G126" s="28"/>
      <x:c r="H126" s="28"/>
      <x:c r="I126" s="28"/>
    </x:row>
    <x:row r="127">
      <x:c r="A127" s="61"/>
      <x:c r="C127" s="28"/>
      <x:c r="D127" s="28"/>
      <x:c r="E127" s="28"/>
      <x:c r="F127" s="28"/>
      <x:c r="G127" s="28"/>
      <x:c r="H127" s="28"/>
      <x:c r="I127" s="28"/>
    </x:row>
    <x:row r="128">
      <x:c r="A128" s="61"/>
      <x:c r="C128" s="28"/>
      <x:c r="D128" s="28"/>
      <x:c r="E128" s="28"/>
      <x:c r="F128" s="28"/>
      <x:c r="G128" s="28"/>
      <x:c r="H128" s="28"/>
      <x:c r="I128" s="28"/>
    </x:row>
    <x:row r="129">
      <x:c r="A129" s="61"/>
      <x:c r="C129" s="28"/>
      <x:c r="D129" s="28"/>
      <x:c r="E129" s="28"/>
      <x:c r="F129" s="28"/>
      <x:c r="G129" s="28"/>
      <x:c r="H129" s="28"/>
      <x:c r="I129" s="28"/>
    </x:row>
    <x:row r="130">
      <x:c r="A130" s="61"/>
      <x:c r="C130" s="28"/>
      <x:c r="D130" s="28"/>
      <x:c r="E130" s="28"/>
      <x:c r="F130" s="28"/>
      <x:c r="G130" s="28"/>
      <x:c r="H130" s="28"/>
      <x:c r="I130" s="28"/>
    </x:row>
    <x:row r="131">
      <x:c r="A131" s="61"/>
      <x:c r="C131" s="28"/>
      <x:c r="D131" s="28"/>
      <x:c r="E131" s="28"/>
      <x:c r="F131" s="28"/>
      <x:c r="G131" s="28"/>
      <x:c r="H131" s="28"/>
      <x:c r="I131" s="28"/>
    </x:row>
    <x:row r="132">
      <x:c r="A132" s="61"/>
      <x:c r="C132" s="28"/>
      <x:c r="D132" s="28"/>
      <x:c r="E132" s="28"/>
      <x:c r="F132" s="28"/>
      <x:c r="G132" s="28"/>
      <x:c r="H132" s="28"/>
      <x:c r="I132" s="28"/>
    </x:row>
    <x:row r="133">
      <x:c r="A133" s="61"/>
      <x:c r="C133" s="28"/>
      <x:c r="D133" s="28"/>
      <x:c r="E133" s="28"/>
      <x:c r="F133" s="28"/>
      <x:c r="G133" s="28"/>
      <x:c r="H133" s="28"/>
      <x:c r="I133" s="28"/>
    </x:row>
    <x:row r="134">
      <x:c r="A134" s="61"/>
      <x:c r="C134" s="28"/>
      <x:c r="D134" s="28"/>
      <x:c r="E134" s="28"/>
      <x:c r="F134" s="28"/>
      <x:c r="G134" s="28"/>
      <x:c r="H134" s="28"/>
      <x:c r="I134" s="28"/>
    </x:row>
    <x:row r="135">
      <x:c r="A135" s="61"/>
      <x:c r="C135" s="28"/>
      <x:c r="D135" s="28"/>
      <x:c r="E135" s="28"/>
      <x:c r="F135" s="28"/>
      <x:c r="G135" s="28"/>
      <x:c r="H135" s="28"/>
      <x:c r="I135" s="28"/>
    </x:row>
    <x:row r="136">
      <x:c r="A136" s="61"/>
      <x:c r="C136" s="28"/>
      <x:c r="D136" s="28"/>
      <x:c r="E136" s="28"/>
      <x:c r="F136" s="28"/>
      <x:c r="G136" s="28"/>
      <x:c r="H136" s="28"/>
      <x:c r="I136" s="28"/>
    </x:row>
    <x:row r="137">
      <x:c r="A137" s="61"/>
      <x:c r="C137" s="28"/>
      <x:c r="D137" s="28"/>
      <x:c r="E137" s="28"/>
      <x:c r="F137" s="28"/>
      <x:c r="G137" s="28"/>
      <x:c r="H137" s="28"/>
      <x:c r="I137" s="28"/>
    </x:row>
    <x:row r="138">
      <x:c r="A138" s="61"/>
      <x:c r="C138" s="28"/>
      <x:c r="D138" s="28"/>
      <x:c r="E138" s="28"/>
      <x:c r="F138" s="28"/>
      <x:c r="G138" s="28"/>
      <x:c r="H138" s="28"/>
      <x:c r="I138" s="28"/>
    </x:row>
    <x:row r="139">
      <x:c r="A139" s="61"/>
      <x:c r="C139" s="28"/>
      <x:c r="D139" s="28"/>
      <x:c r="E139" s="28"/>
      <x:c r="F139" s="28"/>
      <x:c r="G139" s="28"/>
      <x:c r="H139" s="28"/>
      <x:c r="I139" s="28"/>
    </x:row>
    <x:row r="140">
      <x:c r="A140" s="61"/>
      <x:c r="C140" s="28"/>
      <x:c r="D140" s="28"/>
      <x:c r="E140" s="28"/>
      <x:c r="F140" s="28"/>
      <x:c r="G140" s="28"/>
      <x:c r="H140" s="28"/>
      <x:c r="I140" s="28"/>
    </x:row>
    <x:row r="141">
      <x:c r="A141" s="61"/>
      <x:c r="C141" s="28"/>
      <x:c r="D141" s="28"/>
      <x:c r="E141" s="28"/>
      <x:c r="F141" s="28"/>
      <x:c r="G141" s="28"/>
      <x:c r="H141" s="28"/>
      <x:c r="I141" s="28"/>
    </x:row>
    <x:row r="142">
      <x:c r="A142" s="61"/>
      <x:c r="C142" s="28"/>
      <x:c r="D142" s="28"/>
      <x:c r="E142" s="28"/>
      <x:c r="F142" s="28"/>
      <x:c r="G142" s="28"/>
      <x:c r="H142" s="28"/>
      <x:c r="I142" s="28"/>
    </x:row>
    <x:row r="143">
      <x:c r="A143" s="61"/>
      <x:c r="C143" s="28"/>
      <x:c r="D143" s="28"/>
      <x:c r="E143" s="28"/>
      <x:c r="F143" s="28"/>
      <x:c r="G143" s="28"/>
      <x:c r="H143" s="28"/>
      <x:c r="I143" s="28"/>
    </x:row>
    <x:row r="144">
      <x:c r="A144" s="61"/>
      <x:c r="C144" s="28"/>
      <x:c r="D144" s="28"/>
      <x:c r="E144" s="28"/>
      <x:c r="F144" s="28"/>
      <x:c r="G144" s="28"/>
      <x:c r="H144" s="28"/>
      <x:c r="I144" s="28"/>
    </x:row>
    <x:row r="145">
      <x:c r="A145" s="61"/>
      <x:c r="C145" s="28"/>
      <x:c r="D145" s="28"/>
      <x:c r="E145" s="28"/>
      <x:c r="F145" s="28"/>
      <x:c r="G145" s="28"/>
      <x:c r="H145" s="28"/>
      <x:c r="I145" s="28"/>
    </x:row>
    <x:row r="146">
      <x:c r="A146" s="61"/>
      <x:c r="C146" s="28"/>
      <x:c r="D146" s="28"/>
      <x:c r="E146" s="28"/>
      <x:c r="F146" s="28"/>
      <x:c r="G146" s="28"/>
      <x:c r="H146" s="28"/>
      <x:c r="I146" s="28"/>
    </x:row>
    <x:row r="147">
      <x:c r="A147" s="61"/>
      <x:c r="C147" s="28"/>
      <x:c r="D147" s="28"/>
      <x:c r="E147" s="28"/>
      <x:c r="F147" s="28"/>
      <x:c r="G147" s="28"/>
      <x:c r="H147" s="28"/>
      <x:c r="I147" s="28"/>
    </x:row>
    <x:row r="148">
      <x:c r="A148" s="61"/>
      <x:c r="C148" s="28"/>
      <x:c r="D148" s="28"/>
      <x:c r="E148" s="28"/>
      <x:c r="F148" s="28"/>
      <x:c r="G148" s="28"/>
      <x:c r="H148" s="28"/>
      <x:c r="I148" s="28"/>
    </x:row>
    <x:row r="149">
      <x:c r="A149" s="61"/>
      <x:c r="C149" s="28"/>
      <x:c r="D149" s="28"/>
      <x:c r="E149" s="28"/>
      <x:c r="F149" s="28"/>
      <x:c r="G149" s="28"/>
      <x:c r="H149" s="28"/>
      <x:c r="I149" s="28"/>
    </x:row>
    <x:row r="150">
      <x:c r="A150" s="61"/>
      <x:c r="C150" s="28"/>
      <x:c r="D150" s="28"/>
      <x:c r="E150" s="28"/>
      <x:c r="F150" s="28"/>
      <x:c r="G150" s="28"/>
      <x:c r="H150" s="28"/>
      <x:c r="I150" s="28"/>
    </x:row>
    <x:row r="151">
      <x:c r="A151" s="61"/>
      <x:c r="C151" s="28"/>
      <x:c r="D151" s="28"/>
      <x:c r="E151" s="28"/>
      <x:c r="F151" s="28"/>
      <x:c r="G151" s="28"/>
      <x:c r="H151" s="28"/>
      <x:c r="I151" s="28"/>
    </x:row>
    <x:row r="152">
      <x:c r="A152" s="61"/>
      <x:c r="C152" s="28"/>
      <x:c r="D152" s="28"/>
      <x:c r="E152" s="28"/>
      <x:c r="F152" s="28"/>
      <x:c r="G152" s="28"/>
      <x:c r="H152" s="28"/>
      <x:c r="I152" s="28"/>
    </x:row>
    <x:row r="153">
      <x:c r="A153" s="61"/>
      <x:c r="C153" s="28"/>
      <x:c r="D153" s="28"/>
      <x:c r="E153" s="28"/>
      <x:c r="F153" s="28"/>
      <x:c r="G153" s="28"/>
      <x:c r="H153" s="28"/>
      <x:c r="I153" s="28"/>
    </x:row>
    <x:row r="154">
      <x:c r="A154" s="61"/>
      <x:c r="C154" s="28"/>
      <x:c r="D154" s="28"/>
      <x:c r="E154" s="28"/>
      <x:c r="F154" s="28"/>
      <x:c r="G154" s="28"/>
      <x:c r="H154" s="28"/>
      <x:c r="I154" s="28"/>
    </x:row>
    <x:row r="155">
      <x:c r="A155" s="61"/>
      <x:c r="C155" s="28"/>
      <x:c r="D155" s="28"/>
      <x:c r="E155" s="28"/>
      <x:c r="F155" s="28"/>
      <x:c r="G155" s="28"/>
      <x:c r="H155" s="28"/>
      <x:c r="I155" s="28"/>
    </x:row>
    <x:row r="156">
      <x:c r="A156" s="61"/>
      <x:c r="C156" s="28"/>
      <x:c r="D156" s="28"/>
      <x:c r="E156" s="28"/>
      <x:c r="F156" s="28"/>
      <x:c r="G156" s="28"/>
      <x:c r="H156" s="28"/>
      <x:c r="I156" s="28"/>
    </x:row>
    <x:row r="157">
      <x:c r="A157" s="61"/>
      <x:c r="C157" s="28"/>
      <x:c r="D157" s="28"/>
      <x:c r="E157" s="28"/>
      <x:c r="F157" s="28"/>
      <x:c r="G157" s="28"/>
      <x:c r="H157" s="28"/>
      <x:c r="I157" s="28"/>
    </x:row>
    <x:row r="158">
      <x:c r="A158" s="61"/>
      <x:c r="C158" s="28"/>
      <x:c r="D158" s="28"/>
      <x:c r="E158" s="28"/>
      <x:c r="F158" s="28"/>
      <x:c r="G158" s="28"/>
      <x:c r="H158" s="28"/>
      <x:c r="I158" s="28"/>
    </x:row>
    <x:row r="159">
      <x:c r="A159" s="61"/>
      <x:c r="C159" s="28"/>
      <x:c r="D159" s="28"/>
      <x:c r="E159" s="28"/>
      <x:c r="F159" s="28"/>
      <x:c r="G159" s="28"/>
      <x:c r="H159" s="28"/>
      <x:c r="I159" s="28"/>
    </x:row>
    <x:row r="160">
      <x:c r="A160" s="61"/>
      <x:c r="C160" s="28"/>
      <x:c r="D160" s="28"/>
      <x:c r="E160" s="28"/>
      <x:c r="F160" s="28"/>
      <x:c r="G160" s="28"/>
      <x:c r="H160" s="28"/>
      <x:c r="I160" s="28"/>
    </x:row>
    <x:row r="161">
      <x:c r="A161" s="61"/>
      <x:c r="C161" s="28"/>
      <x:c r="D161" s="28"/>
      <x:c r="E161" s="28"/>
      <x:c r="F161" s="28"/>
      <x:c r="G161" s="28"/>
      <x:c r="H161" s="28"/>
      <x:c r="I161" s="28"/>
    </x:row>
    <x:row r="162">
      <x:c r="A162" s="61"/>
      <x:c r="C162" s="28"/>
      <x:c r="D162" s="28"/>
      <x:c r="E162" s="28"/>
      <x:c r="F162" s="28"/>
      <x:c r="G162" s="28"/>
      <x:c r="H162" s="28"/>
      <x:c r="I162" s="28"/>
    </x:row>
    <x:row r="163">
      <x:c r="A163" s="61"/>
      <x:c r="C163" s="28"/>
      <x:c r="D163" s="28"/>
      <x:c r="E163" s="28"/>
      <x:c r="F163" s="28"/>
      <x:c r="G163" s="28"/>
      <x:c r="H163" s="28"/>
      <x:c r="I163" s="28"/>
    </x:row>
    <x:row r="164">
      <x:c r="A164" s="61"/>
      <x:c r="C164" s="28"/>
      <x:c r="D164" s="28"/>
      <x:c r="E164" s="28"/>
      <x:c r="F164" s="28"/>
      <x:c r="G164" s="28"/>
      <x:c r="H164" s="28"/>
      <x:c r="I164" s="28"/>
    </x:row>
    <x:row r="165">
      <x:c r="A165" s="61"/>
      <x:c r="C165" s="28"/>
      <x:c r="D165" s="28"/>
      <x:c r="E165" s="28"/>
      <x:c r="F165" s="28"/>
      <x:c r="G165" s="28"/>
      <x:c r="H165" s="28"/>
      <x:c r="I165" s="28"/>
    </x:row>
    <x:row r="166">
      <x:c r="A166" s="61"/>
      <x:c r="C166" s="28"/>
      <x:c r="D166" s="28"/>
      <x:c r="E166" s="28"/>
      <x:c r="F166" s="28"/>
      <x:c r="G166" s="28"/>
      <x:c r="H166" s="28"/>
      <x:c r="I166" s="28"/>
    </x:row>
    <x:row r="167">
      <x:c r="A167" s="61"/>
      <x:c r="C167" s="28"/>
      <x:c r="D167" s="28"/>
      <x:c r="E167" s="28"/>
      <x:c r="F167" s="28"/>
      <x:c r="G167" s="28"/>
      <x:c r="H167" s="28"/>
      <x:c r="I167" s="28"/>
    </x:row>
    <x:row r="168">
      <x:c r="A168" s="61"/>
      <x:c r="C168" s="28"/>
      <x:c r="D168" s="28"/>
      <x:c r="E168" s="28"/>
      <x:c r="F168" s="28"/>
      <x:c r="G168" s="28"/>
      <x:c r="H168" s="28"/>
      <x:c r="I168" s="28"/>
    </x:row>
    <x:row r="169">
      <x:c r="A169" s="61"/>
      <x:c r="C169" s="28"/>
      <x:c r="D169" s="28"/>
      <x:c r="E169" s="28"/>
      <x:c r="F169" s="28"/>
      <x:c r="G169" s="28"/>
      <x:c r="H169" s="28"/>
      <x:c r="I169" s="28"/>
    </x:row>
    <x:row r="170">
      <x:c r="A170" s="61"/>
      <x:c r="C170" s="28"/>
      <x:c r="D170" s="28"/>
      <x:c r="E170" s="28"/>
      <x:c r="F170" s="28"/>
      <x:c r="G170" s="28"/>
      <x:c r="H170" s="28"/>
      <x:c r="I170" s="28"/>
    </x:row>
    <x:row r="171">
      <x:c r="A171" s="61"/>
      <x:c r="C171" s="28"/>
      <x:c r="D171" s="28"/>
      <x:c r="E171" s="28"/>
      <x:c r="F171" s="28"/>
      <x:c r="G171" s="28"/>
      <x:c r="H171" s="28"/>
      <x:c r="I171" s="28"/>
    </x:row>
    <x:row r="172">
      <x:c r="A172" s="61"/>
      <x:c r="C172" s="28"/>
      <x:c r="D172" s="28"/>
      <x:c r="E172" s="28"/>
      <x:c r="F172" s="28"/>
      <x:c r="G172" s="28"/>
      <x:c r="H172" s="28"/>
      <x:c r="I172" s="28"/>
    </x:row>
    <x:row r="173">
      <x:c r="A173" s="61"/>
      <x:c r="C173" s="28"/>
      <x:c r="D173" s="28"/>
      <x:c r="E173" s="28"/>
      <x:c r="F173" s="28"/>
      <x:c r="G173" s="28"/>
      <x:c r="H173" s="28"/>
      <x:c r="I173" s="28"/>
    </x:row>
    <x:row r="174">
      <x:c r="A174" s="61"/>
      <x:c r="C174" s="28"/>
      <x:c r="D174" s="28"/>
      <x:c r="E174" s="28"/>
      <x:c r="F174" s="28"/>
      <x:c r="G174" s="28"/>
      <x:c r="H174" s="28"/>
      <x:c r="I174" s="28"/>
    </x:row>
    <x:row r="175">
      <x:c r="A175" s="61"/>
      <x:c r="C175" s="28"/>
      <x:c r="D175" s="28"/>
      <x:c r="E175" s="28"/>
      <x:c r="F175" s="28"/>
      <x:c r="G175" s="28"/>
      <x:c r="H175" s="28"/>
      <x:c r="I175" s="28"/>
    </x:row>
    <x:row r="176">
      <x:c r="A176" s="61"/>
      <x:c r="C176" s="28"/>
      <x:c r="D176" s="28"/>
      <x:c r="E176" s="28"/>
      <x:c r="F176" s="28"/>
      <x:c r="G176" s="28"/>
      <x:c r="H176" s="28"/>
      <x:c r="I176" s="28"/>
    </x:row>
    <x:row r="177">
      <x:c r="A177" s="61"/>
      <x:c r="C177" s="28"/>
      <x:c r="D177" s="28"/>
      <x:c r="E177" s="28"/>
      <x:c r="F177" s="28"/>
      <x:c r="G177" s="28"/>
      <x:c r="H177" s="28"/>
      <x:c r="I177" s="28"/>
    </x:row>
    <x:row r="178">
      <x:c r="A178" s="61"/>
      <x:c r="C178" s="28"/>
      <x:c r="D178" s="28"/>
      <x:c r="E178" s="28"/>
      <x:c r="F178" s="28"/>
      <x:c r="G178" s="28"/>
      <x:c r="H178" s="28"/>
      <x:c r="I178" s="28"/>
    </x:row>
    <x:row r="179">
      <x:c r="A179" s="61"/>
      <x:c r="C179" s="28"/>
      <x:c r="D179" s="28"/>
      <x:c r="E179" s="28"/>
      <x:c r="F179" s="28"/>
      <x:c r="G179" s="28"/>
      <x:c r="H179" s="28"/>
      <x:c r="I179" s="28"/>
    </x:row>
    <x:row r="180">
      <x:c r="A180" s="61"/>
      <x:c r="C180" s="28"/>
      <x:c r="D180" s="28"/>
      <x:c r="E180" s="28"/>
      <x:c r="F180" s="28"/>
      <x:c r="G180" s="28"/>
      <x:c r="H180" s="28"/>
      <x:c r="I180" s="28"/>
    </x:row>
    <x:row r="181">
      <x:c r="A181" s="61"/>
      <x:c r="C181" s="28"/>
      <x:c r="D181" s="28"/>
      <x:c r="E181" s="28"/>
      <x:c r="F181" s="28"/>
      <x:c r="G181" s="28"/>
      <x:c r="H181" s="28"/>
      <x:c r="I181" s="28"/>
    </x:row>
    <x:row r="182">
      <x:c r="A182" s="61"/>
      <x:c r="C182" s="28"/>
      <x:c r="D182" s="28"/>
      <x:c r="E182" s="28"/>
      <x:c r="F182" s="28"/>
      <x:c r="G182" s="28"/>
      <x:c r="H182" s="28"/>
      <x:c r="I182" s="28"/>
    </x:row>
    <x:row r="183">
      <x:c r="A183" s="61"/>
      <x:c r="C183" s="28"/>
      <x:c r="D183" s="28"/>
      <x:c r="E183" s="28"/>
      <x:c r="F183" s="28"/>
      <x:c r="G183" s="28"/>
      <x:c r="H183" s="28"/>
      <x:c r="I183" s="28"/>
    </x:row>
    <x:row r="184">
      <x:c r="A184" s="61"/>
      <x:c r="C184" s="28"/>
      <x:c r="D184" s="28"/>
      <x:c r="E184" s="28"/>
      <x:c r="F184" s="28"/>
      <x:c r="G184" s="28"/>
      <x:c r="H184" s="28"/>
      <x:c r="I184" s="28"/>
    </x:row>
    <x:row r="185">
      <x:c r="A185" s="61"/>
      <x:c r="C185" s="28"/>
      <x:c r="D185" s="28"/>
      <x:c r="E185" s="28"/>
      <x:c r="F185" s="28"/>
      <x:c r="G185" s="28"/>
      <x:c r="H185" s="28"/>
      <x:c r="I185" s="28"/>
    </x:row>
    <x:row r="186">
      <x:c r="A186" s="61"/>
      <x:c r="C186" s="28"/>
      <x:c r="D186" s="28"/>
      <x:c r="E186" s="28"/>
      <x:c r="F186" s="28"/>
      <x:c r="G186" s="28"/>
      <x:c r="H186" s="28"/>
      <x:c r="I186" s="28"/>
    </x:row>
    <x:row r="187">
      <x:c r="A187" s="61"/>
      <x:c r="C187" s="28"/>
      <x:c r="D187" s="28"/>
      <x:c r="E187" s="28"/>
      <x:c r="F187" s="28"/>
      <x:c r="G187" s="28"/>
      <x:c r="H187" s="28"/>
      <x:c r="I187" s="28"/>
    </x:row>
    <x:row r="188">
      <x:c r="A188" s="61"/>
      <x:c r="C188" s="28"/>
      <x:c r="D188" s="28"/>
      <x:c r="E188" s="28"/>
      <x:c r="F188" s="28"/>
      <x:c r="G188" s="28"/>
      <x:c r="H188" s="28"/>
      <x:c r="I188" s="28"/>
    </x:row>
    <x:row r="189">
      <x:c r="A189" s="61"/>
      <x:c r="C189" s="28"/>
      <x:c r="D189" s="28"/>
      <x:c r="E189" s="28"/>
      <x:c r="F189" s="28"/>
      <x:c r="G189" s="28"/>
      <x:c r="H189" s="28"/>
      <x:c r="I189" s="28"/>
    </x:row>
    <x:row r="190">
      <x:c r="A190" s="61"/>
      <x:c r="C190" s="28"/>
      <x:c r="D190" s="28"/>
      <x:c r="E190" s="28"/>
      <x:c r="F190" s="28"/>
      <x:c r="G190" s="28"/>
      <x:c r="H190" s="28"/>
      <x:c r="I190" s="28"/>
    </x:row>
    <x:row r="191">
      <x:c r="A191" s="61"/>
      <x:c r="C191" s="28"/>
      <x:c r="D191" s="28"/>
      <x:c r="E191" s="28"/>
      <x:c r="F191" s="28"/>
      <x:c r="G191" s="28"/>
      <x:c r="H191" s="28"/>
      <x:c r="I191" s="28"/>
    </x:row>
    <x:row r="192">
      <x:c r="A192" s="61"/>
      <x:c r="C192" s="28"/>
      <x:c r="D192" s="28"/>
      <x:c r="E192" s="28"/>
      <x:c r="F192" s="28"/>
      <x:c r="G192" s="28"/>
      <x:c r="H192" s="28"/>
      <x:c r="I192" s="28"/>
    </x:row>
    <x:row r="193">
      <x:c r="A193" s="61"/>
      <x:c r="C193" s="28"/>
      <x:c r="D193" s="28"/>
      <x:c r="E193" s="28"/>
      <x:c r="F193" s="28"/>
      <x:c r="G193" s="28"/>
      <x:c r="H193" s="28"/>
      <x:c r="I193" s="28"/>
    </x:row>
    <x:row r="194">
      <x:c r="A194" s="61"/>
      <x:c r="C194" s="28"/>
      <x:c r="D194" s="28"/>
      <x:c r="E194" s="28"/>
      <x:c r="F194" s="28"/>
      <x:c r="G194" s="28"/>
      <x:c r="H194" s="28"/>
      <x:c r="I194" s="28"/>
    </x:row>
    <x:row r="195">
      <x:c r="A195" s="61"/>
      <x:c r="C195" s="28"/>
      <x:c r="D195" s="28"/>
      <x:c r="E195" s="28"/>
      <x:c r="F195" s="28"/>
      <x:c r="G195" s="28"/>
      <x:c r="H195" s="28"/>
      <x:c r="I195" s="28"/>
    </x:row>
    <x:row r="196">
      <x:c r="A196" s="61"/>
      <x:c r="C196" s="28"/>
      <x:c r="D196" s="28"/>
      <x:c r="E196" s="28"/>
      <x:c r="F196" s="28"/>
      <x:c r="G196" s="28"/>
      <x:c r="H196" s="28"/>
      <x:c r="I196" s="28"/>
    </x:row>
    <x:row r="197">
      <x:c r="A197" s="61"/>
      <x:c r="C197" s="28"/>
      <x:c r="D197" s="28"/>
      <x:c r="E197" s="28"/>
      <x:c r="F197" s="28"/>
      <x:c r="G197" s="28"/>
      <x:c r="H197" s="28"/>
      <x:c r="I197" s="28"/>
    </x:row>
    <x:row r="198">
      <x:c r="A198" s="61"/>
      <x:c r="C198" s="28"/>
      <x:c r="D198" s="28"/>
      <x:c r="E198" s="28"/>
      <x:c r="F198" s="28"/>
      <x:c r="G198" s="28"/>
      <x:c r="H198" s="28"/>
      <x:c r="I198" s="28"/>
    </x:row>
    <x:row r="199">
      <x:c r="A199" s="61"/>
      <x:c r="C199" s="28"/>
      <x:c r="D199" s="28"/>
      <x:c r="E199" s="28"/>
      <x:c r="F199" s="28"/>
      <x:c r="G199" s="28"/>
      <x:c r="H199" s="28"/>
      <x:c r="I199" s="28"/>
    </x:row>
    <x:row r="200">
      <x:c r="A200" s="61"/>
      <x:c r="C200" s="28"/>
      <x:c r="D200" s="28"/>
      <x:c r="E200" s="28"/>
      <x:c r="F200" s="28"/>
      <x:c r="G200" s="28"/>
      <x:c r="H200" s="28"/>
      <x:c r="I200" s="28"/>
    </x:row>
  </x:sheetData>
  <x:conditionalFormatting sqref="C6:H34">
    <x:cfRule type="cellIs" dxfId="1" priority="1" operator="notEqual">
      <x:formula>1</x:formula>
    </x:cfRule>
  </x:conditionalFormatting>
  <x:conditionalFormatting sqref="I6:I34">
    <x:cfRule type="cellIs" dxfId="2" priority="2" operator="notEqual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1" max="11" width="21" hidden="0" customWidth="1"/>
    <x:col min="12" max="12" width="21" hidden="0" customWidth="1"/>
    <x:col min="13" max="13" width="21" hidden="0" customWidth="1"/>
    <x:col min="18" max="18" width="12" hidden="0" customWidth="1"/>
    <x:col min="19" max="19" width="17" hidden="0" customWidth="1"/>
    <x:col min="20" max="20" width="31" hidden="0" customWidth="1"/>
    <x:col min="21" max="21" width="12" hidden="0" customWidth="1"/>
  </x:cols>
  <x:sheetData>
    <x:row r="1" ht="31" customHeight="1">
      <x:c r="A1" s="31" t="str">
        <x:v>Source comparison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</x:row>
    <x:row r="2" ht="21" customHeight="1">
      <x:c r="A2" s="32" t="str">
        <x:v>All 174 county-years are traced to unchanged Census files. Four housing categories, total units, valuation and reported units are compared.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</x:row>
    <x:row r="3" ht="21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</x:row>
    <x:row r="4" ht="21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</x:row>
    <x:row r="5" ht="37" customHeight="1">
      <x:c r="A5" s="42" t="str">
        <x:v>Year</x:v>
      </x:c>
      <x:c r="B5" s="43" t="str">
        <x:v>County</x:v>
      </x:c>
      <x:c r="C5" s="43" t="str">
        <x:v>County FIPS</x:v>
      </x:c>
      <x:c r="D5" s="43" t="str">
        <x:v>Raw 1-unit</x:v>
      </x:c>
      <x:c r="E5" s="43" t="str">
        <x:v>Raw 2-unit</x:v>
      </x:c>
      <x:c r="F5" s="43" t="str">
        <x:v>Raw 3–4-unit</x:v>
      </x:c>
      <x:c r="G5" s="43" t="str">
        <x:v>Raw 5+ units</x:v>
      </x:c>
      <x:c r="H5" s="43" t="str">
        <x:v>Raw total units</x:v>
      </x:c>
      <x:c r="I5" s="43" t="str">
        <x:v>Workbook total units</x:v>
      </x:c>
      <x:c r="J5" s="43" t="str">
        <x:v>Unit difference</x:v>
      </x:c>
      <x:c r="K5" s="43" t="str">
        <x:v>Raw valuation USD</x:v>
      </x:c>
      <x:c r="L5" s="43" t="str">
        <x:v>Workbook valuation USD</x:v>
      </x:c>
      <x:c r="M5" s="43" t="str">
        <x:v>Value difference</x:v>
      </x:c>
      <x:c r="N5" s="43" t="str">
        <x:v>Raw reported units</x:v>
      </x:c>
      <x:c r="O5" s="43" t="str">
        <x:v>Workbook reported units</x:v>
      </x:c>
      <x:c r="P5" s="43" t="str">
        <x:v>Reported difference</x:v>
      </x:c>
      <x:c r="Q5" s="43" t="str">
        <x:v>Category mismatches</x:v>
      </x:c>
      <x:c r="R5" s="43" t="str">
        <x:v>All match</x:v>
      </x:c>
      <x:c r="S5" s="43" t="str">
        <x:v>Source ID</x:v>
      </x:c>
      <x:c r="T5" s="43" t="str">
        <x:v>Source file</x:v>
      </x:c>
      <x:c r="U5" s="44" t="str">
        <x:v>Source line</x:v>
      </x:c>
    </x:row>
    <x:row r="6" ht="21" customHeight="1">
      <x:c r="A6" s="56" t="n">
        <x:v>2020</x:v>
      </x:c>
      <x:c r="B6" s="30" t="str">
        <x:v>Beaver County</x:v>
      </x:c>
      <x:c r="C6" s="58" t="str">
        <x:v>49001</x:v>
      </x:c>
      <x:c r="D6" s="47" t="n">
        <x:v>38</x:v>
      </x:c>
      <x:c r="E6" s="47" t="n">
        <x:v>0</x:v>
      </x:c>
      <x:c r="F6" s="47" t="n">
        <x:v>4</x:v>
      </x:c>
      <x:c r="G6" s="47" t="n">
        <x:v>0</x:v>
      </x:c>
      <x:c r="H6" s="47" t="n">
        <x:f>SUM(D6:G6)</x:f>
        <x:v>42</x:v>
      </x:c>
      <x:c r="I6" s="47" t="n">
        <x:f>SUMIFS('County annual'!$H$6:$H$179,'County annual'!$C$6:$C$179,$C6,'County annual'!$A$6:$A$179,$A6)</x:f>
        <x:v>42</x:v>
      </x:c>
      <x:c r="J6" s="47" t="n">
        <x:f>I6-H6</x:f>
        <x:v>0</x:v>
      </x:c>
      <x:c r="K6" s="62" t="n">
        <x:v>11814547</x:v>
      </x:c>
      <x:c r="L6" s="62" t="n">
        <x:f>SUMIFS('County annual'!$J$6:$J$179,'County annual'!$C$6:$C$179,$C6,'County annual'!$A$6:$A$179,$A6)</x:f>
        <x:v>11814547</x:v>
      </x:c>
      <x:c r="M6" s="62" t="n">
        <x:f>L6-K6</x:f>
        <x:v>0</x:v>
      </x:c>
      <x:c r="N6" s="47" t="n">
        <x:v>42</x:v>
      </x:c>
      <x:c r="O6" s="47" t="n">
        <x:f>SUMIFS('County annual'!$K$6:$K$179,'County annual'!$C$6:$C$179,$C6,'County annual'!$A$6:$A$179,$A6)</x:f>
        <x:v>42</x:v>
      </x:c>
      <x:c r="P6" s="47" t="n">
        <x:f>O6-N6</x:f>
        <x:v>0</x:v>
      </x:c>
      <x:c r="Q6" s="47" t="n">
        <x:f>IF(SUMIFS('County annual'!$D$6:$D$179,'County annual'!$C$6:$C$179,$C6,'County annual'!$A$6:$A$179,$A6)=D6,0,1)+IF(SUMIFS('County annual'!$E$6:$E$179,'County annual'!$C$6:$C$179,$C6,'County annual'!$A$6:$A$179,$A6)=E6,0,1)+IF(SUMIFS('County annual'!$F$6:$F$179,'County annual'!$C$6:$C$179,$C6,'County annual'!$A$6:$A$179,$A6)=F6,0,1)+IF(SUMIFS('County annual'!$G$6:$G$179,'County annual'!$C$6:$C$179,$C6,'County annual'!$A$6:$A$179,$A6)=G6,0,1)</x:f>
        <x:v>0</x:v>
      </x:c>
      <x:c r="R6" s="30" t="str">
        <x:f>IF(AND(J6=0,M6=0,P6=0,Q6=0),"Match","Mismatch")</x:f>
        <x:v>Match</x:v>
      </x:c>
      <x:c r="S6" s="30" t="str">
        <x:v>BPS-CO-2020</x:v>
      </x:c>
      <x:c r="T6" s="30" t="str">
        <x:v>raw/county/co2020a.txt</x:v>
      </x:c>
      <x:c r="U6" s="56" t="n">
        <x:v>2675</x:v>
      </x:c>
    </x:row>
    <x:row r="7" ht="21" customHeight="1">
      <x:c r="A7" s="56" t="n">
        <x:v>2020</x:v>
      </x:c>
      <x:c r="B7" s="30" t="str">
        <x:v>Box Elder County</x:v>
      </x:c>
      <x:c r="C7" s="58" t="str">
        <x:v>49003</x:v>
      </x:c>
      <x:c r="D7" s="47" t="n">
        <x:v>381</x:v>
      </x:c>
      <x:c r="E7" s="47" t="n">
        <x:v>4</x:v>
      </x:c>
      <x:c r="F7" s="47" t="n">
        <x:v>60</x:v>
      </x:c>
      <x:c r="G7" s="47" t="n">
        <x:v>88</x:v>
      </x:c>
      <x:c r="H7" s="47" t="n">
        <x:f>SUM(D7:G7)</x:f>
        <x:v>533</x:v>
      </x:c>
      <x:c r="I7" s="47" t="n">
        <x:f>SUMIFS('County annual'!$H$6:$H$179,'County annual'!$C$6:$C$179,$C7,'County annual'!$A$6:$A$179,$A7)</x:f>
        <x:v>533</x:v>
      </x:c>
      <x:c r="J7" s="47" t="n">
        <x:f>I7-H7</x:f>
        <x:v>0</x:v>
      </x:c>
      <x:c r="K7" s="62" t="n">
        <x:v>92714260</x:v>
      </x:c>
      <x:c r="L7" s="62" t="n">
        <x:f>SUMIFS('County annual'!$J$6:$J$179,'County annual'!$C$6:$C$179,$C7,'County annual'!$A$6:$A$179,$A7)</x:f>
        <x:v>92714260</x:v>
      </x:c>
      <x:c r="M7" s="62" t="n">
        <x:f>L7-K7</x:f>
        <x:v>0</x:v>
      </x:c>
      <x:c r="N7" s="47" t="n">
        <x:v>384</x:v>
      </x:c>
      <x:c r="O7" s="47" t="n">
        <x:f>SUMIFS('County annual'!$K$6:$K$179,'County annual'!$C$6:$C$179,$C7,'County annual'!$A$6:$A$179,$A7)</x:f>
        <x:v>384</x:v>
      </x:c>
      <x:c r="P7" s="47" t="n">
        <x:f>O7-N7</x:f>
        <x:v>0</x:v>
      </x:c>
      <x:c r="Q7" s="47" t="n">
        <x:f>IF(SUMIFS('County annual'!$D$6:$D$179,'County annual'!$C$6:$C$179,$C7,'County annual'!$A$6:$A$179,$A7)=D7,0,1)+IF(SUMIFS('County annual'!$E$6:$E$179,'County annual'!$C$6:$C$179,$C7,'County annual'!$A$6:$A$179,$A7)=E7,0,1)+IF(SUMIFS('County annual'!$F$6:$F$179,'County annual'!$C$6:$C$179,$C7,'County annual'!$A$6:$A$179,$A7)=F7,0,1)+IF(SUMIFS('County annual'!$G$6:$G$179,'County annual'!$C$6:$C$179,$C7,'County annual'!$A$6:$A$179,$A7)=G7,0,1)</x:f>
        <x:v>0</x:v>
      </x:c>
      <x:c r="R7" s="30" t="str">
        <x:f>IF(AND(J7=0,M7=0,P7=0,Q7=0),"Match","Mismatch")</x:f>
        <x:v>Match</x:v>
      </x:c>
      <x:c r="S7" s="30" t="str">
        <x:v>BPS-CO-2020</x:v>
      </x:c>
      <x:c r="T7" s="30" t="str">
        <x:v>raw/county/co2020a.txt</x:v>
      </x:c>
      <x:c r="U7" s="56" t="n">
        <x:v>2676</x:v>
      </x:c>
    </x:row>
    <x:row r="8" ht="21" customHeight="1">
      <x:c r="A8" s="56" t="n">
        <x:v>2020</x:v>
      </x:c>
      <x:c r="B8" s="30" t="str">
        <x:v>Cache County</x:v>
      </x:c>
      <x:c r="C8" s="58" t="str">
        <x:v>49005</x:v>
      </x:c>
      <x:c r="D8" s="47" t="n">
        <x:v>987</x:v>
      </x:c>
      <x:c r="E8" s="47" t="n">
        <x:v>6</x:v>
      </x:c>
      <x:c r="F8" s="47" t="n">
        <x:v>31</x:v>
      </x:c>
      <x:c r="G8" s="47" t="n">
        <x:v>586</x:v>
      </x:c>
      <x:c r="H8" s="47" t="n">
        <x:f>SUM(D8:G8)</x:f>
        <x:v>1610</x:v>
      </x:c>
      <x:c r="I8" s="47" t="n">
        <x:f>SUMIFS('County annual'!$H$6:$H$179,'County annual'!$C$6:$C$179,$C8,'County annual'!$A$6:$A$179,$A8)</x:f>
        <x:v>1610</x:v>
      </x:c>
      <x:c r="J8" s="47" t="n">
        <x:f>I8-H8</x:f>
        <x:v>0</x:v>
      </x:c>
      <x:c r="K8" s="62" t="n">
        <x:v>321528306</x:v>
      </x:c>
      <x:c r="L8" s="62" t="n">
        <x:f>SUMIFS('County annual'!$J$6:$J$179,'County annual'!$C$6:$C$179,$C8,'County annual'!$A$6:$A$179,$A8)</x:f>
        <x:v>321528306</x:v>
      </x:c>
      <x:c r="M8" s="62" t="n">
        <x:f>L8-K8</x:f>
        <x:v>0</x:v>
      </x:c>
      <x:c r="N8" s="47" t="n">
        <x:v>1610</x:v>
      </x:c>
      <x:c r="O8" s="47" t="n">
        <x:f>SUMIFS('County annual'!$K$6:$K$179,'County annual'!$C$6:$C$179,$C8,'County annual'!$A$6:$A$179,$A8)</x:f>
        <x:v>1610</x:v>
      </x:c>
      <x:c r="P8" s="47" t="n">
        <x:f>O8-N8</x:f>
        <x:v>0</x:v>
      </x:c>
      <x:c r="Q8" s="47" t="n">
        <x:f>IF(SUMIFS('County annual'!$D$6:$D$179,'County annual'!$C$6:$C$179,$C8,'County annual'!$A$6:$A$179,$A8)=D8,0,1)+IF(SUMIFS('County annual'!$E$6:$E$179,'County annual'!$C$6:$C$179,$C8,'County annual'!$A$6:$A$179,$A8)=E8,0,1)+IF(SUMIFS('County annual'!$F$6:$F$179,'County annual'!$C$6:$C$179,$C8,'County annual'!$A$6:$A$179,$A8)=F8,0,1)+IF(SUMIFS('County annual'!$G$6:$G$179,'County annual'!$C$6:$C$179,$C8,'County annual'!$A$6:$A$179,$A8)=G8,0,1)</x:f>
        <x:v>0</x:v>
      </x:c>
      <x:c r="R8" s="30" t="str">
        <x:f>IF(AND(J8=0,M8=0,P8=0,Q8=0),"Match","Mismatch")</x:f>
        <x:v>Match</x:v>
      </x:c>
      <x:c r="S8" s="30" t="str">
        <x:v>BPS-CO-2020</x:v>
      </x:c>
      <x:c r="T8" s="30" t="str">
        <x:v>raw/county/co2020a.txt</x:v>
      </x:c>
      <x:c r="U8" s="56" t="n">
        <x:v>2677</x:v>
      </x:c>
    </x:row>
    <x:row r="9" ht="21" customHeight="1">
      <x:c r="A9" s="56" t="n">
        <x:v>2020</x:v>
      </x:c>
      <x:c r="B9" s="30" t="str">
        <x:v>Carbon County</x:v>
      </x:c>
      <x:c r="C9" s="58" t="str">
        <x:v>49007</x:v>
      </x:c>
      <x:c r="D9" s="47" t="n">
        <x:v>21</x:v>
      </x:c>
      <x:c r="E9" s="47" t="n">
        <x:v>2</x:v>
      </x:c>
      <x:c r="F9" s="47" t="n">
        <x:v>0</x:v>
      </x:c>
      <x:c r="G9" s="47" t="n">
        <x:v>0</x:v>
      </x:c>
      <x:c r="H9" s="47" t="n">
        <x:f>SUM(D9:G9)</x:f>
        <x:v>23</x:v>
      </x:c>
      <x:c r="I9" s="47" t="n">
        <x:f>SUMIFS('County annual'!$H$6:$H$179,'County annual'!$C$6:$C$179,$C9,'County annual'!$A$6:$A$179,$A9)</x:f>
        <x:v>23</x:v>
      </x:c>
      <x:c r="J9" s="47" t="n">
        <x:f>I9-H9</x:f>
        <x:v>0</x:v>
      </x:c>
      <x:c r="K9" s="62" t="n">
        <x:v>6817438</x:v>
      </x:c>
      <x:c r="L9" s="62" t="n">
        <x:f>SUMIFS('County annual'!$J$6:$J$179,'County annual'!$C$6:$C$179,$C9,'County annual'!$A$6:$A$179,$A9)</x:f>
        <x:v>6817438</x:v>
      </x:c>
      <x:c r="M9" s="62" t="n">
        <x:f>L9-K9</x:f>
        <x:v>0</x:v>
      </x:c>
      <x:c r="N9" s="47" t="n">
        <x:v>23</x:v>
      </x:c>
      <x:c r="O9" s="47" t="n">
        <x:f>SUMIFS('County annual'!$K$6:$K$179,'County annual'!$C$6:$C$179,$C9,'County annual'!$A$6:$A$179,$A9)</x:f>
        <x:v>23</x:v>
      </x:c>
      <x:c r="P9" s="47" t="n">
        <x:f>O9-N9</x:f>
        <x:v>0</x:v>
      </x:c>
      <x:c r="Q9" s="47" t="n">
        <x:f>IF(SUMIFS('County annual'!$D$6:$D$179,'County annual'!$C$6:$C$179,$C9,'County annual'!$A$6:$A$179,$A9)=D9,0,1)+IF(SUMIFS('County annual'!$E$6:$E$179,'County annual'!$C$6:$C$179,$C9,'County annual'!$A$6:$A$179,$A9)=E9,0,1)+IF(SUMIFS('County annual'!$F$6:$F$179,'County annual'!$C$6:$C$179,$C9,'County annual'!$A$6:$A$179,$A9)=F9,0,1)+IF(SUMIFS('County annual'!$G$6:$G$179,'County annual'!$C$6:$C$179,$C9,'County annual'!$A$6:$A$179,$A9)=G9,0,1)</x:f>
        <x:v>0</x:v>
      </x:c>
      <x:c r="R9" s="30" t="str">
        <x:f>IF(AND(J9=0,M9=0,P9=0,Q9=0),"Match","Mismatch")</x:f>
        <x:v>Match</x:v>
      </x:c>
      <x:c r="S9" s="30" t="str">
        <x:v>BPS-CO-2020</x:v>
      </x:c>
      <x:c r="T9" s="30" t="str">
        <x:v>raw/county/co2020a.txt</x:v>
      </x:c>
      <x:c r="U9" s="56" t="n">
        <x:v>2678</x:v>
      </x:c>
    </x:row>
    <x:row r="10" ht="21" customHeight="1">
      <x:c r="A10" s="56" t="n">
        <x:v>2020</x:v>
      </x:c>
      <x:c r="B10" s="30" t="str">
        <x:v>Daggett County</x:v>
      </x:c>
      <x:c r="C10" s="58" t="str">
        <x:v>49009</x:v>
      </x:c>
      <x:c r="D10" s="47" t="n">
        <x:v>9</x:v>
      </x:c>
      <x:c r="E10" s="47" t="n">
        <x:v>0</x:v>
      </x:c>
      <x:c r="F10" s="47" t="n">
        <x:v>0</x:v>
      </x:c>
      <x:c r="G10" s="47" t="n">
        <x:v>0</x:v>
      </x:c>
      <x:c r="H10" s="47" t="n">
        <x:f>SUM(D10:G10)</x:f>
        <x:v>9</x:v>
      </x:c>
      <x:c r="I10" s="47" t="n">
        <x:f>SUMIFS('County annual'!$H$6:$H$179,'County annual'!$C$6:$C$179,$C10,'County annual'!$A$6:$A$179,$A10)</x:f>
        <x:v>9</x:v>
      </x:c>
      <x:c r="J10" s="47" t="n">
        <x:f>I10-H10</x:f>
        <x:v>0</x:v>
      </x:c>
      <x:c r="K10" s="62" t="n">
        <x:v>2258152</x:v>
      </x:c>
      <x:c r="L10" s="62" t="n">
        <x:f>SUMIFS('County annual'!$J$6:$J$179,'County annual'!$C$6:$C$179,$C10,'County annual'!$A$6:$A$179,$A10)</x:f>
        <x:v>2258152</x:v>
      </x:c>
      <x:c r="M10" s="62" t="n">
        <x:f>L10-K10</x:f>
        <x:v>0</x:v>
      </x:c>
      <x:c r="N10" s="47" t="n">
        <x:v>4</x:v>
      </x:c>
      <x:c r="O10" s="47" t="n">
        <x:f>SUMIFS('County annual'!$K$6:$K$179,'County annual'!$C$6:$C$179,$C10,'County annual'!$A$6:$A$179,$A10)</x:f>
        <x:v>4</x:v>
      </x:c>
      <x:c r="P10" s="47" t="n">
        <x:f>O10-N10</x:f>
        <x:v>0</x:v>
      </x:c>
      <x:c r="Q10" s="47" t="n">
        <x:f>IF(SUMIFS('County annual'!$D$6:$D$179,'County annual'!$C$6:$C$179,$C10,'County annual'!$A$6:$A$179,$A10)=D10,0,1)+IF(SUMIFS('County annual'!$E$6:$E$179,'County annual'!$C$6:$C$179,$C10,'County annual'!$A$6:$A$179,$A10)=E10,0,1)+IF(SUMIFS('County annual'!$F$6:$F$179,'County annual'!$C$6:$C$179,$C10,'County annual'!$A$6:$A$179,$A10)=F10,0,1)+IF(SUMIFS('County annual'!$G$6:$G$179,'County annual'!$C$6:$C$179,$C10,'County annual'!$A$6:$A$179,$A10)=G10,0,1)</x:f>
        <x:v>0</x:v>
      </x:c>
      <x:c r="R10" s="30" t="str">
        <x:f>IF(AND(J10=0,M10=0,P10=0,Q10=0),"Match","Mismatch")</x:f>
        <x:v>Match</x:v>
      </x:c>
      <x:c r="S10" s="30" t="str">
        <x:v>BPS-CO-2020</x:v>
      </x:c>
      <x:c r="T10" s="30" t="str">
        <x:v>raw/county/co2020a.txt</x:v>
      </x:c>
      <x:c r="U10" s="56" t="n">
        <x:v>2679</x:v>
      </x:c>
    </x:row>
    <x:row r="11" ht="21" customHeight="1">
      <x:c r="A11" s="56" t="n">
        <x:v>2020</x:v>
      </x:c>
      <x:c r="B11" s="30" t="str">
        <x:v>Davis County</x:v>
      </x:c>
      <x:c r="C11" s="58" t="str">
        <x:v>49011</x:v>
      </x:c>
      <x:c r="D11" s="47" t="n">
        <x:v>1946</x:v>
      </x:c>
      <x:c r="E11" s="47" t="n">
        <x:v>12</x:v>
      </x:c>
      <x:c r="F11" s="47" t="n">
        <x:v>25</x:v>
      </x:c>
      <x:c r="G11" s="47" t="n">
        <x:v>434</x:v>
      </x:c>
      <x:c r="H11" s="47" t="n">
        <x:f>SUM(D11:G11)</x:f>
        <x:v>2417</x:v>
      </x:c>
      <x:c r="I11" s="47" t="n">
        <x:f>SUMIFS('County annual'!$H$6:$H$179,'County annual'!$C$6:$C$179,$C11,'County annual'!$A$6:$A$179,$A11)</x:f>
        <x:v>2417</x:v>
      </x:c>
      <x:c r="J11" s="47" t="n">
        <x:f>I11-H11</x:f>
        <x:v>0</x:v>
      </x:c>
      <x:c r="K11" s="62" t="n">
        <x:v>603236927</x:v>
      </x:c>
      <x:c r="L11" s="62" t="n">
        <x:f>SUMIFS('County annual'!$J$6:$J$179,'County annual'!$C$6:$C$179,$C11,'County annual'!$A$6:$A$179,$A11)</x:f>
        <x:v>603236927</x:v>
      </x:c>
      <x:c r="M11" s="62" t="n">
        <x:f>L11-K11</x:f>
        <x:v>0</x:v>
      </x:c>
      <x:c r="N11" s="47" t="n">
        <x:v>2417</x:v>
      </x:c>
      <x:c r="O11" s="47" t="n">
        <x:f>SUMIFS('County annual'!$K$6:$K$179,'County annual'!$C$6:$C$179,$C11,'County annual'!$A$6:$A$179,$A11)</x:f>
        <x:v>2417</x:v>
      </x:c>
      <x:c r="P11" s="47" t="n">
        <x:f>O11-N11</x:f>
        <x:v>0</x:v>
      </x:c>
      <x:c r="Q11" s="47" t="n">
        <x:f>IF(SUMIFS('County annual'!$D$6:$D$179,'County annual'!$C$6:$C$179,$C11,'County annual'!$A$6:$A$179,$A11)=D11,0,1)+IF(SUMIFS('County annual'!$E$6:$E$179,'County annual'!$C$6:$C$179,$C11,'County annual'!$A$6:$A$179,$A11)=E11,0,1)+IF(SUMIFS('County annual'!$F$6:$F$179,'County annual'!$C$6:$C$179,$C11,'County annual'!$A$6:$A$179,$A11)=F11,0,1)+IF(SUMIFS('County annual'!$G$6:$G$179,'County annual'!$C$6:$C$179,$C11,'County annual'!$A$6:$A$179,$A11)=G11,0,1)</x:f>
        <x:v>0</x:v>
      </x:c>
      <x:c r="R11" s="30" t="str">
        <x:f>IF(AND(J11=0,M11=0,P11=0,Q11=0),"Match","Mismatch")</x:f>
        <x:v>Match</x:v>
      </x:c>
      <x:c r="S11" s="30" t="str">
        <x:v>BPS-CO-2020</x:v>
      </x:c>
      <x:c r="T11" s="30" t="str">
        <x:v>raw/county/co2020a.txt</x:v>
      </x:c>
      <x:c r="U11" s="56" t="n">
        <x:v>2680</x:v>
      </x:c>
    </x:row>
    <x:row r="12" ht="21" customHeight="1">
      <x:c r="A12" s="56" t="n">
        <x:v>2020</x:v>
      </x:c>
      <x:c r="B12" s="30" t="str">
        <x:v>Duchesne County</x:v>
      </x:c>
      <x:c r="C12" s="58" t="str">
        <x:v>49013</x:v>
      </x:c>
      <x:c r="D12" s="47" t="n">
        <x:v>101</x:v>
      </x:c>
      <x:c r="E12" s="47" t="n">
        <x:v>0</x:v>
      </x:c>
      <x:c r="F12" s="47" t="n">
        <x:v>4</x:v>
      </x:c>
      <x:c r="G12" s="47" t="n">
        <x:v>0</x:v>
      </x:c>
      <x:c r="H12" s="47" t="n">
        <x:f>SUM(D12:G12)</x:f>
        <x:v>105</x:v>
      </x:c>
      <x:c r="I12" s="47" t="n">
        <x:f>SUMIFS('County annual'!$H$6:$H$179,'County annual'!$C$6:$C$179,$C12,'County annual'!$A$6:$A$179,$A12)</x:f>
        <x:v>105</x:v>
      </x:c>
      <x:c r="J12" s="47" t="n">
        <x:f>I12-H12</x:f>
        <x:v>0</x:v>
      </x:c>
      <x:c r="K12" s="62" t="n">
        <x:v>24105274</x:v>
      </x:c>
      <x:c r="L12" s="62" t="n">
        <x:f>SUMIFS('County annual'!$J$6:$J$179,'County annual'!$C$6:$C$179,$C12,'County annual'!$A$6:$A$179,$A12)</x:f>
        <x:v>24105274</x:v>
      </x:c>
      <x:c r="M12" s="62" t="n">
        <x:f>L12-K12</x:f>
        <x:v>0</x:v>
      </x:c>
      <x:c r="N12" s="47" t="n">
        <x:v>54</x:v>
      </x:c>
      <x:c r="O12" s="47" t="n">
        <x:f>SUMIFS('County annual'!$K$6:$K$179,'County annual'!$C$6:$C$179,$C12,'County annual'!$A$6:$A$179,$A12)</x:f>
        <x:v>54</x:v>
      </x:c>
      <x:c r="P12" s="47" t="n">
        <x:f>O12-N12</x:f>
        <x:v>0</x:v>
      </x:c>
      <x:c r="Q12" s="47" t="n">
        <x:f>IF(SUMIFS('County annual'!$D$6:$D$179,'County annual'!$C$6:$C$179,$C12,'County annual'!$A$6:$A$179,$A12)=D12,0,1)+IF(SUMIFS('County annual'!$E$6:$E$179,'County annual'!$C$6:$C$179,$C12,'County annual'!$A$6:$A$179,$A12)=E12,0,1)+IF(SUMIFS('County annual'!$F$6:$F$179,'County annual'!$C$6:$C$179,$C12,'County annual'!$A$6:$A$179,$A12)=F12,0,1)+IF(SUMIFS('County annual'!$G$6:$G$179,'County annual'!$C$6:$C$179,$C12,'County annual'!$A$6:$A$179,$A12)=G12,0,1)</x:f>
        <x:v>0</x:v>
      </x:c>
      <x:c r="R12" s="30" t="str">
        <x:f>IF(AND(J12=0,M12=0,P12=0,Q12=0),"Match","Mismatch")</x:f>
        <x:v>Match</x:v>
      </x:c>
      <x:c r="S12" s="30" t="str">
        <x:v>BPS-CO-2020</x:v>
      </x:c>
      <x:c r="T12" s="30" t="str">
        <x:v>raw/county/co2020a.txt</x:v>
      </x:c>
      <x:c r="U12" s="56" t="n">
        <x:v>2681</x:v>
      </x:c>
    </x:row>
    <x:row r="13" ht="21" customHeight="1">
      <x:c r="A13" s="56" t="n">
        <x:v>2020</x:v>
      </x:c>
      <x:c r="B13" s="30" t="str">
        <x:v>Emery County</x:v>
      </x:c>
      <x:c r="C13" s="58" t="str">
        <x:v>49015</x:v>
      </x:c>
      <x:c r="D13" s="47" t="n">
        <x:v>7</x:v>
      </x:c>
      <x:c r="E13" s="47" t="n">
        <x:v>0</x:v>
      </x:c>
      <x:c r="F13" s="47" t="n">
        <x:v>0</x:v>
      </x:c>
      <x:c r="G13" s="47" t="n">
        <x:v>0</x:v>
      </x:c>
      <x:c r="H13" s="47" t="n">
        <x:f>SUM(D13:G13)</x:f>
        <x:v>7</x:v>
      </x:c>
      <x:c r="I13" s="47" t="n">
        <x:f>SUMIFS('County annual'!$H$6:$H$179,'County annual'!$C$6:$C$179,$C13,'County annual'!$A$6:$A$179,$A13)</x:f>
        <x:v>7</x:v>
      </x:c>
      <x:c r="J13" s="47" t="n">
        <x:f>I13-H13</x:f>
        <x:v>0</x:v>
      </x:c>
      <x:c r="K13" s="62" t="n">
        <x:v>1628900</x:v>
      </x:c>
      <x:c r="L13" s="62" t="n">
        <x:f>SUMIFS('County annual'!$J$6:$J$179,'County annual'!$C$6:$C$179,$C13,'County annual'!$A$6:$A$179,$A13)</x:f>
        <x:v>1628900</x:v>
      </x:c>
      <x:c r="M13" s="62" t="n">
        <x:f>L13-K13</x:f>
        <x:v>0</x:v>
      </x:c>
      <x:c r="N13" s="47" t="n">
        <x:v>0</x:v>
      </x:c>
      <x:c r="O13" s="47" t="n">
        <x:f>SUMIFS('County annual'!$K$6:$K$179,'County annual'!$C$6:$C$179,$C13,'County annual'!$A$6:$A$179,$A13)</x:f>
        <x:v>0</x:v>
      </x:c>
      <x:c r="P13" s="47" t="n">
        <x:f>O13-N13</x:f>
        <x:v>0</x:v>
      </x:c>
      <x:c r="Q13" s="47" t="n">
        <x:f>IF(SUMIFS('County annual'!$D$6:$D$179,'County annual'!$C$6:$C$179,$C13,'County annual'!$A$6:$A$179,$A13)=D13,0,1)+IF(SUMIFS('County annual'!$E$6:$E$179,'County annual'!$C$6:$C$179,$C13,'County annual'!$A$6:$A$179,$A13)=E13,0,1)+IF(SUMIFS('County annual'!$F$6:$F$179,'County annual'!$C$6:$C$179,$C13,'County annual'!$A$6:$A$179,$A13)=F13,0,1)+IF(SUMIFS('County annual'!$G$6:$G$179,'County annual'!$C$6:$C$179,$C13,'County annual'!$A$6:$A$179,$A13)=G13,0,1)</x:f>
        <x:v>0</x:v>
      </x:c>
      <x:c r="R13" s="30" t="str">
        <x:f>IF(AND(J13=0,M13=0,P13=0,Q13=0),"Match","Mismatch")</x:f>
        <x:v>Match</x:v>
      </x:c>
      <x:c r="S13" s="30" t="str">
        <x:v>BPS-CO-2020</x:v>
      </x:c>
      <x:c r="T13" s="30" t="str">
        <x:v>raw/county/co2020a.txt</x:v>
      </x:c>
      <x:c r="U13" s="56" t="n">
        <x:v>2682</x:v>
      </x:c>
    </x:row>
    <x:row r="14" ht="21" customHeight="1">
      <x:c r="A14" s="56" t="n">
        <x:v>2020</x:v>
      </x:c>
      <x:c r="B14" s="30" t="str">
        <x:v>Garfield County</x:v>
      </x:c>
      <x:c r="C14" s="58" t="str">
        <x:v>49017</x:v>
      </x:c>
      <x:c r="D14" s="47" t="n">
        <x:v>58</x:v>
      </x:c>
      <x:c r="E14" s="47" t="n">
        <x:v>0</x:v>
      </x:c>
      <x:c r="F14" s="47" t="n">
        <x:v>0</x:v>
      </x:c>
      <x:c r="G14" s="47" t="n">
        <x:v>0</x:v>
      </x:c>
      <x:c r="H14" s="47" t="n">
        <x:f>SUM(D14:G14)</x:f>
        <x:v>58</x:v>
      </x:c>
      <x:c r="I14" s="47" t="n">
        <x:f>SUMIFS('County annual'!$H$6:$H$179,'County annual'!$C$6:$C$179,$C14,'County annual'!$A$6:$A$179,$A14)</x:f>
        <x:v>58</x:v>
      </x:c>
      <x:c r="J14" s="47" t="n">
        <x:f>I14-H14</x:f>
        <x:v>0</x:v>
      </x:c>
      <x:c r="K14" s="62" t="n">
        <x:v>12107805</x:v>
      </x:c>
      <x:c r="L14" s="62" t="n">
        <x:f>SUMIFS('County annual'!$J$6:$J$179,'County annual'!$C$6:$C$179,$C14,'County annual'!$A$6:$A$179,$A14)</x:f>
        <x:v>12107805</x:v>
      </x:c>
      <x:c r="M14" s="62" t="n">
        <x:f>L14-K14</x:f>
        <x:v>0</x:v>
      </x:c>
      <x:c r="N14" s="47" t="n">
        <x:v>58</x:v>
      </x:c>
      <x:c r="O14" s="47" t="n">
        <x:f>SUMIFS('County annual'!$K$6:$K$179,'County annual'!$C$6:$C$179,$C14,'County annual'!$A$6:$A$179,$A14)</x:f>
        <x:v>58</x:v>
      </x:c>
      <x:c r="P14" s="47" t="n">
        <x:f>O14-N14</x:f>
        <x:v>0</x:v>
      </x:c>
      <x:c r="Q14" s="47" t="n">
        <x:f>IF(SUMIFS('County annual'!$D$6:$D$179,'County annual'!$C$6:$C$179,$C14,'County annual'!$A$6:$A$179,$A14)=D14,0,1)+IF(SUMIFS('County annual'!$E$6:$E$179,'County annual'!$C$6:$C$179,$C14,'County annual'!$A$6:$A$179,$A14)=E14,0,1)+IF(SUMIFS('County annual'!$F$6:$F$179,'County annual'!$C$6:$C$179,$C14,'County annual'!$A$6:$A$179,$A14)=F14,0,1)+IF(SUMIFS('County annual'!$G$6:$G$179,'County annual'!$C$6:$C$179,$C14,'County annual'!$A$6:$A$179,$A14)=G14,0,1)</x:f>
        <x:v>0</x:v>
      </x:c>
      <x:c r="R14" s="30" t="str">
        <x:f>IF(AND(J14=0,M14=0,P14=0,Q14=0),"Match","Mismatch")</x:f>
        <x:v>Match</x:v>
      </x:c>
      <x:c r="S14" s="30" t="str">
        <x:v>BPS-CO-2020</x:v>
      </x:c>
      <x:c r="T14" s="30" t="str">
        <x:v>raw/county/co2020a.txt</x:v>
      </x:c>
      <x:c r="U14" s="56" t="n">
        <x:v>2683</x:v>
      </x:c>
    </x:row>
    <x:row r="15" ht="21" customHeight="1">
      <x:c r="A15" s="56" t="n">
        <x:v>2020</x:v>
      </x:c>
      <x:c r="B15" s="30" t="str">
        <x:v>Grand County</x:v>
      </x:c>
      <x:c r="C15" s="58" t="str">
        <x:v>49019</x:v>
      </x:c>
      <x:c r="D15" s="47" t="n">
        <x:v>71</x:v>
      </x:c>
      <x:c r="E15" s="47" t="n">
        <x:v>12</x:v>
      </x:c>
      <x:c r="F15" s="47" t="n">
        <x:v>24</x:v>
      </x:c>
      <x:c r="G15" s="47" t="n">
        <x:v>0</x:v>
      </x:c>
      <x:c r="H15" s="47" t="n">
        <x:f>SUM(D15:G15)</x:f>
        <x:v>107</x:v>
      </x:c>
      <x:c r="I15" s="47" t="n">
        <x:f>SUMIFS('County annual'!$H$6:$H$179,'County annual'!$C$6:$C$179,$C15,'County annual'!$A$6:$A$179,$A15)</x:f>
        <x:v>107</x:v>
      </x:c>
      <x:c r="J15" s="47" t="n">
        <x:f>I15-H15</x:f>
        <x:v>0</x:v>
      </x:c>
      <x:c r="K15" s="62" t="n">
        <x:v>22796380</x:v>
      </x:c>
      <x:c r="L15" s="62" t="n">
        <x:f>SUMIFS('County annual'!$J$6:$J$179,'County annual'!$C$6:$C$179,$C15,'County annual'!$A$6:$A$179,$A15)</x:f>
        <x:v>22796380</x:v>
      </x:c>
      <x:c r="M15" s="62" t="n">
        <x:f>L15-K15</x:f>
        <x:v>0</x:v>
      </x:c>
      <x:c r="N15" s="47" t="n">
        <x:v>107</x:v>
      </x:c>
      <x:c r="O15" s="47" t="n">
        <x:f>SUMIFS('County annual'!$K$6:$K$179,'County annual'!$C$6:$C$179,$C15,'County annual'!$A$6:$A$179,$A15)</x:f>
        <x:v>107</x:v>
      </x:c>
      <x:c r="P15" s="47" t="n">
        <x:f>O15-N15</x:f>
        <x:v>0</x:v>
      </x:c>
      <x:c r="Q15" s="47" t="n">
        <x:f>IF(SUMIFS('County annual'!$D$6:$D$179,'County annual'!$C$6:$C$179,$C15,'County annual'!$A$6:$A$179,$A15)=D15,0,1)+IF(SUMIFS('County annual'!$E$6:$E$179,'County annual'!$C$6:$C$179,$C15,'County annual'!$A$6:$A$179,$A15)=E15,0,1)+IF(SUMIFS('County annual'!$F$6:$F$179,'County annual'!$C$6:$C$179,$C15,'County annual'!$A$6:$A$179,$A15)=F15,0,1)+IF(SUMIFS('County annual'!$G$6:$G$179,'County annual'!$C$6:$C$179,$C15,'County annual'!$A$6:$A$179,$A15)=G15,0,1)</x:f>
        <x:v>0</x:v>
      </x:c>
      <x:c r="R15" s="30" t="str">
        <x:f>IF(AND(J15=0,M15=0,P15=0,Q15=0),"Match","Mismatch")</x:f>
        <x:v>Match</x:v>
      </x:c>
      <x:c r="S15" s="30" t="str">
        <x:v>BPS-CO-2020</x:v>
      </x:c>
      <x:c r="T15" s="30" t="str">
        <x:v>raw/county/co2020a.txt</x:v>
      </x:c>
      <x:c r="U15" s="56" t="n">
        <x:v>2684</x:v>
      </x:c>
    </x:row>
    <x:row r="16" ht="21" customHeight="1">
      <x:c r="A16" s="56" t="n">
        <x:v>2020</x:v>
      </x:c>
      <x:c r="B16" s="30" t="str">
        <x:v>Iron County</x:v>
      </x:c>
      <x:c r="C16" s="58" t="str">
        <x:v>49021</x:v>
      </x:c>
      <x:c r="D16" s="47" t="n">
        <x:v>473</x:v>
      </x:c>
      <x:c r="E16" s="47" t="n">
        <x:v>2</x:v>
      </x:c>
      <x:c r="F16" s="47" t="n">
        <x:v>0</x:v>
      </x:c>
      <x:c r="G16" s="47" t="n">
        <x:v>39</x:v>
      </x:c>
      <x:c r="H16" s="47" t="n">
        <x:f>SUM(D16:G16)</x:f>
        <x:v>514</x:v>
      </x:c>
      <x:c r="I16" s="47" t="n">
        <x:f>SUMIFS('County annual'!$H$6:$H$179,'County annual'!$C$6:$C$179,$C16,'County annual'!$A$6:$A$179,$A16)</x:f>
        <x:v>514</x:v>
      </x:c>
      <x:c r="J16" s="47" t="n">
        <x:f>I16-H16</x:f>
        <x:v>0</x:v>
      </x:c>
      <x:c r="K16" s="62" t="n">
        <x:v>109378486</x:v>
      </x:c>
      <x:c r="L16" s="62" t="n">
        <x:f>SUMIFS('County annual'!$J$6:$J$179,'County annual'!$C$6:$C$179,$C16,'County annual'!$A$6:$A$179,$A16)</x:f>
        <x:v>109378486</x:v>
      </x:c>
      <x:c r="M16" s="62" t="n">
        <x:f>L16-K16</x:f>
        <x:v>0</x:v>
      </x:c>
      <x:c r="N16" s="47" t="n">
        <x:v>203</x:v>
      </x:c>
      <x:c r="O16" s="47" t="n">
        <x:f>SUMIFS('County annual'!$K$6:$K$179,'County annual'!$C$6:$C$179,$C16,'County annual'!$A$6:$A$179,$A16)</x:f>
        <x:v>203</x:v>
      </x:c>
      <x:c r="P16" s="47" t="n">
        <x:f>O16-N16</x:f>
        <x:v>0</x:v>
      </x:c>
      <x:c r="Q16" s="47" t="n">
        <x:f>IF(SUMIFS('County annual'!$D$6:$D$179,'County annual'!$C$6:$C$179,$C16,'County annual'!$A$6:$A$179,$A16)=D16,0,1)+IF(SUMIFS('County annual'!$E$6:$E$179,'County annual'!$C$6:$C$179,$C16,'County annual'!$A$6:$A$179,$A16)=E16,0,1)+IF(SUMIFS('County annual'!$F$6:$F$179,'County annual'!$C$6:$C$179,$C16,'County annual'!$A$6:$A$179,$A16)=F16,0,1)+IF(SUMIFS('County annual'!$G$6:$G$179,'County annual'!$C$6:$C$179,$C16,'County annual'!$A$6:$A$179,$A16)=G16,0,1)</x:f>
        <x:v>0</x:v>
      </x:c>
      <x:c r="R16" s="30" t="str">
        <x:f>IF(AND(J16=0,M16=0,P16=0,Q16=0),"Match","Mismatch")</x:f>
        <x:v>Match</x:v>
      </x:c>
      <x:c r="S16" s="30" t="str">
        <x:v>BPS-CO-2020</x:v>
      </x:c>
      <x:c r="T16" s="30" t="str">
        <x:v>raw/county/co2020a.txt</x:v>
      </x:c>
      <x:c r="U16" s="56" t="n">
        <x:v>2685</x:v>
      </x:c>
    </x:row>
    <x:row r="17" ht="21" customHeight="1">
      <x:c r="A17" s="56" t="n">
        <x:v>2020</x:v>
      </x:c>
      <x:c r="B17" s="30" t="str">
        <x:v>Juab County</x:v>
      </x:c>
      <x:c r="C17" s="58" t="str">
        <x:v>49023</x:v>
      </x:c>
      <x:c r="D17" s="47" t="n">
        <x:v>69</x:v>
      </x:c>
      <x:c r="E17" s="47" t="n">
        <x:v>10</x:v>
      </x:c>
      <x:c r="F17" s="47" t="n">
        <x:v>4</x:v>
      </x:c>
      <x:c r="G17" s="47" t="n">
        <x:v>25</x:v>
      </x:c>
      <x:c r="H17" s="47" t="n">
        <x:f>SUM(D17:G17)</x:f>
        <x:v>108</x:v>
      </x:c>
      <x:c r="I17" s="47" t="n">
        <x:f>SUMIFS('County annual'!$H$6:$H$179,'County annual'!$C$6:$C$179,$C17,'County annual'!$A$6:$A$179,$A17)</x:f>
        <x:v>108</x:v>
      </x:c>
      <x:c r="J17" s="47" t="n">
        <x:f>I17-H17</x:f>
        <x:v>0</x:v>
      </x:c>
      <x:c r="K17" s="62" t="n">
        <x:v>28711867</x:v>
      </x:c>
      <x:c r="L17" s="62" t="n">
        <x:f>SUMIFS('County annual'!$J$6:$J$179,'County annual'!$C$6:$C$179,$C17,'County annual'!$A$6:$A$179,$A17)</x:f>
        <x:v>28711867</x:v>
      </x:c>
      <x:c r="M17" s="62" t="n">
        <x:f>L17-K17</x:f>
        <x:v>0</x:v>
      </x:c>
      <x:c r="N17" s="47" t="n">
        <x:v>92</x:v>
      </x:c>
      <x:c r="O17" s="47" t="n">
        <x:f>SUMIFS('County annual'!$K$6:$K$179,'County annual'!$C$6:$C$179,$C17,'County annual'!$A$6:$A$179,$A17)</x:f>
        <x:v>92</x:v>
      </x:c>
      <x:c r="P17" s="47" t="n">
        <x:f>O17-N17</x:f>
        <x:v>0</x:v>
      </x:c>
      <x:c r="Q17" s="47" t="n">
        <x:f>IF(SUMIFS('County annual'!$D$6:$D$179,'County annual'!$C$6:$C$179,$C17,'County annual'!$A$6:$A$179,$A17)=D17,0,1)+IF(SUMIFS('County annual'!$E$6:$E$179,'County annual'!$C$6:$C$179,$C17,'County annual'!$A$6:$A$179,$A17)=E17,0,1)+IF(SUMIFS('County annual'!$F$6:$F$179,'County annual'!$C$6:$C$179,$C17,'County annual'!$A$6:$A$179,$A17)=F17,0,1)+IF(SUMIFS('County annual'!$G$6:$G$179,'County annual'!$C$6:$C$179,$C17,'County annual'!$A$6:$A$179,$A17)=G17,0,1)</x:f>
        <x:v>0</x:v>
      </x:c>
      <x:c r="R17" s="30" t="str">
        <x:f>IF(AND(J17=0,M17=0,P17=0,Q17=0),"Match","Mismatch")</x:f>
        <x:v>Match</x:v>
      </x:c>
      <x:c r="S17" s="30" t="str">
        <x:v>BPS-CO-2020</x:v>
      </x:c>
      <x:c r="T17" s="30" t="str">
        <x:v>raw/county/co2020a.txt</x:v>
      </x:c>
      <x:c r="U17" s="56" t="n">
        <x:v>2686</x:v>
      </x:c>
    </x:row>
    <x:row r="18" ht="21" customHeight="1">
      <x:c r="A18" s="56" t="n">
        <x:v>2020</x:v>
      </x:c>
      <x:c r="B18" s="30" t="str">
        <x:v>Kane County</x:v>
      </x:c>
      <x:c r="C18" s="58" t="str">
        <x:v>49025</x:v>
      </x:c>
      <x:c r="D18" s="47" t="n">
        <x:v>231</x:v>
      </x:c>
      <x:c r="E18" s="47" t="n">
        <x:v>2</x:v>
      </x:c>
      <x:c r="F18" s="47" t="n">
        <x:v>3</x:v>
      </x:c>
      <x:c r="G18" s="47" t="n">
        <x:v>0</x:v>
      </x:c>
      <x:c r="H18" s="47" t="n">
        <x:f>SUM(D18:G18)</x:f>
        <x:v>236</x:v>
      </x:c>
      <x:c r="I18" s="47" t="n">
        <x:f>SUMIFS('County annual'!$H$6:$H$179,'County annual'!$C$6:$C$179,$C18,'County annual'!$A$6:$A$179,$A18)</x:f>
        <x:v>236</x:v>
      </x:c>
      <x:c r="J18" s="47" t="n">
        <x:f>I18-H18</x:f>
        <x:v>0</x:v>
      </x:c>
      <x:c r="K18" s="62" t="n">
        <x:v>60386201</x:v>
      </x:c>
      <x:c r="L18" s="62" t="n">
        <x:f>SUMIFS('County annual'!$J$6:$J$179,'County annual'!$C$6:$C$179,$C18,'County annual'!$A$6:$A$179,$A18)</x:f>
        <x:v>60386201</x:v>
      </x:c>
      <x:c r="M18" s="62" t="n">
        <x:f>L18-K18</x:f>
        <x:v>0</x:v>
      </x:c>
      <x:c r="N18" s="47" t="n">
        <x:v>235</x:v>
      </x:c>
      <x:c r="O18" s="47" t="n">
        <x:f>SUMIFS('County annual'!$K$6:$K$179,'County annual'!$C$6:$C$179,$C18,'County annual'!$A$6:$A$179,$A18)</x:f>
        <x:v>235</x:v>
      </x:c>
      <x:c r="P18" s="47" t="n">
        <x:f>O18-N18</x:f>
        <x:v>0</x:v>
      </x:c>
      <x:c r="Q18" s="47" t="n">
        <x:f>IF(SUMIFS('County annual'!$D$6:$D$179,'County annual'!$C$6:$C$179,$C18,'County annual'!$A$6:$A$179,$A18)=D18,0,1)+IF(SUMIFS('County annual'!$E$6:$E$179,'County annual'!$C$6:$C$179,$C18,'County annual'!$A$6:$A$179,$A18)=E18,0,1)+IF(SUMIFS('County annual'!$F$6:$F$179,'County annual'!$C$6:$C$179,$C18,'County annual'!$A$6:$A$179,$A18)=F18,0,1)+IF(SUMIFS('County annual'!$G$6:$G$179,'County annual'!$C$6:$C$179,$C18,'County annual'!$A$6:$A$179,$A18)=G18,0,1)</x:f>
        <x:v>0</x:v>
      </x:c>
      <x:c r="R18" s="30" t="str">
        <x:f>IF(AND(J18=0,M18=0,P18=0,Q18=0),"Match","Mismatch")</x:f>
        <x:v>Match</x:v>
      </x:c>
      <x:c r="S18" s="30" t="str">
        <x:v>BPS-CO-2020</x:v>
      </x:c>
      <x:c r="T18" s="30" t="str">
        <x:v>raw/county/co2020a.txt</x:v>
      </x:c>
      <x:c r="U18" s="56" t="n">
        <x:v>2687</x:v>
      </x:c>
    </x:row>
    <x:row r="19" ht="21" customHeight="1">
      <x:c r="A19" s="56" t="n">
        <x:v>2020</x:v>
      </x:c>
      <x:c r="B19" s="30" t="str">
        <x:v>Millard County</x:v>
      </x:c>
      <x:c r="C19" s="58" t="str">
        <x:v>49027</x:v>
      </x:c>
      <x:c r="D19" s="47" t="n">
        <x:v>55</x:v>
      </x:c>
      <x:c r="E19" s="47" t="n">
        <x:v>4</x:v>
      </x:c>
      <x:c r="F19" s="47" t="n">
        <x:v>4</x:v>
      </x:c>
      <x:c r="G19" s="47" t="n">
        <x:v>0</x:v>
      </x:c>
      <x:c r="H19" s="47" t="n">
        <x:f>SUM(D19:G19)</x:f>
        <x:v>63</x:v>
      </x:c>
      <x:c r="I19" s="47" t="n">
        <x:f>SUMIFS('County annual'!$H$6:$H$179,'County annual'!$C$6:$C$179,$C19,'County annual'!$A$6:$A$179,$A19)</x:f>
        <x:v>63</x:v>
      </x:c>
      <x:c r="J19" s="47" t="n">
        <x:f>I19-H19</x:f>
        <x:v>0</x:v>
      </x:c>
      <x:c r="K19" s="62" t="n">
        <x:v>10711866</x:v>
      </x:c>
      <x:c r="L19" s="62" t="n">
        <x:f>SUMIFS('County annual'!$J$6:$J$179,'County annual'!$C$6:$C$179,$C19,'County annual'!$A$6:$A$179,$A19)</x:f>
        <x:v>10711866</x:v>
      </x:c>
      <x:c r="M19" s="62" t="n">
        <x:f>L19-K19</x:f>
        <x:v>0</x:v>
      </x:c>
      <x:c r="N19" s="47" t="n">
        <x:v>62</x:v>
      </x:c>
      <x:c r="O19" s="47" t="n">
        <x:f>SUMIFS('County annual'!$K$6:$K$179,'County annual'!$C$6:$C$179,$C19,'County annual'!$A$6:$A$179,$A19)</x:f>
        <x:v>62</x:v>
      </x:c>
      <x:c r="P19" s="47" t="n">
        <x:f>O19-N19</x:f>
        <x:v>0</x:v>
      </x:c>
      <x:c r="Q19" s="47" t="n">
        <x:f>IF(SUMIFS('County annual'!$D$6:$D$179,'County annual'!$C$6:$C$179,$C19,'County annual'!$A$6:$A$179,$A19)=D19,0,1)+IF(SUMIFS('County annual'!$E$6:$E$179,'County annual'!$C$6:$C$179,$C19,'County annual'!$A$6:$A$179,$A19)=E19,0,1)+IF(SUMIFS('County annual'!$F$6:$F$179,'County annual'!$C$6:$C$179,$C19,'County annual'!$A$6:$A$179,$A19)=F19,0,1)+IF(SUMIFS('County annual'!$G$6:$G$179,'County annual'!$C$6:$C$179,$C19,'County annual'!$A$6:$A$179,$A19)=G19,0,1)</x:f>
        <x:v>0</x:v>
      </x:c>
      <x:c r="R19" s="30" t="str">
        <x:f>IF(AND(J19=0,M19=0,P19=0,Q19=0),"Match","Mismatch")</x:f>
        <x:v>Match</x:v>
      </x:c>
      <x:c r="S19" s="30" t="str">
        <x:v>BPS-CO-2020</x:v>
      </x:c>
      <x:c r="T19" s="30" t="str">
        <x:v>raw/county/co2020a.txt</x:v>
      </x:c>
      <x:c r="U19" s="56" t="n">
        <x:v>2688</x:v>
      </x:c>
    </x:row>
    <x:row r="20" ht="21" customHeight="1">
      <x:c r="A20" s="56" t="n">
        <x:v>2020</x:v>
      </x:c>
      <x:c r="B20" s="30" t="str">
        <x:v>Morgan County</x:v>
      </x:c>
      <x:c r="C20" s="58" t="str">
        <x:v>49029</x:v>
      </x:c>
      <x:c r="D20" s="47" t="n">
        <x:v>80</x:v>
      </x:c>
      <x:c r="E20" s="47" t="n">
        <x:v>0</x:v>
      </x:c>
      <x:c r="F20" s="47" t="n">
        <x:v>25</x:v>
      </x:c>
      <x:c r="G20" s="47" t="n">
        <x:v>0</x:v>
      </x:c>
      <x:c r="H20" s="47" t="n">
        <x:f>SUM(D20:G20)</x:f>
        <x:v>105</x:v>
      </x:c>
      <x:c r="I20" s="47" t="n">
        <x:f>SUMIFS('County annual'!$H$6:$H$179,'County annual'!$C$6:$C$179,$C20,'County annual'!$A$6:$A$179,$A20)</x:f>
        <x:v>105</x:v>
      </x:c>
      <x:c r="J20" s="47" t="n">
        <x:f>I20-H20</x:f>
        <x:v>0</x:v>
      </x:c>
      <x:c r="K20" s="62" t="n">
        <x:v>44884698</x:v>
      </x:c>
      <x:c r="L20" s="62" t="n">
        <x:f>SUMIFS('County annual'!$J$6:$J$179,'County annual'!$C$6:$C$179,$C20,'County annual'!$A$6:$A$179,$A20)</x:f>
        <x:v>44884698</x:v>
      </x:c>
      <x:c r="M20" s="62" t="n">
        <x:f>L20-K20</x:f>
        <x:v>0</x:v>
      </x:c>
      <x:c r="N20" s="47" t="n">
        <x:v>105</x:v>
      </x:c>
      <x:c r="O20" s="47" t="n">
        <x:f>SUMIFS('County annual'!$K$6:$K$179,'County annual'!$C$6:$C$179,$C20,'County annual'!$A$6:$A$179,$A20)</x:f>
        <x:v>105</x:v>
      </x:c>
      <x:c r="P20" s="47" t="n">
        <x:f>O20-N20</x:f>
        <x:v>0</x:v>
      </x:c>
      <x:c r="Q20" s="47" t="n">
        <x:f>IF(SUMIFS('County annual'!$D$6:$D$179,'County annual'!$C$6:$C$179,$C20,'County annual'!$A$6:$A$179,$A20)=D20,0,1)+IF(SUMIFS('County annual'!$E$6:$E$179,'County annual'!$C$6:$C$179,$C20,'County annual'!$A$6:$A$179,$A20)=E20,0,1)+IF(SUMIFS('County annual'!$F$6:$F$179,'County annual'!$C$6:$C$179,$C20,'County annual'!$A$6:$A$179,$A20)=F20,0,1)+IF(SUMIFS('County annual'!$G$6:$G$179,'County annual'!$C$6:$C$179,$C20,'County annual'!$A$6:$A$179,$A20)=G20,0,1)</x:f>
        <x:v>0</x:v>
      </x:c>
      <x:c r="R20" s="30" t="str">
        <x:f>IF(AND(J20=0,M20=0,P20=0,Q20=0),"Match","Mismatch")</x:f>
        <x:v>Match</x:v>
      </x:c>
      <x:c r="S20" s="30" t="str">
        <x:v>BPS-CO-2020</x:v>
      </x:c>
      <x:c r="T20" s="30" t="str">
        <x:v>raw/county/co2020a.txt</x:v>
      </x:c>
      <x:c r="U20" s="56" t="n">
        <x:v>2689</x:v>
      </x:c>
    </x:row>
    <x:row r="21" ht="21" customHeight="1">
      <x:c r="A21" s="56" t="n">
        <x:v>2020</x:v>
      </x:c>
      <x:c r="B21" s="30" t="str">
        <x:v>Piute County</x:v>
      </x:c>
      <x:c r="C21" s="58" t="str">
        <x:v>49031</x:v>
      </x:c>
      <x:c r="D21" s="47" t="n">
        <x:v>26</x:v>
      </x:c>
      <x:c r="E21" s="47" t="n">
        <x:v>0</x:v>
      </x:c>
      <x:c r="F21" s="47" t="n">
        <x:v>0</x:v>
      </x:c>
      <x:c r="G21" s="47" t="n">
        <x:v>0</x:v>
      </x:c>
      <x:c r="H21" s="47" t="n">
        <x:f>SUM(D21:G21)</x:f>
        <x:v>26</x:v>
      </x:c>
      <x:c r="I21" s="47" t="n">
        <x:f>SUMIFS('County annual'!$H$6:$H$179,'County annual'!$C$6:$C$179,$C21,'County annual'!$A$6:$A$179,$A21)</x:f>
        <x:v>26</x:v>
      </x:c>
      <x:c r="J21" s="47" t="n">
        <x:f>I21-H21</x:f>
        <x:v>0</x:v>
      </x:c>
      <x:c r="K21" s="62" t="n">
        <x:v>4155930</x:v>
      </x:c>
      <x:c r="L21" s="62" t="n">
        <x:f>SUMIFS('County annual'!$J$6:$J$179,'County annual'!$C$6:$C$179,$C21,'County annual'!$A$6:$A$179,$A21)</x:f>
        <x:v>4155930</x:v>
      </x:c>
      <x:c r="M21" s="62" t="n">
        <x:f>L21-K21</x:f>
        <x:v>0</x:v>
      </x:c>
      <x:c r="N21" s="47" t="n">
        <x:v>0</x:v>
      </x:c>
      <x:c r="O21" s="47" t="n">
        <x:f>SUMIFS('County annual'!$K$6:$K$179,'County annual'!$C$6:$C$179,$C21,'County annual'!$A$6:$A$179,$A21)</x:f>
        <x:v>0</x:v>
      </x:c>
      <x:c r="P21" s="47" t="n">
        <x:f>O21-N21</x:f>
        <x:v>0</x:v>
      </x:c>
      <x:c r="Q21" s="47" t="n">
        <x:f>IF(SUMIFS('County annual'!$D$6:$D$179,'County annual'!$C$6:$C$179,$C21,'County annual'!$A$6:$A$179,$A21)=D21,0,1)+IF(SUMIFS('County annual'!$E$6:$E$179,'County annual'!$C$6:$C$179,$C21,'County annual'!$A$6:$A$179,$A21)=E21,0,1)+IF(SUMIFS('County annual'!$F$6:$F$179,'County annual'!$C$6:$C$179,$C21,'County annual'!$A$6:$A$179,$A21)=F21,0,1)+IF(SUMIFS('County annual'!$G$6:$G$179,'County annual'!$C$6:$C$179,$C21,'County annual'!$A$6:$A$179,$A21)=G21,0,1)</x:f>
        <x:v>0</x:v>
      </x:c>
      <x:c r="R21" s="30" t="str">
        <x:f>IF(AND(J21=0,M21=0,P21=0,Q21=0),"Match","Mismatch")</x:f>
        <x:v>Match</x:v>
      </x:c>
      <x:c r="S21" s="30" t="str">
        <x:v>BPS-CO-2020</x:v>
      </x:c>
      <x:c r="T21" s="30" t="str">
        <x:v>raw/county/co2020a.txt</x:v>
      </x:c>
      <x:c r="U21" s="56" t="n">
        <x:v>2690</x:v>
      </x:c>
    </x:row>
    <x:row r="22" ht="21" customHeight="1">
      <x:c r="A22" s="56" t="n">
        <x:v>2020</x:v>
      </x:c>
      <x:c r="B22" s="30" t="str">
        <x:v>Rich County</x:v>
      </x:c>
      <x:c r="C22" s="58" t="str">
        <x:v>49033</x:v>
      </x:c>
      <x:c r="D22" s="47" t="n">
        <x:v>53</x:v>
      </x:c>
      <x:c r="E22" s="47" t="n">
        <x:v>0</x:v>
      </x:c>
      <x:c r="F22" s="47" t="n">
        <x:v>0</x:v>
      </x:c>
      <x:c r="G22" s="47" t="n">
        <x:v>0</x:v>
      </x:c>
      <x:c r="H22" s="47" t="n">
        <x:f>SUM(D22:G22)</x:f>
        <x:v>53</x:v>
      </x:c>
      <x:c r="I22" s="47" t="n">
        <x:f>SUMIFS('County annual'!$H$6:$H$179,'County annual'!$C$6:$C$179,$C22,'County annual'!$A$6:$A$179,$A22)</x:f>
        <x:v>53</x:v>
      </x:c>
      <x:c r="J22" s="47" t="n">
        <x:f>I22-H22</x:f>
        <x:v>0</x:v>
      </x:c>
      <x:c r="K22" s="62" t="n">
        <x:v>17192563</x:v>
      </x:c>
      <x:c r="L22" s="62" t="n">
        <x:f>SUMIFS('County annual'!$J$6:$J$179,'County annual'!$C$6:$C$179,$C22,'County annual'!$A$6:$A$179,$A22)</x:f>
        <x:v>17192563</x:v>
      </x:c>
      <x:c r="M22" s="62" t="n">
        <x:f>L22-K22</x:f>
        <x:v>0</x:v>
      </x:c>
      <x:c r="N22" s="47" t="n">
        <x:v>0</x:v>
      </x:c>
      <x:c r="O22" s="47" t="n">
        <x:f>SUMIFS('County annual'!$K$6:$K$179,'County annual'!$C$6:$C$179,$C22,'County annual'!$A$6:$A$179,$A22)</x:f>
        <x:v>0</x:v>
      </x:c>
      <x:c r="P22" s="47" t="n">
        <x:f>O22-N22</x:f>
        <x:v>0</x:v>
      </x:c>
      <x:c r="Q22" s="47" t="n">
        <x:f>IF(SUMIFS('County annual'!$D$6:$D$179,'County annual'!$C$6:$C$179,$C22,'County annual'!$A$6:$A$179,$A22)=D22,0,1)+IF(SUMIFS('County annual'!$E$6:$E$179,'County annual'!$C$6:$C$179,$C22,'County annual'!$A$6:$A$179,$A22)=E22,0,1)+IF(SUMIFS('County annual'!$F$6:$F$179,'County annual'!$C$6:$C$179,$C22,'County annual'!$A$6:$A$179,$A22)=F22,0,1)+IF(SUMIFS('County annual'!$G$6:$G$179,'County annual'!$C$6:$C$179,$C22,'County annual'!$A$6:$A$179,$A22)=G22,0,1)</x:f>
        <x:v>0</x:v>
      </x:c>
      <x:c r="R22" s="30" t="str">
        <x:f>IF(AND(J22=0,M22=0,P22=0,Q22=0),"Match","Mismatch")</x:f>
        <x:v>Match</x:v>
      </x:c>
      <x:c r="S22" s="30" t="str">
        <x:v>BPS-CO-2020</x:v>
      </x:c>
      <x:c r="T22" s="30" t="str">
        <x:v>raw/county/co2020a.txt</x:v>
      </x:c>
      <x:c r="U22" s="56" t="n">
        <x:v>2691</x:v>
      </x:c>
    </x:row>
    <x:row r="23" ht="21" customHeight="1">
      <x:c r="A23" s="56" t="n">
        <x:v>2020</x:v>
      </x:c>
      <x:c r="B23" s="30" t="str">
        <x:v>Salt Lake County</x:v>
      </x:c>
      <x:c r="C23" s="58" t="str">
        <x:v>49035</x:v>
      </x:c>
      <x:c r="D23" s="47" t="n">
        <x:v>4322</x:v>
      </x:c>
      <x:c r="E23" s="47" t="n">
        <x:v>274</x:v>
      </x:c>
      <x:c r="F23" s="47" t="n">
        <x:v>249</x:v>
      </x:c>
      <x:c r="G23" s="47" t="n">
        <x:v>5256</x:v>
      </x:c>
      <x:c r="H23" s="47" t="n">
        <x:f>SUM(D23:G23)</x:f>
        <x:v>10101</x:v>
      </x:c>
      <x:c r="I23" s="47" t="n">
        <x:f>SUMIFS('County annual'!$H$6:$H$179,'County annual'!$C$6:$C$179,$C23,'County annual'!$A$6:$A$179,$A23)</x:f>
        <x:v>10101</x:v>
      </x:c>
      <x:c r="J23" s="47" t="n">
        <x:f>I23-H23</x:f>
        <x:v>0</x:v>
      </x:c>
      <x:c r="K23" s="62" t="n">
        <x:v>2014033380</x:v>
      </x:c>
      <x:c r="L23" s="62" t="n">
        <x:f>SUMIFS('County annual'!$J$6:$J$179,'County annual'!$C$6:$C$179,$C23,'County annual'!$A$6:$A$179,$A23)</x:f>
        <x:v>2014033380</x:v>
      </x:c>
      <x:c r="M23" s="62" t="n">
        <x:f>L23-K23</x:f>
        <x:v>0</x:v>
      </x:c>
      <x:c r="N23" s="47" t="n">
        <x:v>8892</x:v>
      </x:c>
      <x:c r="O23" s="47" t="n">
        <x:f>SUMIFS('County annual'!$K$6:$K$179,'County annual'!$C$6:$C$179,$C23,'County annual'!$A$6:$A$179,$A23)</x:f>
        <x:v>8892</x:v>
      </x:c>
      <x:c r="P23" s="47" t="n">
        <x:f>O23-N23</x:f>
        <x:v>0</x:v>
      </x:c>
      <x:c r="Q23" s="47" t="n">
        <x:f>IF(SUMIFS('County annual'!$D$6:$D$179,'County annual'!$C$6:$C$179,$C23,'County annual'!$A$6:$A$179,$A23)=D23,0,1)+IF(SUMIFS('County annual'!$E$6:$E$179,'County annual'!$C$6:$C$179,$C23,'County annual'!$A$6:$A$179,$A23)=E23,0,1)+IF(SUMIFS('County annual'!$F$6:$F$179,'County annual'!$C$6:$C$179,$C23,'County annual'!$A$6:$A$179,$A23)=F23,0,1)+IF(SUMIFS('County annual'!$G$6:$G$179,'County annual'!$C$6:$C$179,$C23,'County annual'!$A$6:$A$179,$A23)=G23,0,1)</x:f>
        <x:v>0</x:v>
      </x:c>
      <x:c r="R23" s="30" t="str">
        <x:f>IF(AND(J23=0,M23=0,P23=0,Q23=0),"Match","Mismatch")</x:f>
        <x:v>Match</x:v>
      </x:c>
      <x:c r="S23" s="30" t="str">
        <x:v>BPS-CO-2020</x:v>
      </x:c>
      <x:c r="T23" s="30" t="str">
        <x:v>raw/county/co2020a.txt</x:v>
      </x:c>
      <x:c r="U23" s="56" t="n">
        <x:v>2692</x:v>
      </x:c>
    </x:row>
    <x:row r="24" ht="21" customHeight="1">
      <x:c r="A24" s="56" t="n">
        <x:v>2020</x:v>
      </x:c>
      <x:c r="B24" s="30" t="str">
        <x:v>San Juan County</x:v>
      </x:c>
      <x:c r="C24" s="58" t="str">
        <x:v>49037</x:v>
      </x:c>
      <x:c r="D24" s="47" t="n">
        <x:v>46</x:v>
      </x:c>
      <x:c r="E24" s="47" t="n">
        <x:v>0</x:v>
      </x:c>
      <x:c r="F24" s="47" t="n">
        <x:v>0</x:v>
      </x:c>
      <x:c r="G24" s="47" t="n">
        <x:v>0</x:v>
      </x:c>
      <x:c r="H24" s="47" t="n">
        <x:f>SUM(D24:G24)</x:f>
        <x:v>46</x:v>
      </x:c>
      <x:c r="I24" s="47" t="n">
        <x:f>SUMIFS('County annual'!$H$6:$H$179,'County annual'!$C$6:$C$179,$C24,'County annual'!$A$6:$A$179,$A24)</x:f>
        <x:v>46</x:v>
      </x:c>
      <x:c r="J24" s="47" t="n">
        <x:f>I24-H24</x:f>
        <x:v>0</x:v>
      </x:c>
      <x:c r="K24" s="62" t="n">
        <x:v>7171344</x:v>
      </x:c>
      <x:c r="L24" s="62" t="n">
        <x:f>SUMIFS('County annual'!$J$6:$J$179,'County annual'!$C$6:$C$179,$C24,'County annual'!$A$6:$A$179,$A24)</x:f>
        <x:v>7171344</x:v>
      </x:c>
      <x:c r="M24" s="62" t="n">
        <x:f>L24-K24</x:f>
        <x:v>0</x:v>
      </x:c>
      <x:c r="N24" s="47" t="n">
        <x:v>8</x:v>
      </x:c>
      <x:c r="O24" s="47" t="n">
        <x:f>SUMIFS('County annual'!$K$6:$K$179,'County annual'!$C$6:$C$179,$C24,'County annual'!$A$6:$A$179,$A24)</x:f>
        <x:v>8</x:v>
      </x:c>
      <x:c r="P24" s="47" t="n">
        <x:f>O24-N24</x:f>
        <x:v>0</x:v>
      </x:c>
      <x:c r="Q24" s="47" t="n">
        <x:f>IF(SUMIFS('County annual'!$D$6:$D$179,'County annual'!$C$6:$C$179,$C24,'County annual'!$A$6:$A$179,$A24)=D24,0,1)+IF(SUMIFS('County annual'!$E$6:$E$179,'County annual'!$C$6:$C$179,$C24,'County annual'!$A$6:$A$179,$A24)=E24,0,1)+IF(SUMIFS('County annual'!$F$6:$F$179,'County annual'!$C$6:$C$179,$C24,'County annual'!$A$6:$A$179,$A24)=F24,0,1)+IF(SUMIFS('County annual'!$G$6:$G$179,'County annual'!$C$6:$C$179,$C24,'County annual'!$A$6:$A$179,$A24)=G24,0,1)</x:f>
        <x:v>0</x:v>
      </x:c>
      <x:c r="R24" s="30" t="str">
        <x:f>IF(AND(J24=0,M24=0,P24=0,Q24=0),"Match","Mismatch")</x:f>
        <x:v>Match</x:v>
      </x:c>
      <x:c r="S24" s="30" t="str">
        <x:v>BPS-CO-2020</x:v>
      </x:c>
      <x:c r="T24" s="30" t="str">
        <x:v>raw/county/co2020a.txt</x:v>
      </x:c>
      <x:c r="U24" s="56" t="n">
        <x:v>2693</x:v>
      </x:c>
    </x:row>
    <x:row r="25" ht="21" customHeight="1">
      <x:c r="A25" s="56" t="n">
        <x:v>2020</x:v>
      </x:c>
      <x:c r="B25" s="30" t="str">
        <x:v>Sanpete County</x:v>
      </x:c>
      <x:c r="C25" s="58" t="str">
        <x:v>49039</x:v>
      </x:c>
      <x:c r="D25" s="47" t="n">
        <x:v>73</x:v>
      </x:c>
      <x:c r="E25" s="47" t="n">
        <x:v>0</x:v>
      </x:c>
      <x:c r="F25" s="47" t="n">
        <x:v>0</x:v>
      </x:c>
      <x:c r="G25" s="47" t="n">
        <x:v>0</x:v>
      </x:c>
      <x:c r="H25" s="47" t="n">
        <x:f>SUM(D25:G25)</x:f>
        <x:v>73</x:v>
      </x:c>
      <x:c r="I25" s="47" t="n">
        <x:f>SUMIFS('County annual'!$H$6:$H$179,'County annual'!$C$6:$C$179,$C25,'County annual'!$A$6:$A$179,$A25)</x:f>
        <x:v>73</x:v>
      </x:c>
      <x:c r="J25" s="47" t="n">
        <x:f>I25-H25</x:f>
        <x:v>0</x:v>
      </x:c>
      <x:c r="K25" s="62" t="n">
        <x:v>14797439</x:v>
      </x:c>
      <x:c r="L25" s="62" t="n">
        <x:f>SUMIFS('County annual'!$J$6:$J$179,'County annual'!$C$6:$C$179,$C25,'County annual'!$A$6:$A$179,$A25)</x:f>
        <x:v>14797439</x:v>
      </x:c>
      <x:c r="M25" s="62" t="n">
        <x:f>L25-K25</x:f>
        <x:v>0</x:v>
      </x:c>
      <x:c r="N25" s="47" t="n">
        <x:v>73</x:v>
      </x:c>
      <x:c r="O25" s="47" t="n">
        <x:f>SUMIFS('County annual'!$K$6:$K$179,'County annual'!$C$6:$C$179,$C25,'County annual'!$A$6:$A$179,$A25)</x:f>
        <x:v>73</x:v>
      </x:c>
      <x:c r="P25" s="47" t="n">
        <x:f>O25-N25</x:f>
        <x:v>0</x:v>
      </x:c>
      <x:c r="Q25" s="47" t="n">
        <x:f>IF(SUMIFS('County annual'!$D$6:$D$179,'County annual'!$C$6:$C$179,$C25,'County annual'!$A$6:$A$179,$A25)=D25,0,1)+IF(SUMIFS('County annual'!$E$6:$E$179,'County annual'!$C$6:$C$179,$C25,'County annual'!$A$6:$A$179,$A25)=E25,0,1)+IF(SUMIFS('County annual'!$F$6:$F$179,'County annual'!$C$6:$C$179,$C25,'County annual'!$A$6:$A$179,$A25)=F25,0,1)+IF(SUMIFS('County annual'!$G$6:$G$179,'County annual'!$C$6:$C$179,$C25,'County annual'!$A$6:$A$179,$A25)=G25,0,1)</x:f>
        <x:v>0</x:v>
      </x:c>
      <x:c r="R25" s="30" t="str">
        <x:f>IF(AND(J25=0,M25=0,P25=0,Q25=0),"Match","Mismatch")</x:f>
        <x:v>Match</x:v>
      </x:c>
      <x:c r="S25" s="30" t="str">
        <x:v>BPS-CO-2020</x:v>
      </x:c>
      <x:c r="T25" s="30" t="str">
        <x:v>raw/county/co2020a.txt</x:v>
      </x:c>
      <x:c r="U25" s="56" t="n">
        <x:v>2694</x:v>
      </x:c>
    </x:row>
    <x:row r="26" ht="21" customHeight="1">
      <x:c r="A26" s="56" t="n">
        <x:v>2020</x:v>
      </x:c>
      <x:c r="B26" s="30" t="str">
        <x:v>Sevier County</x:v>
      </x:c>
      <x:c r="C26" s="58" t="str">
        <x:v>49041</x:v>
      </x:c>
      <x:c r="D26" s="47" t="n">
        <x:v>101</x:v>
      </x:c>
      <x:c r="E26" s="47" t="n">
        <x:v>4</x:v>
      </x:c>
      <x:c r="F26" s="47" t="n">
        <x:v>0</x:v>
      </x:c>
      <x:c r="G26" s="47" t="n">
        <x:v>0</x:v>
      </x:c>
      <x:c r="H26" s="47" t="n">
        <x:f>SUM(D26:G26)</x:f>
        <x:v>105</x:v>
      </x:c>
      <x:c r="I26" s="47" t="n">
        <x:f>SUMIFS('County annual'!$H$6:$H$179,'County annual'!$C$6:$C$179,$C26,'County annual'!$A$6:$A$179,$A26)</x:f>
        <x:v>105</x:v>
      </x:c>
      <x:c r="J26" s="47" t="n">
        <x:f>I26-H26</x:f>
        <x:v>0</x:v>
      </x:c>
      <x:c r="K26" s="62" t="n">
        <x:v>25115061</x:v>
      </x:c>
      <x:c r="L26" s="62" t="n">
        <x:f>SUMIFS('County annual'!$J$6:$J$179,'County annual'!$C$6:$C$179,$C26,'County annual'!$A$6:$A$179,$A26)</x:f>
        <x:v>25115061</x:v>
      </x:c>
      <x:c r="M26" s="62" t="n">
        <x:f>L26-K26</x:f>
        <x:v>0</x:v>
      </x:c>
      <x:c r="N26" s="47" t="n">
        <x:v>105</x:v>
      </x:c>
      <x:c r="O26" s="47" t="n">
        <x:f>SUMIFS('County annual'!$K$6:$K$179,'County annual'!$C$6:$C$179,$C26,'County annual'!$A$6:$A$179,$A26)</x:f>
        <x:v>105</x:v>
      </x:c>
      <x:c r="P26" s="47" t="n">
        <x:f>O26-N26</x:f>
        <x:v>0</x:v>
      </x:c>
      <x:c r="Q26" s="47" t="n">
        <x:f>IF(SUMIFS('County annual'!$D$6:$D$179,'County annual'!$C$6:$C$179,$C26,'County annual'!$A$6:$A$179,$A26)=D26,0,1)+IF(SUMIFS('County annual'!$E$6:$E$179,'County annual'!$C$6:$C$179,$C26,'County annual'!$A$6:$A$179,$A26)=E26,0,1)+IF(SUMIFS('County annual'!$F$6:$F$179,'County annual'!$C$6:$C$179,$C26,'County annual'!$A$6:$A$179,$A26)=F26,0,1)+IF(SUMIFS('County annual'!$G$6:$G$179,'County annual'!$C$6:$C$179,$C26,'County annual'!$A$6:$A$179,$A26)=G26,0,1)</x:f>
        <x:v>0</x:v>
      </x:c>
      <x:c r="R26" s="30" t="str">
        <x:f>IF(AND(J26=0,M26=0,P26=0,Q26=0),"Match","Mismatch")</x:f>
        <x:v>Match</x:v>
      </x:c>
      <x:c r="S26" s="30" t="str">
        <x:v>BPS-CO-2020</x:v>
      </x:c>
      <x:c r="T26" s="30" t="str">
        <x:v>raw/county/co2020a.txt</x:v>
      </x:c>
      <x:c r="U26" s="56" t="n">
        <x:v>2695</x:v>
      </x:c>
    </x:row>
    <x:row r="27" ht="21" customHeight="1">
      <x:c r="A27" s="56" t="n">
        <x:v>2020</x:v>
      </x:c>
      <x:c r="B27" s="30" t="str">
        <x:v>Summit County</x:v>
      </x:c>
      <x:c r="C27" s="58" t="str">
        <x:v>49043</x:v>
      </x:c>
      <x:c r="D27" s="47" t="n">
        <x:v>199</x:v>
      </x:c>
      <x:c r="E27" s="47" t="n">
        <x:v>4</x:v>
      </x:c>
      <x:c r="F27" s="47" t="n">
        <x:v>40</x:v>
      </x:c>
      <x:c r="G27" s="47" t="n">
        <x:v>72</x:v>
      </x:c>
      <x:c r="H27" s="47" t="n">
        <x:f>SUM(D27:G27)</x:f>
        <x:v>315</x:v>
      </x:c>
      <x:c r="I27" s="47" t="n">
        <x:f>SUMIFS('County annual'!$H$6:$H$179,'County annual'!$C$6:$C$179,$C27,'County annual'!$A$6:$A$179,$A27)</x:f>
        <x:v>315</x:v>
      </x:c>
      <x:c r="J27" s="47" t="n">
        <x:f>I27-H27</x:f>
        <x:v>0</x:v>
      </x:c>
      <x:c r="K27" s="62" t="n">
        <x:v>161870436</x:v>
      </x:c>
      <x:c r="L27" s="62" t="n">
        <x:f>SUMIFS('County annual'!$J$6:$J$179,'County annual'!$C$6:$C$179,$C27,'County annual'!$A$6:$A$179,$A27)</x:f>
        <x:v>161870436</x:v>
      </x:c>
      <x:c r="M27" s="62" t="n">
        <x:f>L27-K27</x:f>
        <x:v>0</x:v>
      </x:c>
      <x:c r="N27" s="47" t="n">
        <x:v>116</x:v>
      </x:c>
      <x:c r="O27" s="47" t="n">
        <x:f>SUMIFS('County annual'!$K$6:$K$179,'County annual'!$C$6:$C$179,$C27,'County annual'!$A$6:$A$179,$A27)</x:f>
        <x:v>116</x:v>
      </x:c>
      <x:c r="P27" s="47" t="n">
        <x:f>O27-N27</x:f>
        <x:v>0</x:v>
      </x:c>
      <x:c r="Q27" s="47" t="n">
        <x:f>IF(SUMIFS('County annual'!$D$6:$D$179,'County annual'!$C$6:$C$179,$C27,'County annual'!$A$6:$A$179,$A27)=D27,0,1)+IF(SUMIFS('County annual'!$E$6:$E$179,'County annual'!$C$6:$C$179,$C27,'County annual'!$A$6:$A$179,$A27)=E27,0,1)+IF(SUMIFS('County annual'!$F$6:$F$179,'County annual'!$C$6:$C$179,$C27,'County annual'!$A$6:$A$179,$A27)=F27,0,1)+IF(SUMIFS('County annual'!$G$6:$G$179,'County annual'!$C$6:$C$179,$C27,'County annual'!$A$6:$A$179,$A27)=G27,0,1)</x:f>
        <x:v>0</x:v>
      </x:c>
      <x:c r="R27" s="30" t="str">
        <x:f>IF(AND(J27=0,M27=0,P27=0,Q27=0),"Match","Mismatch")</x:f>
        <x:v>Match</x:v>
      </x:c>
      <x:c r="S27" s="30" t="str">
        <x:v>BPS-CO-2020</x:v>
      </x:c>
      <x:c r="T27" s="30" t="str">
        <x:v>raw/county/co2020a.txt</x:v>
      </x:c>
      <x:c r="U27" s="56" t="n">
        <x:v>2696</x:v>
      </x:c>
    </x:row>
    <x:row r="28" ht="21" customHeight="1">
      <x:c r="A28" s="56" t="n">
        <x:v>2020</x:v>
      </x:c>
      <x:c r="B28" s="30" t="str">
        <x:v>Tooele County</x:v>
      </x:c>
      <x:c r="C28" s="58" t="str">
        <x:v>49045</x:v>
      </x:c>
      <x:c r="D28" s="47" t="n">
        <x:v>881</x:v>
      </x:c>
      <x:c r="E28" s="47" t="n">
        <x:v>6</x:v>
      </x:c>
      <x:c r="F28" s="47" t="n">
        <x:v>11</x:v>
      </x:c>
      <x:c r="G28" s="47" t="n">
        <x:v>34</x:v>
      </x:c>
      <x:c r="H28" s="47" t="n">
        <x:f>SUM(D28:G28)</x:f>
        <x:v>932</x:v>
      </x:c>
      <x:c r="I28" s="47" t="n">
        <x:f>SUMIFS('County annual'!$H$6:$H$179,'County annual'!$C$6:$C$179,$C28,'County annual'!$A$6:$A$179,$A28)</x:f>
        <x:v>932</x:v>
      </x:c>
      <x:c r="J28" s="47" t="n">
        <x:f>I28-H28</x:f>
        <x:v>0</x:v>
      </x:c>
      <x:c r="K28" s="62" t="n">
        <x:v>213859857</x:v>
      </x:c>
      <x:c r="L28" s="62" t="n">
        <x:f>SUMIFS('County annual'!$J$6:$J$179,'County annual'!$C$6:$C$179,$C28,'County annual'!$A$6:$A$179,$A28)</x:f>
        <x:v>213859857</x:v>
      </x:c>
      <x:c r="M28" s="62" t="n">
        <x:f>L28-K28</x:f>
        <x:v>0</x:v>
      </x:c>
      <x:c r="N28" s="47" t="n">
        <x:v>932</x:v>
      </x:c>
      <x:c r="O28" s="47" t="n">
        <x:f>SUMIFS('County annual'!$K$6:$K$179,'County annual'!$C$6:$C$179,$C28,'County annual'!$A$6:$A$179,$A28)</x:f>
        <x:v>932</x:v>
      </x:c>
      <x:c r="P28" s="47" t="n">
        <x:f>O28-N28</x:f>
        <x:v>0</x:v>
      </x:c>
      <x:c r="Q28" s="47" t="n">
        <x:f>IF(SUMIFS('County annual'!$D$6:$D$179,'County annual'!$C$6:$C$179,$C28,'County annual'!$A$6:$A$179,$A28)=D28,0,1)+IF(SUMIFS('County annual'!$E$6:$E$179,'County annual'!$C$6:$C$179,$C28,'County annual'!$A$6:$A$179,$A28)=E28,0,1)+IF(SUMIFS('County annual'!$F$6:$F$179,'County annual'!$C$6:$C$179,$C28,'County annual'!$A$6:$A$179,$A28)=F28,0,1)+IF(SUMIFS('County annual'!$G$6:$G$179,'County annual'!$C$6:$C$179,$C28,'County annual'!$A$6:$A$179,$A28)=G28,0,1)</x:f>
        <x:v>0</x:v>
      </x:c>
      <x:c r="R28" s="30" t="str">
        <x:f>IF(AND(J28=0,M28=0,P28=0,Q28=0),"Match","Mismatch")</x:f>
        <x:v>Match</x:v>
      </x:c>
      <x:c r="S28" s="30" t="str">
        <x:v>BPS-CO-2020</x:v>
      </x:c>
      <x:c r="T28" s="30" t="str">
        <x:v>raw/county/co2020a.txt</x:v>
      </x:c>
      <x:c r="U28" s="56" t="n">
        <x:v>2697</x:v>
      </x:c>
    </x:row>
    <x:row r="29" ht="21" customHeight="1">
      <x:c r="A29" s="56" t="n">
        <x:v>2020</x:v>
      </x:c>
      <x:c r="B29" s="30" t="str">
        <x:v>Uintah County</x:v>
      </x:c>
      <x:c r="C29" s="58" t="str">
        <x:v>49047</x:v>
      </x:c>
      <x:c r="D29" s="47" t="n">
        <x:v>59</x:v>
      </x:c>
      <x:c r="E29" s="47" t="n">
        <x:v>0</x:v>
      </x:c>
      <x:c r="F29" s="47" t="n">
        <x:v>0</x:v>
      </x:c>
      <x:c r="G29" s="47" t="n">
        <x:v>0</x:v>
      </x:c>
      <x:c r="H29" s="47" t="n">
        <x:f>SUM(D29:G29)</x:f>
        <x:v>59</x:v>
      </x:c>
      <x:c r="I29" s="47" t="n">
        <x:f>SUMIFS('County annual'!$H$6:$H$179,'County annual'!$C$6:$C$179,$C29,'County annual'!$A$6:$A$179,$A29)</x:f>
        <x:v>59</x:v>
      </x:c>
      <x:c r="J29" s="47" t="n">
        <x:f>I29-H29</x:f>
        <x:v>0</x:v>
      </x:c>
      <x:c r="K29" s="62" t="n">
        <x:v>16891102</x:v>
      </x:c>
      <x:c r="L29" s="62" t="n">
        <x:f>SUMIFS('County annual'!$J$6:$J$179,'County annual'!$C$6:$C$179,$C29,'County annual'!$A$6:$A$179,$A29)</x:f>
        <x:v>16891102</x:v>
      </x:c>
      <x:c r="M29" s="62" t="n">
        <x:f>L29-K29</x:f>
        <x:v>0</x:v>
      </x:c>
      <x:c r="N29" s="47" t="n">
        <x:v>59</x:v>
      </x:c>
      <x:c r="O29" s="47" t="n">
        <x:f>SUMIFS('County annual'!$K$6:$K$179,'County annual'!$C$6:$C$179,$C29,'County annual'!$A$6:$A$179,$A29)</x:f>
        <x:v>59</x:v>
      </x:c>
      <x:c r="P29" s="47" t="n">
        <x:f>O29-N29</x:f>
        <x:v>0</x:v>
      </x:c>
      <x:c r="Q29" s="47" t="n">
        <x:f>IF(SUMIFS('County annual'!$D$6:$D$179,'County annual'!$C$6:$C$179,$C29,'County annual'!$A$6:$A$179,$A29)=D29,0,1)+IF(SUMIFS('County annual'!$E$6:$E$179,'County annual'!$C$6:$C$179,$C29,'County annual'!$A$6:$A$179,$A29)=E29,0,1)+IF(SUMIFS('County annual'!$F$6:$F$179,'County annual'!$C$6:$C$179,$C29,'County annual'!$A$6:$A$179,$A29)=F29,0,1)+IF(SUMIFS('County annual'!$G$6:$G$179,'County annual'!$C$6:$C$179,$C29,'County annual'!$A$6:$A$179,$A29)=G29,0,1)</x:f>
        <x:v>0</x:v>
      </x:c>
      <x:c r="R29" s="30" t="str">
        <x:f>IF(AND(J29=0,M29=0,P29=0,Q29=0),"Match","Mismatch")</x:f>
        <x:v>Match</x:v>
      </x:c>
      <x:c r="S29" s="30" t="str">
        <x:v>BPS-CO-2020</x:v>
      </x:c>
      <x:c r="T29" s="30" t="str">
        <x:v>raw/county/co2020a.txt</x:v>
      </x:c>
      <x:c r="U29" s="56" t="n">
        <x:v>2698</x:v>
      </x:c>
    </x:row>
    <x:row r="30" ht="21" customHeight="1">
      <x:c r="A30" s="56" t="n">
        <x:v>2020</x:v>
      </x:c>
      <x:c r="B30" s="30" t="str">
        <x:v>Utah County</x:v>
      </x:c>
      <x:c r="C30" s="58" t="str">
        <x:v>49049</x:v>
      </x:c>
      <x:c r="D30" s="47" t="n">
        <x:v>6731</x:v>
      </x:c>
      <x:c r="E30" s="47" t="n">
        <x:v>38</x:v>
      </x:c>
      <x:c r="F30" s="47" t="n">
        <x:v>391</x:v>
      </x:c>
      <x:c r="G30" s="47" t="n">
        <x:v>699</x:v>
      </x:c>
      <x:c r="H30" s="47" t="n">
        <x:f>SUM(D30:G30)</x:f>
        <x:v>7859</x:v>
      </x:c>
      <x:c r="I30" s="47" t="n">
        <x:f>SUMIFS('County annual'!$H$6:$H$179,'County annual'!$C$6:$C$179,$C30,'County annual'!$A$6:$A$179,$A30)</x:f>
        <x:v>7859</x:v>
      </x:c>
      <x:c r="J30" s="47" t="n">
        <x:f>I30-H30</x:f>
        <x:v>0</x:v>
      </x:c>
      <x:c r="K30" s="62" t="n">
        <x:v>2068190516</x:v>
      </x:c>
      <x:c r="L30" s="62" t="n">
        <x:f>SUMIFS('County annual'!$J$6:$J$179,'County annual'!$C$6:$C$179,$C30,'County annual'!$A$6:$A$179,$A30)</x:f>
        <x:v>2068190516</x:v>
      </x:c>
      <x:c r="M30" s="62" t="n">
        <x:f>L30-K30</x:f>
        <x:v>0</x:v>
      </x:c>
      <x:c r="N30" s="47" t="n">
        <x:v>7740</x:v>
      </x:c>
      <x:c r="O30" s="47" t="n">
        <x:f>SUMIFS('County annual'!$K$6:$K$179,'County annual'!$C$6:$C$179,$C30,'County annual'!$A$6:$A$179,$A30)</x:f>
        <x:v>7740</x:v>
      </x:c>
      <x:c r="P30" s="47" t="n">
        <x:f>O30-N30</x:f>
        <x:v>0</x:v>
      </x:c>
      <x:c r="Q30" s="47" t="n">
        <x:f>IF(SUMIFS('County annual'!$D$6:$D$179,'County annual'!$C$6:$C$179,$C30,'County annual'!$A$6:$A$179,$A30)=D30,0,1)+IF(SUMIFS('County annual'!$E$6:$E$179,'County annual'!$C$6:$C$179,$C30,'County annual'!$A$6:$A$179,$A30)=E30,0,1)+IF(SUMIFS('County annual'!$F$6:$F$179,'County annual'!$C$6:$C$179,$C30,'County annual'!$A$6:$A$179,$A30)=F30,0,1)+IF(SUMIFS('County annual'!$G$6:$G$179,'County annual'!$C$6:$C$179,$C30,'County annual'!$A$6:$A$179,$A30)=G30,0,1)</x:f>
        <x:v>0</x:v>
      </x:c>
      <x:c r="R30" s="30" t="str">
        <x:f>IF(AND(J30=0,M30=0,P30=0,Q30=0),"Match","Mismatch")</x:f>
        <x:v>Match</x:v>
      </x:c>
      <x:c r="S30" s="30" t="str">
        <x:v>BPS-CO-2020</x:v>
      </x:c>
      <x:c r="T30" s="30" t="str">
        <x:v>raw/county/co2020a.txt</x:v>
      </x:c>
      <x:c r="U30" s="56" t="n">
        <x:v>2699</x:v>
      </x:c>
    </x:row>
    <x:row r="31" ht="21" customHeight="1">
      <x:c r="A31" s="56" t="n">
        <x:v>2020</x:v>
      </x:c>
      <x:c r="B31" s="30" t="str">
        <x:v>Wasatch County</x:v>
      </x:c>
      <x:c r="C31" s="58" t="str">
        <x:v>49051</x:v>
      </x:c>
      <x:c r="D31" s="47" t="n">
        <x:v>496</x:v>
      </x:c>
      <x:c r="E31" s="47" t="n">
        <x:v>0</x:v>
      </x:c>
      <x:c r="F31" s="47" t="n">
        <x:v>0</x:v>
      </x:c>
      <x:c r="G31" s="47" t="n">
        <x:v>21</x:v>
      </x:c>
      <x:c r="H31" s="47" t="n">
        <x:f>SUM(D31:G31)</x:f>
        <x:v>517</x:v>
      </x:c>
      <x:c r="I31" s="47" t="n">
        <x:f>SUMIFS('County annual'!$H$6:$H$179,'County annual'!$C$6:$C$179,$C31,'County annual'!$A$6:$A$179,$A31)</x:f>
        <x:v>517</x:v>
      </x:c>
      <x:c r="J31" s="47" t="n">
        <x:f>I31-H31</x:f>
        <x:v>0</x:v>
      </x:c>
      <x:c r="K31" s="62" t="n">
        <x:v>270565166</x:v>
      </x:c>
      <x:c r="L31" s="62" t="n">
        <x:f>SUMIFS('County annual'!$J$6:$J$179,'County annual'!$C$6:$C$179,$C31,'County annual'!$A$6:$A$179,$A31)</x:f>
        <x:v>270565166</x:v>
      </x:c>
      <x:c r="M31" s="62" t="n">
        <x:f>L31-K31</x:f>
        <x:v>0</x:v>
      </x:c>
      <x:c r="N31" s="47" t="n">
        <x:v>512</x:v>
      </x:c>
      <x:c r="O31" s="47" t="n">
        <x:f>SUMIFS('County annual'!$K$6:$K$179,'County annual'!$C$6:$C$179,$C31,'County annual'!$A$6:$A$179,$A31)</x:f>
        <x:v>512</x:v>
      </x:c>
      <x:c r="P31" s="47" t="n">
        <x:f>O31-N31</x:f>
        <x:v>0</x:v>
      </x:c>
      <x:c r="Q31" s="47" t="n">
        <x:f>IF(SUMIFS('County annual'!$D$6:$D$179,'County annual'!$C$6:$C$179,$C31,'County annual'!$A$6:$A$179,$A31)=D31,0,1)+IF(SUMIFS('County annual'!$E$6:$E$179,'County annual'!$C$6:$C$179,$C31,'County annual'!$A$6:$A$179,$A31)=E31,0,1)+IF(SUMIFS('County annual'!$F$6:$F$179,'County annual'!$C$6:$C$179,$C31,'County annual'!$A$6:$A$179,$A31)=F31,0,1)+IF(SUMIFS('County annual'!$G$6:$G$179,'County annual'!$C$6:$C$179,$C31,'County annual'!$A$6:$A$179,$A31)=G31,0,1)</x:f>
        <x:v>0</x:v>
      </x:c>
      <x:c r="R31" s="30" t="str">
        <x:f>IF(AND(J31=0,M31=0,P31=0,Q31=0),"Match","Mismatch")</x:f>
        <x:v>Match</x:v>
      </x:c>
      <x:c r="S31" s="30" t="str">
        <x:v>BPS-CO-2020</x:v>
      </x:c>
      <x:c r="T31" s="30" t="str">
        <x:v>raw/county/co2020a.txt</x:v>
      </x:c>
      <x:c r="U31" s="56" t="n">
        <x:v>2700</x:v>
      </x:c>
    </x:row>
    <x:row r="32" ht="21" customHeight="1">
      <x:c r="A32" s="56" t="n">
        <x:v>2020</x:v>
      </x:c>
      <x:c r="B32" s="30" t="str">
        <x:v>Washington County</x:v>
      </x:c>
      <x:c r="C32" s="58" t="str">
        <x:v>49053</x:v>
      </x:c>
      <x:c r="D32" s="47" t="n">
        <x:v>2939</x:v>
      </x:c>
      <x:c r="E32" s="47" t="n">
        <x:v>14</x:v>
      </x:c>
      <x:c r="F32" s="47" t="n">
        <x:v>51</x:v>
      </x:c>
      <x:c r="G32" s="47" t="n">
        <x:v>310</x:v>
      </x:c>
      <x:c r="H32" s="47" t="n">
        <x:f>SUM(D32:G32)</x:f>
        <x:v>3314</x:v>
      </x:c>
      <x:c r="I32" s="47" t="n">
        <x:f>SUMIFS('County annual'!$H$6:$H$179,'County annual'!$C$6:$C$179,$C32,'County annual'!$A$6:$A$179,$A32)</x:f>
        <x:v>3314</x:v>
      </x:c>
      <x:c r="J32" s="47" t="n">
        <x:f>I32-H32</x:f>
        <x:v>0</x:v>
      </x:c>
      <x:c r="K32" s="62" t="n">
        <x:v>641709080</x:v>
      </x:c>
      <x:c r="L32" s="62" t="n">
        <x:f>SUMIFS('County annual'!$J$6:$J$179,'County annual'!$C$6:$C$179,$C32,'County annual'!$A$6:$A$179,$A32)</x:f>
        <x:v>641709080</x:v>
      </x:c>
      <x:c r="M32" s="62" t="n">
        <x:f>L32-K32</x:f>
        <x:v>0</x:v>
      </x:c>
      <x:c r="N32" s="47" t="n">
        <x:v>2834</x:v>
      </x:c>
      <x:c r="O32" s="47" t="n">
        <x:f>SUMIFS('County annual'!$K$6:$K$179,'County annual'!$C$6:$C$179,$C32,'County annual'!$A$6:$A$179,$A32)</x:f>
        <x:v>2834</x:v>
      </x:c>
      <x:c r="P32" s="47" t="n">
        <x:f>O32-N32</x:f>
        <x:v>0</x:v>
      </x:c>
      <x:c r="Q32" s="47" t="n">
        <x:f>IF(SUMIFS('County annual'!$D$6:$D$179,'County annual'!$C$6:$C$179,$C32,'County annual'!$A$6:$A$179,$A32)=D32,0,1)+IF(SUMIFS('County annual'!$E$6:$E$179,'County annual'!$C$6:$C$179,$C32,'County annual'!$A$6:$A$179,$A32)=E32,0,1)+IF(SUMIFS('County annual'!$F$6:$F$179,'County annual'!$C$6:$C$179,$C32,'County annual'!$A$6:$A$179,$A32)=F32,0,1)+IF(SUMIFS('County annual'!$G$6:$G$179,'County annual'!$C$6:$C$179,$C32,'County annual'!$A$6:$A$179,$A32)=G32,0,1)</x:f>
        <x:v>0</x:v>
      </x:c>
      <x:c r="R32" s="30" t="str">
        <x:f>IF(AND(J32=0,M32=0,P32=0,Q32=0),"Match","Mismatch")</x:f>
        <x:v>Match</x:v>
      </x:c>
      <x:c r="S32" s="30" t="str">
        <x:v>BPS-CO-2020</x:v>
      </x:c>
      <x:c r="T32" s="30" t="str">
        <x:v>raw/county/co2020a.txt</x:v>
      </x:c>
      <x:c r="U32" s="56" t="n">
        <x:v>2701</x:v>
      </x:c>
    </x:row>
    <x:row r="33" ht="21" customHeight="1">
      <x:c r="A33" s="56" t="n">
        <x:v>2020</x:v>
      </x:c>
      <x:c r="B33" s="30" t="str">
        <x:v>Wayne County</x:v>
      </x:c>
      <x:c r="C33" s="58" t="str">
        <x:v>49055</x:v>
      </x:c>
      <x:c r="D33" s="47" t="n">
        <x:v>31</x:v>
      </x:c>
      <x:c r="E33" s="47" t="n">
        <x:v>0</x:v>
      </x:c>
      <x:c r="F33" s="47" t="n">
        <x:v>0</x:v>
      </x:c>
      <x:c r="G33" s="47" t="n">
        <x:v>0</x:v>
      </x:c>
      <x:c r="H33" s="47" t="n">
        <x:f>SUM(D33:G33)</x:f>
        <x:v>31</x:v>
      </x:c>
      <x:c r="I33" s="47" t="n">
        <x:f>SUMIFS('County annual'!$H$6:$H$179,'County annual'!$C$6:$C$179,$C33,'County annual'!$A$6:$A$179,$A33)</x:f>
        <x:v>31</x:v>
      </x:c>
      <x:c r="J33" s="47" t="n">
        <x:f>I33-H33</x:f>
        <x:v>0</x:v>
      </x:c>
      <x:c r="K33" s="62" t="n">
        <x:v>7760000</x:v>
      </x:c>
      <x:c r="L33" s="62" t="n">
        <x:f>SUMIFS('County annual'!$J$6:$J$179,'County annual'!$C$6:$C$179,$C33,'County annual'!$A$6:$A$179,$A33)</x:f>
        <x:v>7760000</x:v>
      </x:c>
      <x:c r="M33" s="62" t="n">
        <x:f>L33-K33</x:f>
        <x:v>0</x:v>
      </x:c>
      <x:c r="N33" s="47" t="n">
        <x:v>31</x:v>
      </x:c>
      <x:c r="O33" s="47" t="n">
        <x:f>SUMIFS('County annual'!$K$6:$K$179,'County annual'!$C$6:$C$179,$C33,'County annual'!$A$6:$A$179,$A33)</x:f>
        <x:v>31</x:v>
      </x:c>
      <x:c r="P33" s="47" t="n">
        <x:f>O33-N33</x:f>
        <x:v>0</x:v>
      </x:c>
      <x:c r="Q33" s="47" t="n">
        <x:f>IF(SUMIFS('County annual'!$D$6:$D$179,'County annual'!$C$6:$C$179,$C33,'County annual'!$A$6:$A$179,$A33)=D33,0,1)+IF(SUMIFS('County annual'!$E$6:$E$179,'County annual'!$C$6:$C$179,$C33,'County annual'!$A$6:$A$179,$A33)=E33,0,1)+IF(SUMIFS('County annual'!$F$6:$F$179,'County annual'!$C$6:$C$179,$C33,'County annual'!$A$6:$A$179,$A33)=F33,0,1)+IF(SUMIFS('County annual'!$G$6:$G$179,'County annual'!$C$6:$C$179,$C33,'County annual'!$A$6:$A$179,$A33)=G33,0,1)</x:f>
        <x:v>0</x:v>
      </x:c>
      <x:c r="R33" s="30" t="str">
        <x:f>IF(AND(J33=0,M33=0,P33=0,Q33=0),"Match","Mismatch")</x:f>
        <x:v>Match</x:v>
      </x:c>
      <x:c r="S33" s="30" t="str">
        <x:v>BPS-CO-2020</x:v>
      </x:c>
      <x:c r="T33" s="30" t="str">
        <x:v>raw/county/co2020a.txt</x:v>
      </x:c>
      <x:c r="U33" s="56" t="n">
        <x:v>2702</x:v>
      </x:c>
    </x:row>
    <x:row r="34" ht="21" customHeight="1">
      <x:c r="A34" s="56" t="n">
        <x:v>2020</x:v>
      </x:c>
      <x:c r="B34" s="30" t="str">
        <x:v>Weber County</x:v>
      </x:c>
      <x:c r="C34" s="58" t="str">
        <x:v>49057</x:v>
      </x:c>
      <x:c r="D34" s="47" t="n">
        <x:v>1817</x:v>
      </x:c>
      <x:c r="E34" s="47" t="n">
        <x:v>10</x:v>
      </x:c>
      <x:c r="F34" s="47" t="n">
        <x:v>122</x:v>
      </x:c>
      <x:c r="G34" s="47" t="n">
        <x:v>458</x:v>
      </x:c>
      <x:c r="H34" s="47" t="n">
        <x:f>SUM(D34:G34)</x:f>
        <x:v>2407</x:v>
      </x:c>
      <x:c r="I34" s="47" t="n">
        <x:f>SUMIFS('County annual'!$H$6:$H$179,'County annual'!$C$6:$C$179,$C34,'County annual'!$A$6:$A$179,$A34)</x:f>
        <x:v>2407</x:v>
      </x:c>
      <x:c r="J34" s="47" t="n">
        <x:f>I34-H34</x:f>
        <x:v>0</x:v>
      </x:c>
      <x:c r="K34" s="62" t="n">
        <x:v>471047819</x:v>
      </x:c>
      <x:c r="L34" s="62" t="n">
        <x:f>SUMIFS('County annual'!$J$6:$J$179,'County annual'!$C$6:$C$179,$C34,'County annual'!$A$6:$A$179,$A34)</x:f>
        <x:v>471047819</x:v>
      </x:c>
      <x:c r="M34" s="62" t="n">
        <x:f>L34-K34</x:f>
        <x:v>0</x:v>
      </x:c>
      <x:c r="N34" s="47" t="n">
        <x:v>2337</x:v>
      </x:c>
      <x:c r="O34" s="47" t="n">
        <x:f>SUMIFS('County annual'!$K$6:$K$179,'County annual'!$C$6:$C$179,$C34,'County annual'!$A$6:$A$179,$A34)</x:f>
        <x:v>2337</x:v>
      </x:c>
      <x:c r="P34" s="47" t="n">
        <x:f>O34-N34</x:f>
        <x:v>0</x:v>
      </x:c>
      <x:c r="Q34" s="47" t="n">
        <x:f>IF(SUMIFS('County annual'!$D$6:$D$179,'County annual'!$C$6:$C$179,$C34,'County annual'!$A$6:$A$179,$A34)=D34,0,1)+IF(SUMIFS('County annual'!$E$6:$E$179,'County annual'!$C$6:$C$179,$C34,'County annual'!$A$6:$A$179,$A34)=E34,0,1)+IF(SUMIFS('County annual'!$F$6:$F$179,'County annual'!$C$6:$C$179,$C34,'County annual'!$A$6:$A$179,$A34)=F34,0,1)+IF(SUMIFS('County annual'!$G$6:$G$179,'County annual'!$C$6:$C$179,$C34,'County annual'!$A$6:$A$179,$A34)=G34,0,1)</x:f>
        <x:v>0</x:v>
      </x:c>
      <x:c r="R34" s="30" t="str">
        <x:f>IF(AND(J34=0,M34=0,P34=0,Q34=0),"Match","Mismatch")</x:f>
        <x:v>Match</x:v>
      </x:c>
      <x:c r="S34" s="30" t="str">
        <x:v>BPS-CO-2020</x:v>
      </x:c>
      <x:c r="T34" s="30" t="str">
        <x:v>raw/county/co2020a.txt</x:v>
      </x:c>
      <x:c r="U34" s="56" t="n">
        <x:v>2703</x:v>
      </x:c>
    </x:row>
    <x:row r="35" ht="21" customHeight="1">
      <x:c r="A35" s="56" t="n">
        <x:v>2021</x:v>
      </x:c>
      <x:c r="B35" s="30" t="str">
        <x:v>Beaver County</x:v>
      </x:c>
      <x:c r="C35" s="58" t="str">
        <x:v>49001</x:v>
      </x:c>
      <x:c r="D35" s="47" t="n">
        <x:v>56</x:v>
      </x:c>
      <x:c r="E35" s="47" t="n">
        <x:v>2</x:v>
      </x:c>
      <x:c r="F35" s="47" t="n">
        <x:v>4</x:v>
      </x:c>
      <x:c r="G35" s="47" t="n">
        <x:v>0</x:v>
      </x:c>
      <x:c r="H35" s="47" t="n">
        <x:f>SUM(D35:G35)</x:f>
        <x:v>62</x:v>
      </x:c>
      <x:c r="I35" s="47" t="n">
        <x:f>SUMIFS('County annual'!$H$6:$H$179,'County annual'!$C$6:$C$179,$C35,'County annual'!$A$6:$A$179,$A35)</x:f>
        <x:v>62</x:v>
      </x:c>
      <x:c r="J35" s="47" t="n">
        <x:f>I35-H35</x:f>
        <x:v>0</x:v>
      </x:c>
      <x:c r="K35" s="62" t="n">
        <x:v>18901796</x:v>
      </x:c>
      <x:c r="L35" s="62" t="n">
        <x:f>SUMIFS('County annual'!$J$6:$J$179,'County annual'!$C$6:$C$179,$C35,'County annual'!$A$6:$A$179,$A35)</x:f>
        <x:v>18901796</x:v>
      </x:c>
      <x:c r="M35" s="62" t="n">
        <x:f>L35-K35</x:f>
        <x:v>0</x:v>
      </x:c>
      <x:c r="N35" s="47" t="n">
        <x:v>62</x:v>
      </x:c>
      <x:c r="O35" s="47" t="n">
        <x:f>SUMIFS('County annual'!$K$6:$K$179,'County annual'!$C$6:$C$179,$C35,'County annual'!$A$6:$A$179,$A35)</x:f>
        <x:v>62</x:v>
      </x:c>
      <x:c r="P35" s="47" t="n">
        <x:f>O35-N35</x:f>
        <x:v>0</x:v>
      </x:c>
      <x:c r="Q35" s="47" t="n">
        <x:f>IF(SUMIFS('County annual'!$D$6:$D$179,'County annual'!$C$6:$C$179,$C35,'County annual'!$A$6:$A$179,$A35)=D35,0,1)+IF(SUMIFS('County annual'!$E$6:$E$179,'County annual'!$C$6:$C$179,$C35,'County annual'!$A$6:$A$179,$A35)=E35,0,1)+IF(SUMIFS('County annual'!$F$6:$F$179,'County annual'!$C$6:$C$179,$C35,'County annual'!$A$6:$A$179,$A35)=F35,0,1)+IF(SUMIFS('County annual'!$G$6:$G$179,'County annual'!$C$6:$C$179,$C35,'County annual'!$A$6:$A$179,$A35)=G35,0,1)</x:f>
        <x:v>0</x:v>
      </x:c>
      <x:c r="R35" s="30" t="str">
        <x:f>IF(AND(J35=0,M35=0,P35=0,Q35=0),"Match","Mismatch")</x:f>
        <x:v>Match</x:v>
      </x:c>
      <x:c r="S35" s="30" t="str">
        <x:v>BPS-CO-2021</x:v>
      </x:c>
      <x:c r="T35" s="30" t="str">
        <x:v>raw/county/co2021a.txt</x:v>
      </x:c>
      <x:c r="U35" s="56" t="n">
        <x:v>2675</x:v>
      </x:c>
    </x:row>
    <x:row r="36" ht="21" customHeight="1">
      <x:c r="A36" s="56" t="n">
        <x:v>2021</x:v>
      </x:c>
      <x:c r="B36" s="30" t="str">
        <x:v>Box Elder County</x:v>
      </x:c>
      <x:c r="C36" s="58" t="str">
        <x:v>49003</x:v>
      </x:c>
      <x:c r="D36" s="47" t="n">
        <x:v>468</x:v>
      </x:c>
      <x:c r="E36" s="47" t="n">
        <x:v>2</x:v>
      </x:c>
      <x:c r="F36" s="47" t="n">
        <x:v>43</x:v>
      </x:c>
      <x:c r="G36" s="47" t="n">
        <x:v>368</x:v>
      </x:c>
      <x:c r="H36" s="47" t="n">
        <x:f>SUM(D36:G36)</x:f>
        <x:v>881</x:v>
      </x:c>
      <x:c r="I36" s="47" t="n">
        <x:f>SUMIFS('County annual'!$H$6:$H$179,'County annual'!$C$6:$C$179,$C36,'County annual'!$A$6:$A$179,$A36)</x:f>
        <x:v>881</x:v>
      </x:c>
      <x:c r="J36" s="47" t="n">
        <x:f>I36-H36</x:f>
        <x:v>0</x:v>
      </x:c>
      <x:c r="K36" s="62" t="n">
        <x:v>150910126</x:v>
      </x:c>
      <x:c r="L36" s="62" t="n">
        <x:f>SUMIFS('County annual'!$J$6:$J$179,'County annual'!$C$6:$C$179,$C36,'County annual'!$A$6:$A$179,$A36)</x:f>
        <x:v>150910126</x:v>
      </x:c>
      <x:c r="M36" s="62" t="n">
        <x:f>L36-K36</x:f>
        <x:v>0</x:v>
      </x:c>
      <x:c r="N36" s="47" t="n">
        <x:v>783</x:v>
      </x:c>
      <x:c r="O36" s="47" t="n">
        <x:f>SUMIFS('County annual'!$K$6:$K$179,'County annual'!$C$6:$C$179,$C36,'County annual'!$A$6:$A$179,$A36)</x:f>
        <x:v>783</x:v>
      </x:c>
      <x:c r="P36" s="47" t="n">
        <x:f>O36-N36</x:f>
        <x:v>0</x:v>
      </x:c>
      <x:c r="Q36" s="47" t="n">
        <x:f>IF(SUMIFS('County annual'!$D$6:$D$179,'County annual'!$C$6:$C$179,$C36,'County annual'!$A$6:$A$179,$A36)=D36,0,1)+IF(SUMIFS('County annual'!$E$6:$E$179,'County annual'!$C$6:$C$179,$C36,'County annual'!$A$6:$A$179,$A36)=E36,0,1)+IF(SUMIFS('County annual'!$F$6:$F$179,'County annual'!$C$6:$C$179,$C36,'County annual'!$A$6:$A$179,$A36)=F36,0,1)+IF(SUMIFS('County annual'!$G$6:$G$179,'County annual'!$C$6:$C$179,$C36,'County annual'!$A$6:$A$179,$A36)=G36,0,1)</x:f>
        <x:v>0</x:v>
      </x:c>
      <x:c r="R36" s="30" t="str">
        <x:f>IF(AND(J36=0,M36=0,P36=0,Q36=0),"Match","Mismatch")</x:f>
        <x:v>Match</x:v>
      </x:c>
      <x:c r="S36" s="30" t="str">
        <x:v>BPS-CO-2021</x:v>
      </x:c>
      <x:c r="T36" s="30" t="str">
        <x:v>raw/county/co2021a.txt</x:v>
      </x:c>
      <x:c r="U36" s="56" t="n">
        <x:v>2676</x:v>
      </x:c>
    </x:row>
    <x:row r="37" ht="21" customHeight="1">
      <x:c r="A37" s="56" t="n">
        <x:v>2021</x:v>
      </x:c>
      <x:c r="B37" s="30" t="str">
        <x:v>Cache County</x:v>
      </x:c>
      <x:c r="C37" s="58" t="str">
        <x:v>49005</x:v>
      </x:c>
      <x:c r="D37" s="47" t="n">
        <x:v>902</x:v>
      </x:c>
      <x:c r="E37" s="47" t="n">
        <x:v>0</x:v>
      </x:c>
      <x:c r="F37" s="47" t="n">
        <x:v>35</x:v>
      </x:c>
      <x:c r="G37" s="47" t="n">
        <x:v>200</x:v>
      </x:c>
      <x:c r="H37" s="47" t="n">
        <x:f>SUM(D37:G37)</x:f>
        <x:v>1137</x:v>
      </x:c>
      <x:c r="I37" s="47" t="n">
        <x:f>SUMIFS('County annual'!$H$6:$H$179,'County annual'!$C$6:$C$179,$C37,'County annual'!$A$6:$A$179,$A37)</x:f>
        <x:v>1137</x:v>
      </x:c>
      <x:c r="J37" s="47" t="n">
        <x:f>I37-H37</x:f>
        <x:v>0</x:v>
      </x:c>
      <x:c r="K37" s="62" t="n">
        <x:v>322560467</x:v>
      </x:c>
      <x:c r="L37" s="62" t="n">
        <x:f>SUMIFS('County annual'!$J$6:$J$179,'County annual'!$C$6:$C$179,$C37,'County annual'!$A$6:$A$179,$A37)</x:f>
        <x:v>322560467</x:v>
      </x:c>
      <x:c r="M37" s="62" t="n">
        <x:f>L37-K37</x:f>
        <x:v>0</x:v>
      </x:c>
      <x:c r="N37" s="47" t="n">
        <x:v>1137</x:v>
      </x:c>
      <x:c r="O37" s="47" t="n">
        <x:f>SUMIFS('County annual'!$K$6:$K$179,'County annual'!$C$6:$C$179,$C37,'County annual'!$A$6:$A$179,$A37)</x:f>
        <x:v>1137</x:v>
      </x:c>
      <x:c r="P37" s="47" t="n">
        <x:f>O37-N37</x:f>
        <x:v>0</x:v>
      </x:c>
      <x:c r="Q37" s="47" t="n">
        <x:f>IF(SUMIFS('County annual'!$D$6:$D$179,'County annual'!$C$6:$C$179,$C37,'County annual'!$A$6:$A$179,$A37)=D37,0,1)+IF(SUMIFS('County annual'!$E$6:$E$179,'County annual'!$C$6:$C$179,$C37,'County annual'!$A$6:$A$179,$A37)=E37,0,1)+IF(SUMIFS('County annual'!$F$6:$F$179,'County annual'!$C$6:$C$179,$C37,'County annual'!$A$6:$A$179,$A37)=F37,0,1)+IF(SUMIFS('County annual'!$G$6:$G$179,'County annual'!$C$6:$C$179,$C37,'County annual'!$A$6:$A$179,$A37)=G37,0,1)</x:f>
        <x:v>0</x:v>
      </x:c>
      <x:c r="R37" s="30" t="str">
        <x:f>IF(AND(J37=0,M37=0,P37=0,Q37=0),"Match","Mismatch")</x:f>
        <x:v>Match</x:v>
      </x:c>
      <x:c r="S37" s="30" t="str">
        <x:v>BPS-CO-2021</x:v>
      </x:c>
      <x:c r="T37" s="30" t="str">
        <x:v>raw/county/co2021a.txt</x:v>
      </x:c>
      <x:c r="U37" s="56" t="n">
        <x:v>2677</x:v>
      </x:c>
    </x:row>
    <x:row r="38" ht="21" customHeight="1">
      <x:c r="A38" s="56" t="n">
        <x:v>2021</x:v>
      </x:c>
      <x:c r="B38" s="30" t="str">
        <x:v>Carbon County</x:v>
      </x:c>
      <x:c r="C38" s="58" t="str">
        <x:v>49007</x:v>
      </x:c>
      <x:c r="D38" s="47" t="n">
        <x:v>42</x:v>
      </x:c>
      <x:c r="E38" s="47" t="n">
        <x:v>0</x:v>
      </x:c>
      <x:c r="F38" s="47" t="n">
        <x:v>0</x:v>
      </x:c>
      <x:c r="G38" s="47" t="n">
        <x:v>0</x:v>
      </x:c>
      <x:c r="H38" s="47" t="n">
        <x:f>SUM(D38:G38)</x:f>
        <x:v>42</x:v>
      </x:c>
      <x:c r="I38" s="47" t="n">
        <x:f>SUMIFS('County annual'!$H$6:$H$179,'County annual'!$C$6:$C$179,$C38,'County annual'!$A$6:$A$179,$A38)</x:f>
        <x:v>42</x:v>
      </x:c>
      <x:c r="J38" s="47" t="n">
        <x:f>I38-H38</x:f>
        <x:v>0</x:v>
      </x:c>
      <x:c r="K38" s="62" t="n">
        <x:v>12847746</x:v>
      </x:c>
      <x:c r="L38" s="62" t="n">
        <x:f>SUMIFS('County annual'!$J$6:$J$179,'County annual'!$C$6:$C$179,$C38,'County annual'!$A$6:$A$179,$A38)</x:f>
        <x:v>12847746</x:v>
      </x:c>
      <x:c r="M38" s="62" t="n">
        <x:f>L38-K38</x:f>
        <x:v>0</x:v>
      </x:c>
      <x:c r="N38" s="47" t="n">
        <x:v>42</x:v>
      </x:c>
      <x:c r="O38" s="47" t="n">
        <x:f>SUMIFS('County annual'!$K$6:$K$179,'County annual'!$C$6:$C$179,$C38,'County annual'!$A$6:$A$179,$A38)</x:f>
        <x:v>42</x:v>
      </x:c>
      <x:c r="P38" s="47" t="n">
        <x:f>O38-N38</x:f>
        <x:v>0</x:v>
      </x:c>
      <x:c r="Q38" s="47" t="n">
        <x:f>IF(SUMIFS('County annual'!$D$6:$D$179,'County annual'!$C$6:$C$179,$C38,'County annual'!$A$6:$A$179,$A38)=D38,0,1)+IF(SUMIFS('County annual'!$E$6:$E$179,'County annual'!$C$6:$C$179,$C38,'County annual'!$A$6:$A$179,$A38)=E38,0,1)+IF(SUMIFS('County annual'!$F$6:$F$179,'County annual'!$C$6:$C$179,$C38,'County annual'!$A$6:$A$179,$A38)=F38,0,1)+IF(SUMIFS('County annual'!$G$6:$G$179,'County annual'!$C$6:$C$179,$C38,'County annual'!$A$6:$A$179,$A38)=G38,0,1)</x:f>
        <x:v>0</x:v>
      </x:c>
      <x:c r="R38" s="30" t="str">
        <x:f>IF(AND(J38=0,M38=0,P38=0,Q38=0),"Match","Mismatch")</x:f>
        <x:v>Match</x:v>
      </x:c>
      <x:c r="S38" s="30" t="str">
        <x:v>BPS-CO-2021</x:v>
      </x:c>
      <x:c r="T38" s="30" t="str">
        <x:v>raw/county/co2021a.txt</x:v>
      </x:c>
      <x:c r="U38" s="56" t="n">
        <x:v>2678</x:v>
      </x:c>
    </x:row>
    <x:row r="39" ht="21" customHeight="1">
      <x:c r="A39" s="56" t="n">
        <x:v>2021</x:v>
      </x:c>
      <x:c r="B39" s="30" t="str">
        <x:v>Daggett County</x:v>
      </x:c>
      <x:c r="C39" s="58" t="str">
        <x:v>49009</x:v>
      </x:c>
      <x:c r="D39" s="47" t="n">
        <x:v>17</x:v>
      </x:c>
      <x:c r="E39" s="47" t="n">
        <x:v>0</x:v>
      </x:c>
      <x:c r="F39" s="47" t="n">
        <x:v>0</x:v>
      </x:c>
      <x:c r="G39" s="47" t="n">
        <x:v>0</x:v>
      </x:c>
      <x:c r="H39" s="47" t="n">
        <x:f>SUM(D39:G39)</x:f>
        <x:v>17</x:v>
      </x:c>
      <x:c r="I39" s="47" t="n">
        <x:f>SUMIFS('County annual'!$H$6:$H$179,'County annual'!$C$6:$C$179,$C39,'County annual'!$A$6:$A$179,$A39)</x:f>
        <x:v>17</x:v>
      </x:c>
      <x:c r="J39" s="47" t="n">
        <x:f>I39-H39</x:f>
        <x:v>0</x:v>
      </x:c>
      <x:c r="K39" s="62" t="n">
        <x:v>5072265</x:v>
      </x:c>
      <x:c r="L39" s="62" t="n">
        <x:f>SUMIFS('County annual'!$J$6:$J$179,'County annual'!$C$6:$C$179,$C39,'County annual'!$A$6:$A$179,$A39)</x:f>
        <x:v>5072265</x:v>
      </x:c>
      <x:c r="M39" s="62" t="n">
        <x:f>L39-K39</x:f>
        <x:v>0</x:v>
      </x:c>
      <x:c r="N39" s="47" t="n">
        <x:v>11</x:v>
      </x:c>
      <x:c r="O39" s="47" t="n">
        <x:f>SUMIFS('County annual'!$K$6:$K$179,'County annual'!$C$6:$C$179,$C39,'County annual'!$A$6:$A$179,$A39)</x:f>
        <x:v>11</x:v>
      </x:c>
      <x:c r="P39" s="47" t="n">
        <x:f>O39-N39</x:f>
        <x:v>0</x:v>
      </x:c>
      <x:c r="Q39" s="47" t="n">
        <x:f>IF(SUMIFS('County annual'!$D$6:$D$179,'County annual'!$C$6:$C$179,$C39,'County annual'!$A$6:$A$179,$A39)=D39,0,1)+IF(SUMIFS('County annual'!$E$6:$E$179,'County annual'!$C$6:$C$179,$C39,'County annual'!$A$6:$A$179,$A39)=E39,0,1)+IF(SUMIFS('County annual'!$F$6:$F$179,'County annual'!$C$6:$C$179,$C39,'County annual'!$A$6:$A$179,$A39)=F39,0,1)+IF(SUMIFS('County annual'!$G$6:$G$179,'County annual'!$C$6:$C$179,$C39,'County annual'!$A$6:$A$179,$A39)=G39,0,1)</x:f>
        <x:v>0</x:v>
      </x:c>
      <x:c r="R39" s="30" t="str">
        <x:f>IF(AND(J39=0,M39=0,P39=0,Q39=0),"Match","Mismatch")</x:f>
        <x:v>Match</x:v>
      </x:c>
      <x:c r="S39" s="30" t="str">
        <x:v>BPS-CO-2021</x:v>
      </x:c>
      <x:c r="T39" s="30" t="str">
        <x:v>raw/county/co2021a.txt</x:v>
      </x:c>
      <x:c r="U39" s="56" t="n">
        <x:v>2679</x:v>
      </x:c>
    </x:row>
    <x:row r="40" ht="21" customHeight="1">
      <x:c r="A40" s="56" t="n">
        <x:v>2021</x:v>
      </x:c>
      <x:c r="B40" s="30" t="str">
        <x:v>Davis County</x:v>
      </x:c>
      <x:c r="C40" s="58" t="str">
        <x:v>49011</x:v>
      </x:c>
      <x:c r="D40" s="47" t="n">
        <x:v>2004</x:v>
      </x:c>
      <x:c r="E40" s="47" t="n">
        <x:v>2</x:v>
      </x:c>
      <x:c r="F40" s="47" t="n">
        <x:v>4</x:v>
      </x:c>
      <x:c r="G40" s="47" t="n">
        <x:v>1802</x:v>
      </x:c>
      <x:c r="H40" s="47" t="n">
        <x:f>SUM(D40:G40)</x:f>
        <x:v>3812</x:v>
      </x:c>
      <x:c r="I40" s="47" t="n">
        <x:f>SUMIFS('County annual'!$H$6:$H$179,'County annual'!$C$6:$C$179,$C40,'County annual'!$A$6:$A$179,$A40)</x:f>
        <x:v>3812</x:v>
      </x:c>
      <x:c r="J40" s="47" t="n">
        <x:f>I40-H40</x:f>
        <x:v>0</x:v>
      </x:c>
      <x:c r="K40" s="62" t="n">
        <x:v>818499697</x:v>
      </x:c>
      <x:c r="L40" s="62" t="n">
        <x:f>SUMIFS('County annual'!$J$6:$J$179,'County annual'!$C$6:$C$179,$C40,'County annual'!$A$6:$A$179,$A40)</x:f>
        <x:v>818499697</x:v>
      </x:c>
      <x:c r="M40" s="62" t="n">
        <x:f>L40-K40</x:f>
        <x:v>0</x:v>
      </x:c>
      <x:c r="N40" s="47" t="n">
        <x:v>3812</x:v>
      </x:c>
      <x:c r="O40" s="47" t="n">
        <x:f>SUMIFS('County annual'!$K$6:$K$179,'County annual'!$C$6:$C$179,$C40,'County annual'!$A$6:$A$179,$A40)</x:f>
        <x:v>3812</x:v>
      </x:c>
      <x:c r="P40" s="47" t="n">
        <x:f>O40-N40</x:f>
        <x:v>0</x:v>
      </x:c>
      <x:c r="Q40" s="47" t="n">
        <x:f>IF(SUMIFS('County annual'!$D$6:$D$179,'County annual'!$C$6:$C$179,$C40,'County annual'!$A$6:$A$179,$A40)=D40,0,1)+IF(SUMIFS('County annual'!$E$6:$E$179,'County annual'!$C$6:$C$179,$C40,'County annual'!$A$6:$A$179,$A40)=E40,0,1)+IF(SUMIFS('County annual'!$F$6:$F$179,'County annual'!$C$6:$C$179,$C40,'County annual'!$A$6:$A$179,$A40)=F40,0,1)+IF(SUMIFS('County annual'!$G$6:$G$179,'County annual'!$C$6:$C$179,$C40,'County annual'!$A$6:$A$179,$A40)=G40,0,1)</x:f>
        <x:v>0</x:v>
      </x:c>
      <x:c r="R40" s="30" t="str">
        <x:f>IF(AND(J40=0,M40=0,P40=0,Q40=0),"Match","Mismatch")</x:f>
        <x:v>Match</x:v>
      </x:c>
      <x:c r="S40" s="30" t="str">
        <x:v>BPS-CO-2021</x:v>
      </x:c>
      <x:c r="T40" s="30" t="str">
        <x:v>raw/county/co2021a.txt</x:v>
      </x:c>
      <x:c r="U40" s="56" t="n">
        <x:v>2680</x:v>
      </x:c>
    </x:row>
    <x:row r="41" ht="21" customHeight="1">
      <x:c r="A41" s="56" t="n">
        <x:v>2021</x:v>
      </x:c>
      <x:c r="B41" s="30" t="str">
        <x:v>Duchesne County</x:v>
      </x:c>
      <x:c r="C41" s="58" t="str">
        <x:v>49013</x:v>
      </x:c>
      <x:c r="D41" s="47" t="n">
        <x:v>130</x:v>
      </x:c>
      <x:c r="E41" s="47" t="n">
        <x:v>2</x:v>
      </x:c>
      <x:c r="F41" s="47" t="n">
        <x:v>4</x:v>
      </x:c>
      <x:c r="G41" s="47" t="n">
        <x:v>0</x:v>
      </x:c>
      <x:c r="H41" s="47" t="n">
        <x:f>SUM(D41:G41)</x:f>
        <x:v>136</x:v>
      </x:c>
      <x:c r="I41" s="47" t="n">
        <x:f>SUMIFS('County annual'!$H$6:$H$179,'County annual'!$C$6:$C$179,$C41,'County annual'!$A$6:$A$179,$A41)</x:f>
        <x:v>136</x:v>
      </x:c>
      <x:c r="J41" s="47" t="n">
        <x:f>I41-H41</x:f>
        <x:v>0</x:v>
      </x:c>
      <x:c r="K41" s="62" t="n">
        <x:v>34080122</x:v>
      </x:c>
      <x:c r="L41" s="62" t="n">
        <x:f>SUMIFS('County annual'!$J$6:$J$179,'County annual'!$C$6:$C$179,$C41,'County annual'!$A$6:$A$179,$A41)</x:f>
        <x:v>34080122</x:v>
      </x:c>
      <x:c r="M41" s="62" t="n">
        <x:f>L41-K41</x:f>
        <x:v>0</x:v>
      </x:c>
      <x:c r="N41" s="47" t="n">
        <x:v>72</x:v>
      </x:c>
      <x:c r="O41" s="47" t="n">
        <x:f>SUMIFS('County annual'!$K$6:$K$179,'County annual'!$C$6:$C$179,$C41,'County annual'!$A$6:$A$179,$A41)</x:f>
        <x:v>72</x:v>
      </x:c>
      <x:c r="P41" s="47" t="n">
        <x:f>O41-N41</x:f>
        <x:v>0</x:v>
      </x:c>
      <x:c r="Q41" s="47" t="n">
        <x:f>IF(SUMIFS('County annual'!$D$6:$D$179,'County annual'!$C$6:$C$179,$C41,'County annual'!$A$6:$A$179,$A41)=D41,0,1)+IF(SUMIFS('County annual'!$E$6:$E$179,'County annual'!$C$6:$C$179,$C41,'County annual'!$A$6:$A$179,$A41)=E41,0,1)+IF(SUMIFS('County annual'!$F$6:$F$179,'County annual'!$C$6:$C$179,$C41,'County annual'!$A$6:$A$179,$A41)=F41,0,1)+IF(SUMIFS('County annual'!$G$6:$G$179,'County annual'!$C$6:$C$179,$C41,'County annual'!$A$6:$A$179,$A41)=G41,0,1)</x:f>
        <x:v>0</x:v>
      </x:c>
      <x:c r="R41" s="30" t="str">
        <x:f>IF(AND(J41=0,M41=0,P41=0,Q41=0),"Match","Mismatch")</x:f>
        <x:v>Match</x:v>
      </x:c>
      <x:c r="S41" s="30" t="str">
        <x:v>BPS-CO-2021</x:v>
      </x:c>
      <x:c r="T41" s="30" t="str">
        <x:v>raw/county/co2021a.txt</x:v>
      </x:c>
      <x:c r="U41" s="56" t="n">
        <x:v>2681</x:v>
      </x:c>
    </x:row>
    <x:row r="42" ht="21" customHeight="1">
      <x:c r="A42" s="56" t="n">
        <x:v>2021</x:v>
      </x:c>
      <x:c r="B42" s="30" t="str">
        <x:v>Emery County</x:v>
      </x:c>
      <x:c r="C42" s="58" t="str">
        <x:v>49015</x:v>
      </x:c>
      <x:c r="D42" s="47" t="n">
        <x:v>14</x:v>
      </x:c>
      <x:c r="E42" s="47" t="n">
        <x:v>0</x:v>
      </x:c>
      <x:c r="F42" s="47" t="n">
        <x:v>0</x:v>
      </x:c>
      <x:c r="G42" s="47" t="n">
        <x:v>0</x:v>
      </x:c>
      <x:c r="H42" s="47" t="n">
        <x:f>SUM(D42:G42)</x:f>
        <x:v>14</x:v>
      </x:c>
      <x:c r="I42" s="47" t="n">
        <x:f>SUMIFS('County annual'!$H$6:$H$179,'County annual'!$C$6:$C$179,$C42,'County annual'!$A$6:$A$179,$A42)</x:f>
        <x:v>14</x:v>
      </x:c>
      <x:c r="J42" s="47" t="n">
        <x:f>I42-H42</x:f>
        <x:v>0</x:v>
      </x:c>
      <x:c r="K42" s="62" t="n">
        <x:v>2746330</x:v>
      </x:c>
      <x:c r="L42" s="62" t="n">
        <x:f>SUMIFS('County annual'!$J$6:$J$179,'County annual'!$C$6:$C$179,$C42,'County annual'!$A$6:$A$179,$A42)</x:f>
        <x:v>2746330</x:v>
      </x:c>
      <x:c r="M42" s="62" t="n">
        <x:f>L42-K42</x:f>
        <x:v>0</x:v>
      </x:c>
      <x:c r="N42" s="47" t="n">
        <x:v>14</x:v>
      </x:c>
      <x:c r="O42" s="47" t="n">
        <x:f>SUMIFS('County annual'!$K$6:$K$179,'County annual'!$C$6:$C$179,$C42,'County annual'!$A$6:$A$179,$A42)</x:f>
        <x:v>14</x:v>
      </x:c>
      <x:c r="P42" s="47" t="n">
        <x:f>O42-N42</x:f>
        <x:v>0</x:v>
      </x:c>
      <x:c r="Q42" s="47" t="n">
        <x:f>IF(SUMIFS('County annual'!$D$6:$D$179,'County annual'!$C$6:$C$179,$C42,'County annual'!$A$6:$A$179,$A42)=D42,0,1)+IF(SUMIFS('County annual'!$E$6:$E$179,'County annual'!$C$6:$C$179,$C42,'County annual'!$A$6:$A$179,$A42)=E42,0,1)+IF(SUMIFS('County annual'!$F$6:$F$179,'County annual'!$C$6:$C$179,$C42,'County annual'!$A$6:$A$179,$A42)=F42,0,1)+IF(SUMIFS('County annual'!$G$6:$G$179,'County annual'!$C$6:$C$179,$C42,'County annual'!$A$6:$A$179,$A42)=G42,0,1)</x:f>
        <x:v>0</x:v>
      </x:c>
      <x:c r="R42" s="30" t="str">
        <x:f>IF(AND(J42=0,M42=0,P42=0,Q42=0),"Match","Mismatch")</x:f>
        <x:v>Match</x:v>
      </x:c>
      <x:c r="S42" s="30" t="str">
        <x:v>BPS-CO-2021</x:v>
      </x:c>
      <x:c r="T42" s="30" t="str">
        <x:v>raw/county/co2021a.txt</x:v>
      </x:c>
      <x:c r="U42" s="56" t="n">
        <x:v>2682</x:v>
      </x:c>
    </x:row>
    <x:row r="43" ht="21" customHeight="1">
      <x:c r="A43" s="56" t="n">
        <x:v>2021</x:v>
      </x:c>
      <x:c r="B43" s="30" t="str">
        <x:v>Garfield County</x:v>
      </x:c>
      <x:c r="C43" s="58" t="str">
        <x:v>49017</x:v>
      </x:c>
      <x:c r="D43" s="47" t="n">
        <x:v>76</x:v>
      </x:c>
      <x:c r="E43" s="47" t="n">
        <x:v>0</x:v>
      </x:c>
      <x:c r="F43" s="47" t="n">
        <x:v>0</x:v>
      </x:c>
      <x:c r="G43" s="47" t="n">
        <x:v>0</x:v>
      </x:c>
      <x:c r="H43" s="47" t="n">
        <x:f>SUM(D43:G43)</x:f>
        <x:v>76</x:v>
      </x:c>
      <x:c r="I43" s="47" t="n">
        <x:f>SUMIFS('County annual'!$H$6:$H$179,'County annual'!$C$6:$C$179,$C43,'County annual'!$A$6:$A$179,$A43)</x:f>
        <x:v>76</x:v>
      </x:c>
      <x:c r="J43" s="47" t="n">
        <x:f>I43-H43</x:f>
        <x:v>0</x:v>
      </x:c>
      <x:c r="K43" s="62" t="n">
        <x:v>17370698</x:v>
      </x:c>
      <x:c r="L43" s="62" t="n">
        <x:f>SUMIFS('County annual'!$J$6:$J$179,'County annual'!$C$6:$C$179,$C43,'County annual'!$A$6:$A$179,$A43)</x:f>
        <x:v>17370698</x:v>
      </x:c>
      <x:c r="M43" s="62" t="n">
        <x:f>L43-K43</x:f>
        <x:v>0</x:v>
      </x:c>
      <x:c r="N43" s="47" t="n">
        <x:v>76</x:v>
      </x:c>
      <x:c r="O43" s="47" t="n">
        <x:f>SUMIFS('County annual'!$K$6:$K$179,'County annual'!$C$6:$C$179,$C43,'County annual'!$A$6:$A$179,$A43)</x:f>
        <x:v>76</x:v>
      </x:c>
      <x:c r="P43" s="47" t="n">
        <x:f>O43-N43</x:f>
        <x:v>0</x:v>
      </x:c>
      <x:c r="Q43" s="47" t="n">
        <x:f>IF(SUMIFS('County annual'!$D$6:$D$179,'County annual'!$C$6:$C$179,$C43,'County annual'!$A$6:$A$179,$A43)=D43,0,1)+IF(SUMIFS('County annual'!$E$6:$E$179,'County annual'!$C$6:$C$179,$C43,'County annual'!$A$6:$A$179,$A43)=E43,0,1)+IF(SUMIFS('County annual'!$F$6:$F$179,'County annual'!$C$6:$C$179,$C43,'County annual'!$A$6:$A$179,$A43)=F43,0,1)+IF(SUMIFS('County annual'!$G$6:$G$179,'County annual'!$C$6:$C$179,$C43,'County annual'!$A$6:$A$179,$A43)=G43,0,1)</x:f>
        <x:v>0</x:v>
      </x:c>
      <x:c r="R43" s="30" t="str">
        <x:f>IF(AND(J43=0,M43=0,P43=0,Q43=0),"Match","Mismatch")</x:f>
        <x:v>Match</x:v>
      </x:c>
      <x:c r="S43" s="30" t="str">
        <x:v>BPS-CO-2021</x:v>
      </x:c>
      <x:c r="T43" s="30" t="str">
        <x:v>raw/county/co2021a.txt</x:v>
      </x:c>
      <x:c r="U43" s="56" t="n">
        <x:v>2683</x:v>
      </x:c>
    </x:row>
    <x:row r="44" ht="21" customHeight="1">
      <x:c r="A44" s="56" t="n">
        <x:v>2021</x:v>
      </x:c>
      <x:c r="B44" s="30" t="str">
        <x:v>Grand County</x:v>
      </x:c>
      <x:c r="C44" s="58" t="str">
        <x:v>49019</x:v>
      </x:c>
      <x:c r="D44" s="47" t="n">
        <x:v>81</x:v>
      </x:c>
      <x:c r="E44" s="47" t="n">
        <x:v>6</x:v>
      </x:c>
      <x:c r="F44" s="47" t="n">
        <x:v>0</x:v>
      </x:c>
      <x:c r="G44" s="47" t="n">
        <x:v>6</x:v>
      </x:c>
      <x:c r="H44" s="47" t="n">
        <x:f>SUM(D44:G44)</x:f>
        <x:v>93</x:v>
      </x:c>
      <x:c r="I44" s="47" t="n">
        <x:f>SUMIFS('County annual'!$H$6:$H$179,'County annual'!$C$6:$C$179,$C44,'County annual'!$A$6:$A$179,$A44)</x:f>
        <x:v>93</x:v>
      </x:c>
      <x:c r="J44" s="47" t="n">
        <x:f>I44-H44</x:f>
        <x:v>0</x:v>
      </x:c>
      <x:c r="K44" s="62" t="n">
        <x:v>24764210</x:v>
      </x:c>
      <x:c r="L44" s="62" t="n">
        <x:f>SUMIFS('County annual'!$J$6:$J$179,'County annual'!$C$6:$C$179,$C44,'County annual'!$A$6:$A$179,$A44)</x:f>
        <x:v>24764210</x:v>
      </x:c>
      <x:c r="M44" s="62" t="n">
        <x:f>L44-K44</x:f>
        <x:v>0</x:v>
      </x:c>
      <x:c r="N44" s="47" t="n">
        <x:v>93</x:v>
      </x:c>
      <x:c r="O44" s="47" t="n">
        <x:f>SUMIFS('County annual'!$K$6:$K$179,'County annual'!$C$6:$C$179,$C44,'County annual'!$A$6:$A$179,$A44)</x:f>
        <x:v>93</x:v>
      </x:c>
      <x:c r="P44" s="47" t="n">
        <x:f>O44-N44</x:f>
        <x:v>0</x:v>
      </x:c>
      <x:c r="Q44" s="47" t="n">
        <x:f>IF(SUMIFS('County annual'!$D$6:$D$179,'County annual'!$C$6:$C$179,$C44,'County annual'!$A$6:$A$179,$A44)=D44,0,1)+IF(SUMIFS('County annual'!$E$6:$E$179,'County annual'!$C$6:$C$179,$C44,'County annual'!$A$6:$A$179,$A44)=E44,0,1)+IF(SUMIFS('County annual'!$F$6:$F$179,'County annual'!$C$6:$C$179,$C44,'County annual'!$A$6:$A$179,$A44)=F44,0,1)+IF(SUMIFS('County annual'!$G$6:$G$179,'County annual'!$C$6:$C$179,$C44,'County annual'!$A$6:$A$179,$A44)=G44,0,1)</x:f>
        <x:v>0</x:v>
      </x:c>
      <x:c r="R44" s="30" t="str">
        <x:f>IF(AND(J44=0,M44=0,P44=0,Q44=0),"Match","Mismatch")</x:f>
        <x:v>Match</x:v>
      </x:c>
      <x:c r="S44" s="30" t="str">
        <x:v>BPS-CO-2021</x:v>
      </x:c>
      <x:c r="T44" s="30" t="str">
        <x:v>raw/county/co2021a.txt</x:v>
      </x:c>
      <x:c r="U44" s="56" t="n">
        <x:v>2684</x:v>
      </x:c>
    </x:row>
    <x:row r="45" ht="21" customHeight="1">
      <x:c r="A45" s="56" t="n">
        <x:v>2021</x:v>
      </x:c>
      <x:c r="B45" s="30" t="str">
        <x:v>Iron County</x:v>
      </x:c>
      <x:c r="C45" s="58" t="str">
        <x:v>49021</x:v>
      </x:c>
      <x:c r="D45" s="47" t="n">
        <x:v>552</x:v>
      </x:c>
      <x:c r="E45" s="47" t="n">
        <x:v>110</x:v>
      </x:c>
      <x:c r="F45" s="47" t="n">
        <x:v>114</x:v>
      </x:c>
      <x:c r="G45" s="47" t="n">
        <x:v>115</x:v>
      </x:c>
      <x:c r="H45" s="47" t="n">
        <x:f>SUM(D45:G45)</x:f>
        <x:v>891</x:v>
      </x:c>
      <x:c r="I45" s="47" t="n">
        <x:f>SUMIFS('County annual'!$H$6:$H$179,'County annual'!$C$6:$C$179,$C45,'County annual'!$A$6:$A$179,$A45)</x:f>
        <x:v>891</x:v>
      </x:c>
      <x:c r="J45" s="47" t="n">
        <x:f>I45-H45</x:f>
        <x:v>0</x:v>
      </x:c>
      <x:c r="K45" s="62" t="n">
        <x:v>201753902</x:v>
      </x:c>
      <x:c r="L45" s="62" t="n">
        <x:f>SUMIFS('County annual'!$J$6:$J$179,'County annual'!$C$6:$C$179,$C45,'County annual'!$A$6:$A$179,$A45)</x:f>
        <x:v>201753902</x:v>
      </x:c>
      <x:c r="M45" s="62" t="n">
        <x:f>L45-K45</x:f>
        <x:v>0</x:v>
      </x:c>
      <x:c r="N45" s="47" t="n">
        <x:v>891</x:v>
      </x:c>
      <x:c r="O45" s="47" t="n">
        <x:f>SUMIFS('County annual'!$K$6:$K$179,'County annual'!$C$6:$C$179,$C45,'County annual'!$A$6:$A$179,$A45)</x:f>
        <x:v>891</x:v>
      </x:c>
      <x:c r="P45" s="47" t="n">
        <x:f>O45-N45</x:f>
        <x:v>0</x:v>
      </x:c>
      <x:c r="Q45" s="47" t="n">
        <x:f>IF(SUMIFS('County annual'!$D$6:$D$179,'County annual'!$C$6:$C$179,$C45,'County annual'!$A$6:$A$179,$A45)=D45,0,1)+IF(SUMIFS('County annual'!$E$6:$E$179,'County annual'!$C$6:$C$179,$C45,'County annual'!$A$6:$A$179,$A45)=E45,0,1)+IF(SUMIFS('County annual'!$F$6:$F$179,'County annual'!$C$6:$C$179,$C45,'County annual'!$A$6:$A$179,$A45)=F45,0,1)+IF(SUMIFS('County annual'!$G$6:$G$179,'County annual'!$C$6:$C$179,$C45,'County annual'!$A$6:$A$179,$A45)=G45,0,1)</x:f>
        <x:v>0</x:v>
      </x:c>
      <x:c r="R45" s="30" t="str">
        <x:f>IF(AND(J45=0,M45=0,P45=0,Q45=0),"Match","Mismatch")</x:f>
        <x:v>Match</x:v>
      </x:c>
      <x:c r="S45" s="30" t="str">
        <x:v>BPS-CO-2021</x:v>
      </x:c>
      <x:c r="T45" s="30" t="str">
        <x:v>raw/county/co2021a.txt</x:v>
      </x:c>
      <x:c r="U45" s="56" t="n">
        <x:v>2685</x:v>
      </x:c>
    </x:row>
    <x:row r="46" ht="21" customHeight="1">
      <x:c r="A46" s="56" t="n">
        <x:v>2021</x:v>
      </x:c>
      <x:c r="B46" s="30" t="str">
        <x:v>Juab County</x:v>
      </x:c>
      <x:c r="C46" s="58" t="str">
        <x:v>49023</x:v>
      </x:c>
      <x:c r="D46" s="47" t="n">
        <x:v>112</x:v>
      </x:c>
      <x:c r="E46" s="47" t="n">
        <x:v>4</x:v>
      </x:c>
      <x:c r="F46" s="47" t="n">
        <x:v>14</x:v>
      </x:c>
      <x:c r="G46" s="47" t="n">
        <x:v>5</x:v>
      </x:c>
      <x:c r="H46" s="47" t="n">
        <x:f>SUM(D46:G46)</x:f>
        <x:v>135</x:v>
      </x:c>
      <x:c r="I46" s="47" t="n">
        <x:f>SUMIFS('County annual'!$H$6:$H$179,'County annual'!$C$6:$C$179,$C46,'County annual'!$A$6:$A$179,$A46)</x:f>
        <x:v>135</x:v>
      </x:c>
      <x:c r="J46" s="47" t="n">
        <x:f>I46-H46</x:f>
        <x:v>0</x:v>
      </x:c>
      <x:c r="K46" s="62" t="n">
        <x:v>37855333</x:v>
      </x:c>
      <x:c r="L46" s="62" t="n">
        <x:f>SUMIFS('County annual'!$J$6:$J$179,'County annual'!$C$6:$C$179,$C46,'County annual'!$A$6:$A$179,$A46)</x:f>
        <x:v>37855333</x:v>
      </x:c>
      <x:c r="M46" s="62" t="n">
        <x:f>L46-K46</x:f>
        <x:v>0</x:v>
      </x:c>
      <x:c r="N46" s="47" t="n">
        <x:v>118</x:v>
      </x:c>
      <x:c r="O46" s="47" t="n">
        <x:f>SUMIFS('County annual'!$K$6:$K$179,'County annual'!$C$6:$C$179,$C46,'County annual'!$A$6:$A$179,$A46)</x:f>
        <x:v>118</x:v>
      </x:c>
      <x:c r="P46" s="47" t="n">
        <x:f>O46-N46</x:f>
        <x:v>0</x:v>
      </x:c>
      <x:c r="Q46" s="47" t="n">
        <x:f>IF(SUMIFS('County annual'!$D$6:$D$179,'County annual'!$C$6:$C$179,$C46,'County annual'!$A$6:$A$179,$A46)=D46,0,1)+IF(SUMIFS('County annual'!$E$6:$E$179,'County annual'!$C$6:$C$179,$C46,'County annual'!$A$6:$A$179,$A46)=E46,0,1)+IF(SUMIFS('County annual'!$F$6:$F$179,'County annual'!$C$6:$C$179,$C46,'County annual'!$A$6:$A$179,$A46)=F46,0,1)+IF(SUMIFS('County annual'!$G$6:$G$179,'County annual'!$C$6:$C$179,$C46,'County annual'!$A$6:$A$179,$A46)=G46,0,1)</x:f>
        <x:v>0</x:v>
      </x:c>
      <x:c r="R46" s="30" t="str">
        <x:f>IF(AND(J46=0,M46=0,P46=0,Q46=0),"Match","Mismatch")</x:f>
        <x:v>Match</x:v>
      </x:c>
      <x:c r="S46" s="30" t="str">
        <x:v>BPS-CO-2021</x:v>
      </x:c>
      <x:c r="T46" s="30" t="str">
        <x:v>raw/county/co2021a.txt</x:v>
      </x:c>
      <x:c r="U46" s="56" t="n">
        <x:v>2686</x:v>
      </x:c>
    </x:row>
    <x:row r="47" ht="21" customHeight="1">
      <x:c r="A47" s="56" t="n">
        <x:v>2021</x:v>
      </x:c>
      <x:c r="B47" s="30" t="str">
        <x:v>Kane County</x:v>
      </x:c>
      <x:c r="C47" s="58" t="str">
        <x:v>49025</x:v>
      </x:c>
      <x:c r="D47" s="47" t="n">
        <x:v>327</x:v>
      </x:c>
      <x:c r="E47" s="47" t="n">
        <x:v>0</x:v>
      </x:c>
      <x:c r="F47" s="47" t="n">
        <x:v>11</x:v>
      </x:c>
      <x:c r="G47" s="47" t="n">
        <x:v>0</x:v>
      </x:c>
      <x:c r="H47" s="47" t="n">
        <x:f>SUM(D47:G47)</x:f>
        <x:v>338</x:v>
      </x:c>
      <x:c r="I47" s="47" t="n">
        <x:f>SUMIFS('County annual'!$H$6:$H$179,'County annual'!$C$6:$C$179,$C47,'County annual'!$A$6:$A$179,$A47)</x:f>
        <x:v>338</x:v>
      </x:c>
      <x:c r="J47" s="47" t="n">
        <x:f>I47-H47</x:f>
        <x:v>0</x:v>
      </x:c>
      <x:c r="K47" s="62" t="n">
        <x:v>65153688</x:v>
      </x:c>
      <x:c r="L47" s="62" t="n">
        <x:f>SUMIFS('County annual'!$J$6:$J$179,'County annual'!$C$6:$C$179,$C47,'County annual'!$A$6:$A$179,$A47)</x:f>
        <x:v>65153688</x:v>
      </x:c>
      <x:c r="M47" s="62" t="n">
        <x:f>L47-K47</x:f>
        <x:v>0</x:v>
      </x:c>
      <x:c r="N47" s="47" t="n">
        <x:v>120</x:v>
      </x:c>
      <x:c r="O47" s="47" t="n">
        <x:f>SUMIFS('County annual'!$K$6:$K$179,'County annual'!$C$6:$C$179,$C47,'County annual'!$A$6:$A$179,$A47)</x:f>
        <x:v>120</x:v>
      </x:c>
      <x:c r="P47" s="47" t="n">
        <x:f>O47-N47</x:f>
        <x:v>0</x:v>
      </x:c>
      <x:c r="Q47" s="47" t="n">
        <x:f>IF(SUMIFS('County annual'!$D$6:$D$179,'County annual'!$C$6:$C$179,$C47,'County annual'!$A$6:$A$179,$A47)=D47,0,1)+IF(SUMIFS('County annual'!$E$6:$E$179,'County annual'!$C$6:$C$179,$C47,'County annual'!$A$6:$A$179,$A47)=E47,0,1)+IF(SUMIFS('County annual'!$F$6:$F$179,'County annual'!$C$6:$C$179,$C47,'County annual'!$A$6:$A$179,$A47)=F47,0,1)+IF(SUMIFS('County annual'!$G$6:$G$179,'County annual'!$C$6:$C$179,$C47,'County annual'!$A$6:$A$179,$A47)=G47,0,1)</x:f>
        <x:v>0</x:v>
      </x:c>
      <x:c r="R47" s="30" t="str">
        <x:f>IF(AND(J47=0,M47=0,P47=0,Q47=0),"Match","Mismatch")</x:f>
        <x:v>Match</x:v>
      </x:c>
      <x:c r="S47" s="30" t="str">
        <x:v>BPS-CO-2021</x:v>
      </x:c>
      <x:c r="T47" s="30" t="str">
        <x:v>raw/county/co2021a.txt</x:v>
      </x:c>
      <x:c r="U47" s="56" t="n">
        <x:v>2687</x:v>
      </x:c>
    </x:row>
    <x:row r="48" ht="21" customHeight="1">
      <x:c r="A48" s="56" t="n">
        <x:v>2021</x:v>
      </x:c>
      <x:c r="B48" s="30" t="str">
        <x:v>Millard County</x:v>
      </x:c>
      <x:c r="C48" s="58" t="str">
        <x:v>49027</x:v>
      </x:c>
      <x:c r="D48" s="47" t="n">
        <x:v>49</x:v>
      </x:c>
      <x:c r="E48" s="47" t="n">
        <x:v>0</x:v>
      </x:c>
      <x:c r="F48" s="47" t="n">
        <x:v>4</x:v>
      </x:c>
      <x:c r="G48" s="47" t="n">
        <x:v>0</x:v>
      </x:c>
      <x:c r="H48" s="47" t="n">
        <x:f>SUM(D48:G48)</x:f>
        <x:v>53</x:v>
      </x:c>
      <x:c r="I48" s="47" t="n">
        <x:f>SUMIFS('County annual'!$H$6:$H$179,'County annual'!$C$6:$C$179,$C48,'County annual'!$A$6:$A$179,$A48)</x:f>
        <x:v>53</x:v>
      </x:c>
      <x:c r="J48" s="47" t="n">
        <x:f>I48-H48</x:f>
        <x:v>0</x:v>
      </x:c>
      <x:c r="K48" s="62" t="n">
        <x:v>10863845</x:v>
      </x:c>
      <x:c r="L48" s="62" t="n">
        <x:f>SUMIFS('County annual'!$J$6:$J$179,'County annual'!$C$6:$C$179,$C48,'County annual'!$A$6:$A$179,$A48)</x:f>
        <x:v>10863845</x:v>
      </x:c>
      <x:c r="M48" s="62" t="n">
        <x:f>L48-K48</x:f>
        <x:v>0</x:v>
      </x:c>
      <x:c r="N48" s="47" t="n">
        <x:v>49</x:v>
      </x:c>
      <x:c r="O48" s="47" t="n">
        <x:f>SUMIFS('County annual'!$K$6:$K$179,'County annual'!$C$6:$C$179,$C48,'County annual'!$A$6:$A$179,$A48)</x:f>
        <x:v>49</x:v>
      </x:c>
      <x:c r="P48" s="47" t="n">
        <x:f>O48-N48</x:f>
        <x:v>0</x:v>
      </x:c>
      <x:c r="Q48" s="47" t="n">
        <x:f>IF(SUMIFS('County annual'!$D$6:$D$179,'County annual'!$C$6:$C$179,$C48,'County annual'!$A$6:$A$179,$A48)=D48,0,1)+IF(SUMIFS('County annual'!$E$6:$E$179,'County annual'!$C$6:$C$179,$C48,'County annual'!$A$6:$A$179,$A48)=E48,0,1)+IF(SUMIFS('County annual'!$F$6:$F$179,'County annual'!$C$6:$C$179,$C48,'County annual'!$A$6:$A$179,$A48)=F48,0,1)+IF(SUMIFS('County annual'!$G$6:$G$179,'County annual'!$C$6:$C$179,$C48,'County annual'!$A$6:$A$179,$A48)=G48,0,1)</x:f>
        <x:v>0</x:v>
      </x:c>
      <x:c r="R48" s="30" t="str">
        <x:f>IF(AND(J48=0,M48=0,P48=0,Q48=0),"Match","Mismatch")</x:f>
        <x:v>Match</x:v>
      </x:c>
      <x:c r="S48" s="30" t="str">
        <x:v>BPS-CO-2021</x:v>
      </x:c>
      <x:c r="T48" s="30" t="str">
        <x:v>raw/county/co2021a.txt</x:v>
      </x:c>
      <x:c r="U48" s="56" t="n">
        <x:v>2688</x:v>
      </x:c>
    </x:row>
    <x:row r="49" ht="21" customHeight="1">
      <x:c r="A49" s="56" t="n">
        <x:v>2021</x:v>
      </x:c>
      <x:c r="B49" s="30" t="str">
        <x:v>Morgan County</x:v>
      </x:c>
      <x:c r="C49" s="58" t="str">
        <x:v>49029</x:v>
      </x:c>
      <x:c r="D49" s="47" t="n">
        <x:v>98</x:v>
      </x:c>
      <x:c r="E49" s="47" t="n">
        <x:v>4</x:v>
      </x:c>
      <x:c r="F49" s="47" t="n">
        <x:v>36</x:v>
      </x:c>
      <x:c r="G49" s="47" t="n">
        <x:v>15</x:v>
      </x:c>
      <x:c r="H49" s="47" t="n">
        <x:f>SUM(D49:G49)</x:f>
        <x:v>153</x:v>
      </x:c>
      <x:c r="I49" s="47" t="n">
        <x:f>SUMIFS('County annual'!$H$6:$H$179,'County annual'!$C$6:$C$179,$C49,'County annual'!$A$6:$A$179,$A49)</x:f>
        <x:v>153</x:v>
      </x:c>
      <x:c r="J49" s="47" t="n">
        <x:f>I49-H49</x:f>
        <x:v>0</x:v>
      </x:c>
      <x:c r="K49" s="62" t="n">
        <x:v>58118055</x:v>
      </x:c>
      <x:c r="L49" s="62" t="n">
        <x:f>SUMIFS('County annual'!$J$6:$J$179,'County annual'!$C$6:$C$179,$C49,'County annual'!$A$6:$A$179,$A49)</x:f>
        <x:v>58118055</x:v>
      </x:c>
      <x:c r="M49" s="62" t="n">
        <x:f>L49-K49</x:f>
        <x:v>0</x:v>
      </x:c>
      <x:c r="N49" s="47" t="n">
        <x:v>153</x:v>
      </x:c>
      <x:c r="O49" s="47" t="n">
        <x:f>SUMIFS('County annual'!$K$6:$K$179,'County annual'!$C$6:$C$179,$C49,'County annual'!$A$6:$A$179,$A49)</x:f>
        <x:v>153</x:v>
      </x:c>
      <x:c r="P49" s="47" t="n">
        <x:f>O49-N49</x:f>
        <x:v>0</x:v>
      </x:c>
      <x:c r="Q49" s="47" t="n">
        <x:f>IF(SUMIFS('County annual'!$D$6:$D$179,'County annual'!$C$6:$C$179,$C49,'County annual'!$A$6:$A$179,$A49)=D49,0,1)+IF(SUMIFS('County annual'!$E$6:$E$179,'County annual'!$C$6:$C$179,$C49,'County annual'!$A$6:$A$179,$A49)=E49,0,1)+IF(SUMIFS('County annual'!$F$6:$F$179,'County annual'!$C$6:$C$179,$C49,'County annual'!$A$6:$A$179,$A49)=F49,0,1)+IF(SUMIFS('County annual'!$G$6:$G$179,'County annual'!$C$6:$C$179,$C49,'County annual'!$A$6:$A$179,$A49)=G49,0,1)</x:f>
        <x:v>0</x:v>
      </x:c>
      <x:c r="R49" s="30" t="str">
        <x:f>IF(AND(J49=0,M49=0,P49=0,Q49=0),"Match","Mismatch")</x:f>
        <x:v>Match</x:v>
      </x:c>
      <x:c r="S49" s="30" t="str">
        <x:v>BPS-CO-2021</x:v>
      </x:c>
      <x:c r="T49" s="30" t="str">
        <x:v>raw/county/co2021a.txt</x:v>
      </x:c>
      <x:c r="U49" s="56" t="n">
        <x:v>2689</x:v>
      </x:c>
    </x:row>
    <x:row r="50" ht="21" customHeight="1">
      <x:c r="A50" s="56" t="n">
        <x:v>2021</x:v>
      </x:c>
      <x:c r="B50" s="30" t="str">
        <x:v>Piute County</x:v>
      </x:c>
      <x:c r="C50" s="58" t="str">
        <x:v>49031</x:v>
      </x:c>
      <x:c r="D50" s="47" t="n">
        <x:v>33</x:v>
      </x:c>
      <x:c r="E50" s="47" t="n">
        <x:v>0</x:v>
      </x:c>
      <x:c r="F50" s="47" t="n">
        <x:v>0</x:v>
      </x:c>
      <x:c r="G50" s="47" t="n">
        <x:v>0</x:v>
      </x:c>
      <x:c r="H50" s="47" t="n">
        <x:f>SUM(D50:G50)</x:f>
        <x:v>33</x:v>
      </x:c>
      <x:c r="I50" s="47" t="n">
        <x:f>SUMIFS('County annual'!$H$6:$H$179,'County annual'!$C$6:$C$179,$C50,'County annual'!$A$6:$A$179,$A50)</x:f>
        <x:v>33</x:v>
      </x:c>
      <x:c r="J50" s="47" t="n">
        <x:f>I50-H50</x:f>
        <x:v>0</x:v>
      </x:c>
      <x:c r="K50" s="62" t="n">
        <x:v>5258556</x:v>
      </x:c>
      <x:c r="L50" s="62" t="n">
        <x:f>SUMIFS('County annual'!$J$6:$J$179,'County annual'!$C$6:$C$179,$C50,'County annual'!$A$6:$A$179,$A50)</x:f>
        <x:v>5258556</x:v>
      </x:c>
      <x:c r="M50" s="62" t="n">
        <x:f>L50-K50</x:f>
        <x:v>0</x:v>
      </x:c>
      <x:c r="N50" s="47" t="n">
        <x:v>0</x:v>
      </x:c>
      <x:c r="O50" s="47" t="n">
        <x:f>SUMIFS('County annual'!$K$6:$K$179,'County annual'!$C$6:$C$179,$C50,'County annual'!$A$6:$A$179,$A50)</x:f>
        <x:v>0</x:v>
      </x:c>
      <x:c r="P50" s="47" t="n">
        <x:f>O50-N50</x:f>
        <x:v>0</x:v>
      </x:c>
      <x:c r="Q50" s="47" t="n">
        <x:f>IF(SUMIFS('County annual'!$D$6:$D$179,'County annual'!$C$6:$C$179,$C50,'County annual'!$A$6:$A$179,$A50)=D50,0,1)+IF(SUMIFS('County annual'!$E$6:$E$179,'County annual'!$C$6:$C$179,$C50,'County annual'!$A$6:$A$179,$A50)=E50,0,1)+IF(SUMIFS('County annual'!$F$6:$F$179,'County annual'!$C$6:$C$179,$C50,'County annual'!$A$6:$A$179,$A50)=F50,0,1)+IF(SUMIFS('County annual'!$G$6:$G$179,'County annual'!$C$6:$C$179,$C50,'County annual'!$A$6:$A$179,$A50)=G50,0,1)</x:f>
        <x:v>0</x:v>
      </x:c>
      <x:c r="R50" s="30" t="str">
        <x:f>IF(AND(J50=0,M50=0,P50=0,Q50=0),"Match","Mismatch")</x:f>
        <x:v>Match</x:v>
      </x:c>
      <x:c r="S50" s="30" t="str">
        <x:v>BPS-CO-2021</x:v>
      </x:c>
      <x:c r="T50" s="30" t="str">
        <x:v>raw/county/co2021a.txt</x:v>
      </x:c>
      <x:c r="U50" s="56" t="n">
        <x:v>2690</x:v>
      </x:c>
    </x:row>
    <x:row r="51" ht="21" customHeight="1">
      <x:c r="A51" s="56" t="n">
        <x:v>2021</x:v>
      </x:c>
      <x:c r="B51" s="30" t="str">
        <x:v>Rich County</x:v>
      </x:c>
      <x:c r="C51" s="58" t="str">
        <x:v>49033</x:v>
      </x:c>
      <x:c r="D51" s="47" t="n">
        <x:v>68</x:v>
      </x:c>
      <x:c r="E51" s="47" t="n">
        <x:v>0</x:v>
      </x:c>
      <x:c r="F51" s="47" t="n">
        <x:v>0</x:v>
      </x:c>
      <x:c r="G51" s="47" t="n">
        <x:v>0</x:v>
      </x:c>
      <x:c r="H51" s="47" t="n">
        <x:f>SUM(D51:G51)</x:f>
        <x:v>68</x:v>
      </x:c>
      <x:c r="I51" s="47" t="n">
        <x:f>SUMIFS('County annual'!$H$6:$H$179,'County annual'!$C$6:$C$179,$C51,'County annual'!$A$6:$A$179,$A51)</x:f>
        <x:v>68</x:v>
      </x:c>
      <x:c r="J51" s="47" t="n">
        <x:f>I51-H51</x:f>
        <x:v>0</x:v>
      </x:c>
      <x:c r="K51" s="62" t="n">
        <x:v>22067697</x:v>
      </x:c>
      <x:c r="L51" s="62" t="n">
        <x:f>SUMIFS('County annual'!$J$6:$J$179,'County annual'!$C$6:$C$179,$C51,'County annual'!$A$6:$A$179,$A51)</x:f>
        <x:v>22067697</x:v>
      </x:c>
      <x:c r="M51" s="62" t="n">
        <x:f>L51-K51</x:f>
        <x:v>0</x:v>
      </x:c>
      <x:c r="N51" s="47" t="n">
        <x:v>0</x:v>
      </x:c>
      <x:c r="O51" s="47" t="n">
        <x:f>SUMIFS('County annual'!$K$6:$K$179,'County annual'!$C$6:$C$179,$C51,'County annual'!$A$6:$A$179,$A51)</x:f>
        <x:v>0</x:v>
      </x:c>
      <x:c r="P51" s="47" t="n">
        <x:f>O51-N51</x:f>
        <x:v>0</x:v>
      </x:c>
      <x:c r="Q51" s="47" t="n">
        <x:f>IF(SUMIFS('County annual'!$D$6:$D$179,'County annual'!$C$6:$C$179,$C51,'County annual'!$A$6:$A$179,$A51)=D51,0,1)+IF(SUMIFS('County annual'!$E$6:$E$179,'County annual'!$C$6:$C$179,$C51,'County annual'!$A$6:$A$179,$A51)=E51,0,1)+IF(SUMIFS('County annual'!$F$6:$F$179,'County annual'!$C$6:$C$179,$C51,'County annual'!$A$6:$A$179,$A51)=F51,0,1)+IF(SUMIFS('County annual'!$G$6:$G$179,'County annual'!$C$6:$C$179,$C51,'County annual'!$A$6:$A$179,$A51)=G51,0,1)</x:f>
        <x:v>0</x:v>
      </x:c>
      <x:c r="R51" s="30" t="str">
        <x:f>IF(AND(J51=0,M51=0,P51=0,Q51=0),"Match","Mismatch")</x:f>
        <x:v>Match</x:v>
      </x:c>
      <x:c r="S51" s="30" t="str">
        <x:v>BPS-CO-2021</x:v>
      </x:c>
      <x:c r="T51" s="30" t="str">
        <x:v>raw/county/co2021a.txt</x:v>
      </x:c>
      <x:c r="U51" s="56" t="n">
        <x:v>2691</x:v>
      </x:c>
    </x:row>
    <x:row r="52" ht="21" customHeight="1">
      <x:c r="A52" s="56" t="n">
        <x:v>2021</x:v>
      </x:c>
      <x:c r="B52" s="30" t="str">
        <x:v>Salt Lake County</x:v>
      </x:c>
      <x:c r="C52" s="58" t="str">
        <x:v>49035</x:v>
      </x:c>
      <x:c r="D52" s="47" t="n">
        <x:v>4350</x:v>
      </x:c>
      <x:c r="E52" s="47" t="n">
        <x:v>188</x:v>
      </x:c>
      <x:c r="F52" s="47" t="n">
        <x:v>260</x:v>
      </x:c>
      <x:c r="G52" s="47" t="n">
        <x:v>5851</x:v>
      </x:c>
      <x:c r="H52" s="47" t="n">
        <x:f>SUM(D52:G52)</x:f>
        <x:v>10649</x:v>
      </x:c>
      <x:c r="I52" s="47" t="n">
        <x:f>SUMIFS('County annual'!$H$6:$H$179,'County annual'!$C$6:$C$179,$C52,'County annual'!$A$6:$A$179,$A52)</x:f>
        <x:v>10649</x:v>
      </x:c>
      <x:c r="J52" s="47" t="n">
        <x:f>I52-H52</x:f>
        <x:v>0</x:v>
      </x:c>
      <x:c r="K52" s="62" t="n">
        <x:v>2125291285</x:v>
      </x:c>
      <x:c r="L52" s="62" t="n">
        <x:f>SUMIFS('County annual'!$J$6:$J$179,'County annual'!$C$6:$C$179,$C52,'County annual'!$A$6:$A$179,$A52)</x:f>
        <x:v>2125291285</x:v>
      </x:c>
      <x:c r="M52" s="62" t="n">
        <x:f>L52-K52</x:f>
        <x:v>0</x:v>
      </x:c>
      <x:c r="N52" s="47" t="n">
        <x:v>6675</x:v>
      </x:c>
      <x:c r="O52" s="47" t="n">
        <x:f>SUMIFS('County annual'!$K$6:$K$179,'County annual'!$C$6:$C$179,$C52,'County annual'!$A$6:$A$179,$A52)</x:f>
        <x:v>6675</x:v>
      </x:c>
      <x:c r="P52" s="47" t="n">
        <x:f>O52-N52</x:f>
        <x:v>0</x:v>
      </x:c>
      <x:c r="Q52" s="47" t="n">
        <x:f>IF(SUMIFS('County annual'!$D$6:$D$179,'County annual'!$C$6:$C$179,$C52,'County annual'!$A$6:$A$179,$A52)=D52,0,1)+IF(SUMIFS('County annual'!$E$6:$E$179,'County annual'!$C$6:$C$179,$C52,'County annual'!$A$6:$A$179,$A52)=E52,0,1)+IF(SUMIFS('County annual'!$F$6:$F$179,'County annual'!$C$6:$C$179,$C52,'County annual'!$A$6:$A$179,$A52)=F52,0,1)+IF(SUMIFS('County annual'!$G$6:$G$179,'County annual'!$C$6:$C$179,$C52,'County annual'!$A$6:$A$179,$A52)=G52,0,1)</x:f>
        <x:v>0</x:v>
      </x:c>
      <x:c r="R52" s="30" t="str">
        <x:f>IF(AND(J52=0,M52=0,P52=0,Q52=0),"Match","Mismatch")</x:f>
        <x:v>Match</x:v>
      </x:c>
      <x:c r="S52" s="30" t="str">
        <x:v>BPS-CO-2021</x:v>
      </x:c>
      <x:c r="T52" s="30" t="str">
        <x:v>raw/county/co2021a.txt</x:v>
      </x:c>
      <x:c r="U52" s="56" t="n">
        <x:v>2692</x:v>
      </x:c>
    </x:row>
    <x:row r="53" ht="21" customHeight="1">
      <x:c r="A53" s="56" t="n">
        <x:v>2021</x:v>
      </x:c>
      <x:c r="B53" s="30" t="str">
        <x:v>San Juan County</x:v>
      </x:c>
      <x:c r="C53" s="58" t="str">
        <x:v>49037</x:v>
      </x:c>
      <x:c r="D53" s="47" t="n">
        <x:v>161</x:v>
      </x:c>
      <x:c r="E53" s="47" t="n">
        <x:v>0</x:v>
      </x:c>
      <x:c r="F53" s="47" t="n">
        <x:v>0</x:v>
      </x:c>
      <x:c r="G53" s="47" t="n">
        <x:v>0</x:v>
      </x:c>
      <x:c r="H53" s="47" t="n">
        <x:f>SUM(D53:G53)</x:f>
        <x:v>161</x:v>
      </x:c>
      <x:c r="I53" s="47" t="n">
        <x:f>SUMIFS('County annual'!$H$6:$H$179,'County annual'!$C$6:$C$179,$C53,'County annual'!$A$6:$A$179,$A53)</x:f>
        <x:v>161</x:v>
      </x:c>
      <x:c r="J53" s="47" t="n">
        <x:f>I53-H53</x:f>
        <x:v>0</x:v>
      </x:c>
      <x:c r="K53" s="62" t="n">
        <x:v>48658403</x:v>
      </x:c>
      <x:c r="L53" s="62" t="n">
        <x:f>SUMIFS('County annual'!$J$6:$J$179,'County annual'!$C$6:$C$179,$C53,'County annual'!$A$6:$A$179,$A53)</x:f>
        <x:v>48658403</x:v>
      </x:c>
      <x:c r="M53" s="62" t="n">
        <x:f>L53-K53</x:f>
        <x:v>0</x:v>
      </x:c>
      <x:c r="N53" s="47" t="n">
        <x:v>161</x:v>
      </x:c>
      <x:c r="O53" s="47" t="n">
        <x:f>SUMIFS('County annual'!$K$6:$K$179,'County annual'!$C$6:$C$179,$C53,'County annual'!$A$6:$A$179,$A53)</x:f>
        <x:v>161</x:v>
      </x:c>
      <x:c r="P53" s="47" t="n">
        <x:f>O53-N53</x:f>
        <x:v>0</x:v>
      </x:c>
      <x:c r="Q53" s="47" t="n">
        <x:f>IF(SUMIFS('County annual'!$D$6:$D$179,'County annual'!$C$6:$C$179,$C53,'County annual'!$A$6:$A$179,$A53)=D53,0,1)+IF(SUMIFS('County annual'!$E$6:$E$179,'County annual'!$C$6:$C$179,$C53,'County annual'!$A$6:$A$179,$A53)=E53,0,1)+IF(SUMIFS('County annual'!$F$6:$F$179,'County annual'!$C$6:$C$179,$C53,'County annual'!$A$6:$A$179,$A53)=F53,0,1)+IF(SUMIFS('County annual'!$G$6:$G$179,'County annual'!$C$6:$C$179,$C53,'County annual'!$A$6:$A$179,$A53)=G53,0,1)</x:f>
        <x:v>0</x:v>
      </x:c>
      <x:c r="R53" s="30" t="str">
        <x:f>IF(AND(J53=0,M53=0,P53=0,Q53=0),"Match","Mismatch")</x:f>
        <x:v>Match</x:v>
      </x:c>
      <x:c r="S53" s="30" t="str">
        <x:v>BPS-CO-2021</x:v>
      </x:c>
      <x:c r="T53" s="30" t="str">
        <x:v>raw/county/co2021a.txt</x:v>
      </x:c>
      <x:c r="U53" s="56" t="n">
        <x:v>2693</x:v>
      </x:c>
    </x:row>
    <x:row r="54" ht="21" customHeight="1">
      <x:c r="A54" s="56" t="n">
        <x:v>2021</x:v>
      </x:c>
      <x:c r="B54" s="30" t="str">
        <x:v>Sanpete County</x:v>
      </x:c>
      <x:c r="C54" s="58" t="str">
        <x:v>49039</x:v>
      </x:c>
      <x:c r="D54" s="47" t="n">
        <x:v>227</x:v>
      </x:c>
      <x:c r="E54" s="47" t="n">
        <x:v>0</x:v>
      </x:c>
      <x:c r="F54" s="47" t="n">
        <x:v>0</x:v>
      </x:c>
      <x:c r="G54" s="47" t="n">
        <x:v>0</x:v>
      </x:c>
      <x:c r="H54" s="47" t="n">
        <x:f>SUM(D54:G54)</x:f>
        <x:v>227</x:v>
      </x:c>
      <x:c r="I54" s="47" t="n">
        <x:f>SUMIFS('County annual'!$H$6:$H$179,'County annual'!$C$6:$C$179,$C54,'County annual'!$A$6:$A$179,$A54)</x:f>
        <x:v>227</x:v>
      </x:c>
      <x:c r="J54" s="47" t="n">
        <x:f>I54-H54</x:f>
        <x:v>0</x:v>
      </x:c>
      <x:c r="K54" s="62" t="n">
        <x:v>40905899</x:v>
      </x:c>
      <x:c r="L54" s="62" t="n">
        <x:f>SUMIFS('County annual'!$J$6:$J$179,'County annual'!$C$6:$C$179,$C54,'County annual'!$A$6:$A$179,$A54)</x:f>
        <x:v>40905899</x:v>
      </x:c>
      <x:c r="M54" s="62" t="n">
        <x:f>L54-K54</x:f>
        <x:v>0</x:v>
      </x:c>
      <x:c r="N54" s="47" t="n">
        <x:v>227</x:v>
      </x:c>
      <x:c r="O54" s="47" t="n">
        <x:f>SUMIFS('County annual'!$K$6:$K$179,'County annual'!$C$6:$C$179,$C54,'County annual'!$A$6:$A$179,$A54)</x:f>
        <x:v>227</x:v>
      </x:c>
      <x:c r="P54" s="47" t="n">
        <x:f>O54-N54</x:f>
        <x:v>0</x:v>
      </x:c>
      <x:c r="Q54" s="47" t="n">
        <x:f>IF(SUMIFS('County annual'!$D$6:$D$179,'County annual'!$C$6:$C$179,$C54,'County annual'!$A$6:$A$179,$A54)=D54,0,1)+IF(SUMIFS('County annual'!$E$6:$E$179,'County annual'!$C$6:$C$179,$C54,'County annual'!$A$6:$A$179,$A54)=E54,0,1)+IF(SUMIFS('County annual'!$F$6:$F$179,'County annual'!$C$6:$C$179,$C54,'County annual'!$A$6:$A$179,$A54)=F54,0,1)+IF(SUMIFS('County annual'!$G$6:$G$179,'County annual'!$C$6:$C$179,$C54,'County annual'!$A$6:$A$179,$A54)=G54,0,1)</x:f>
        <x:v>0</x:v>
      </x:c>
      <x:c r="R54" s="30" t="str">
        <x:f>IF(AND(J54=0,M54=0,P54=0,Q54=0),"Match","Mismatch")</x:f>
        <x:v>Match</x:v>
      </x:c>
      <x:c r="S54" s="30" t="str">
        <x:v>BPS-CO-2021</x:v>
      </x:c>
      <x:c r="T54" s="30" t="str">
        <x:v>raw/county/co2021a.txt</x:v>
      </x:c>
      <x:c r="U54" s="56" t="n">
        <x:v>2694</x:v>
      </x:c>
    </x:row>
    <x:row r="55" ht="21" customHeight="1">
      <x:c r="A55" s="56" t="n">
        <x:v>2021</x:v>
      </x:c>
      <x:c r="B55" s="30" t="str">
        <x:v>Sevier County</x:v>
      </x:c>
      <x:c r="C55" s="58" t="str">
        <x:v>49041</x:v>
      </x:c>
      <x:c r="D55" s="47" t="n">
        <x:v>66</x:v>
      </x:c>
      <x:c r="E55" s="47" t="n">
        <x:v>2</x:v>
      </x:c>
      <x:c r="F55" s="47" t="n">
        <x:v>0</x:v>
      </x:c>
      <x:c r="G55" s="47" t="n">
        <x:v>120</x:v>
      </x:c>
      <x:c r="H55" s="47" t="n">
        <x:f>SUM(D55:G55)</x:f>
        <x:v>188</x:v>
      </x:c>
      <x:c r="I55" s="47" t="n">
        <x:f>SUMIFS('County annual'!$H$6:$H$179,'County annual'!$C$6:$C$179,$C55,'County annual'!$A$6:$A$179,$A55)</x:f>
        <x:v>188</x:v>
      </x:c>
      <x:c r="J55" s="47" t="n">
        <x:f>I55-H55</x:f>
        <x:v>0</x:v>
      </x:c>
      <x:c r="K55" s="62" t="n">
        <x:v>40580709</x:v>
      </x:c>
      <x:c r="L55" s="62" t="n">
        <x:f>SUMIFS('County annual'!$J$6:$J$179,'County annual'!$C$6:$C$179,$C55,'County annual'!$A$6:$A$179,$A55)</x:f>
        <x:v>40580709</x:v>
      </x:c>
      <x:c r="M55" s="62" t="n">
        <x:f>L55-K55</x:f>
        <x:v>0</x:v>
      </x:c>
      <x:c r="N55" s="47" t="n">
        <x:v>188</x:v>
      </x:c>
      <x:c r="O55" s="47" t="n">
        <x:f>SUMIFS('County annual'!$K$6:$K$179,'County annual'!$C$6:$C$179,$C55,'County annual'!$A$6:$A$179,$A55)</x:f>
        <x:v>188</x:v>
      </x:c>
      <x:c r="P55" s="47" t="n">
        <x:f>O55-N55</x:f>
        <x:v>0</x:v>
      </x:c>
      <x:c r="Q55" s="47" t="n">
        <x:f>IF(SUMIFS('County annual'!$D$6:$D$179,'County annual'!$C$6:$C$179,$C55,'County annual'!$A$6:$A$179,$A55)=D55,0,1)+IF(SUMIFS('County annual'!$E$6:$E$179,'County annual'!$C$6:$C$179,$C55,'County annual'!$A$6:$A$179,$A55)=E55,0,1)+IF(SUMIFS('County annual'!$F$6:$F$179,'County annual'!$C$6:$C$179,$C55,'County annual'!$A$6:$A$179,$A55)=F55,0,1)+IF(SUMIFS('County annual'!$G$6:$G$179,'County annual'!$C$6:$C$179,$C55,'County annual'!$A$6:$A$179,$A55)=G55,0,1)</x:f>
        <x:v>0</x:v>
      </x:c>
      <x:c r="R55" s="30" t="str">
        <x:f>IF(AND(J55=0,M55=0,P55=0,Q55=0),"Match","Mismatch")</x:f>
        <x:v>Match</x:v>
      </x:c>
      <x:c r="S55" s="30" t="str">
        <x:v>BPS-CO-2021</x:v>
      </x:c>
      <x:c r="T55" s="30" t="str">
        <x:v>raw/county/co2021a.txt</x:v>
      </x:c>
      <x:c r="U55" s="56" t="n">
        <x:v>2695</x:v>
      </x:c>
    </x:row>
    <x:row r="56" ht="21" customHeight="1">
      <x:c r="A56" s="56" t="n">
        <x:v>2021</x:v>
      </x:c>
      <x:c r="B56" s="30" t="str">
        <x:v>Summit County</x:v>
      </x:c>
      <x:c r="C56" s="58" t="str">
        <x:v>49043</x:v>
      </x:c>
      <x:c r="D56" s="47" t="n">
        <x:v>286</x:v>
      </x:c>
      <x:c r="E56" s="47" t="n">
        <x:v>0</x:v>
      </x:c>
      <x:c r="F56" s="47" t="n">
        <x:v>30</x:v>
      </x:c>
      <x:c r="G56" s="47" t="n">
        <x:v>123</x:v>
      </x:c>
      <x:c r="H56" s="47" t="n">
        <x:f>SUM(D56:G56)</x:f>
        <x:v>439</x:v>
      </x:c>
      <x:c r="I56" s="47" t="n">
        <x:f>SUMIFS('County annual'!$H$6:$H$179,'County annual'!$C$6:$C$179,$C56,'County annual'!$A$6:$A$179,$A56)</x:f>
        <x:v>439</x:v>
      </x:c>
      <x:c r="J56" s="47" t="n">
        <x:f>I56-H56</x:f>
        <x:v>0</x:v>
      </x:c>
      <x:c r="K56" s="62" t="n">
        <x:v>222251344</x:v>
      </x:c>
      <x:c r="L56" s="62" t="n">
        <x:f>SUMIFS('County annual'!$J$6:$J$179,'County annual'!$C$6:$C$179,$C56,'County annual'!$A$6:$A$179,$A56)</x:f>
        <x:v>222251344</x:v>
      </x:c>
      <x:c r="M56" s="62" t="n">
        <x:f>L56-K56</x:f>
        <x:v>0</x:v>
      </x:c>
      <x:c r="N56" s="47" t="n">
        <x:v>150</x:v>
      </x:c>
      <x:c r="O56" s="47" t="n">
        <x:f>SUMIFS('County annual'!$K$6:$K$179,'County annual'!$C$6:$C$179,$C56,'County annual'!$A$6:$A$179,$A56)</x:f>
        <x:v>150</x:v>
      </x:c>
      <x:c r="P56" s="47" t="n">
        <x:f>O56-N56</x:f>
        <x:v>0</x:v>
      </x:c>
      <x:c r="Q56" s="47" t="n">
        <x:f>IF(SUMIFS('County annual'!$D$6:$D$179,'County annual'!$C$6:$C$179,$C56,'County annual'!$A$6:$A$179,$A56)=D56,0,1)+IF(SUMIFS('County annual'!$E$6:$E$179,'County annual'!$C$6:$C$179,$C56,'County annual'!$A$6:$A$179,$A56)=E56,0,1)+IF(SUMIFS('County annual'!$F$6:$F$179,'County annual'!$C$6:$C$179,$C56,'County annual'!$A$6:$A$179,$A56)=F56,0,1)+IF(SUMIFS('County annual'!$G$6:$G$179,'County annual'!$C$6:$C$179,$C56,'County annual'!$A$6:$A$179,$A56)=G56,0,1)</x:f>
        <x:v>0</x:v>
      </x:c>
      <x:c r="R56" s="30" t="str">
        <x:f>IF(AND(J56=0,M56=0,P56=0,Q56=0),"Match","Mismatch")</x:f>
        <x:v>Match</x:v>
      </x:c>
      <x:c r="S56" s="30" t="str">
        <x:v>BPS-CO-2021</x:v>
      </x:c>
      <x:c r="T56" s="30" t="str">
        <x:v>raw/county/co2021a.txt</x:v>
      </x:c>
      <x:c r="U56" s="56" t="n">
        <x:v>2696</x:v>
      </x:c>
    </x:row>
    <x:row r="57" ht="21" customHeight="1">
      <x:c r="A57" s="56" t="n">
        <x:v>2021</x:v>
      </x:c>
      <x:c r="B57" s="30" t="str">
        <x:v>Tooele County</x:v>
      </x:c>
      <x:c r="C57" s="58" t="str">
        <x:v>49045</x:v>
      </x:c>
      <x:c r="D57" s="47" t="n">
        <x:v>988</x:v>
      </x:c>
      <x:c r="E57" s="47" t="n">
        <x:v>2</x:v>
      </x:c>
      <x:c r="F57" s="47" t="n">
        <x:v>3</x:v>
      </x:c>
      <x:c r="G57" s="47" t="n">
        <x:v>0</x:v>
      </x:c>
      <x:c r="H57" s="47" t="n">
        <x:f>SUM(D57:G57)</x:f>
        <x:v>993</x:v>
      </x:c>
      <x:c r="I57" s="47" t="n">
        <x:f>SUMIFS('County annual'!$H$6:$H$179,'County annual'!$C$6:$C$179,$C57,'County annual'!$A$6:$A$179,$A57)</x:f>
        <x:v>993</x:v>
      </x:c>
      <x:c r="J57" s="47" t="n">
        <x:f>I57-H57</x:f>
        <x:v>0</x:v>
      </x:c>
      <x:c r="K57" s="62" t="n">
        <x:v>259797635</x:v>
      </x:c>
      <x:c r="L57" s="62" t="n">
        <x:f>SUMIFS('County annual'!$J$6:$J$179,'County annual'!$C$6:$C$179,$C57,'County annual'!$A$6:$A$179,$A57)</x:f>
        <x:v>259797635</x:v>
      </x:c>
      <x:c r="M57" s="62" t="n">
        <x:f>L57-K57</x:f>
        <x:v>0</x:v>
      </x:c>
      <x:c r="N57" s="47" t="n">
        <x:v>993</x:v>
      </x:c>
      <x:c r="O57" s="47" t="n">
        <x:f>SUMIFS('County annual'!$K$6:$K$179,'County annual'!$C$6:$C$179,$C57,'County annual'!$A$6:$A$179,$A57)</x:f>
        <x:v>993</x:v>
      </x:c>
      <x:c r="P57" s="47" t="n">
        <x:f>O57-N57</x:f>
        <x:v>0</x:v>
      </x:c>
      <x:c r="Q57" s="47" t="n">
        <x:f>IF(SUMIFS('County annual'!$D$6:$D$179,'County annual'!$C$6:$C$179,$C57,'County annual'!$A$6:$A$179,$A57)=D57,0,1)+IF(SUMIFS('County annual'!$E$6:$E$179,'County annual'!$C$6:$C$179,$C57,'County annual'!$A$6:$A$179,$A57)=E57,0,1)+IF(SUMIFS('County annual'!$F$6:$F$179,'County annual'!$C$6:$C$179,$C57,'County annual'!$A$6:$A$179,$A57)=F57,0,1)+IF(SUMIFS('County annual'!$G$6:$G$179,'County annual'!$C$6:$C$179,$C57,'County annual'!$A$6:$A$179,$A57)=G57,0,1)</x:f>
        <x:v>0</x:v>
      </x:c>
      <x:c r="R57" s="30" t="str">
        <x:f>IF(AND(J57=0,M57=0,P57=0,Q57=0),"Match","Mismatch")</x:f>
        <x:v>Match</x:v>
      </x:c>
      <x:c r="S57" s="30" t="str">
        <x:v>BPS-CO-2021</x:v>
      </x:c>
      <x:c r="T57" s="30" t="str">
        <x:v>raw/county/co2021a.txt</x:v>
      </x:c>
      <x:c r="U57" s="56" t="n">
        <x:v>2697</x:v>
      </x:c>
    </x:row>
    <x:row r="58" ht="21" customHeight="1">
      <x:c r="A58" s="56" t="n">
        <x:v>2021</x:v>
      </x:c>
      <x:c r="B58" s="30" t="str">
        <x:v>Uintah County</x:v>
      </x:c>
      <x:c r="C58" s="58" t="str">
        <x:v>49047</x:v>
      </x:c>
      <x:c r="D58" s="47" t="n">
        <x:v>86</x:v>
      </x:c>
      <x:c r="E58" s="47" t="n">
        <x:v>0</x:v>
      </x:c>
      <x:c r="F58" s="47" t="n">
        <x:v>0</x:v>
      </x:c>
      <x:c r="G58" s="47" t="n">
        <x:v>0</x:v>
      </x:c>
      <x:c r="H58" s="47" t="n">
        <x:f>SUM(D58:G58)</x:f>
        <x:v>86</x:v>
      </x:c>
      <x:c r="I58" s="47" t="n">
        <x:f>SUMIFS('County annual'!$H$6:$H$179,'County annual'!$C$6:$C$179,$C58,'County annual'!$A$6:$A$179,$A58)</x:f>
        <x:v>86</x:v>
      </x:c>
      <x:c r="J58" s="47" t="n">
        <x:f>I58-H58</x:f>
        <x:v>0</x:v>
      </x:c>
      <x:c r="K58" s="62" t="n">
        <x:v>25614985</x:v>
      </x:c>
      <x:c r="L58" s="62" t="n">
        <x:f>SUMIFS('County annual'!$J$6:$J$179,'County annual'!$C$6:$C$179,$C58,'County annual'!$A$6:$A$179,$A58)</x:f>
        <x:v>25614985</x:v>
      </x:c>
      <x:c r="M58" s="62" t="n">
        <x:f>L58-K58</x:f>
        <x:v>0</x:v>
      </x:c>
      <x:c r="N58" s="47" t="n">
        <x:v>86</x:v>
      </x:c>
      <x:c r="O58" s="47" t="n">
        <x:f>SUMIFS('County annual'!$K$6:$K$179,'County annual'!$C$6:$C$179,$C58,'County annual'!$A$6:$A$179,$A58)</x:f>
        <x:v>86</x:v>
      </x:c>
      <x:c r="P58" s="47" t="n">
        <x:f>O58-N58</x:f>
        <x:v>0</x:v>
      </x:c>
      <x:c r="Q58" s="47" t="n">
        <x:f>IF(SUMIFS('County annual'!$D$6:$D$179,'County annual'!$C$6:$C$179,$C58,'County annual'!$A$6:$A$179,$A58)=D58,0,1)+IF(SUMIFS('County annual'!$E$6:$E$179,'County annual'!$C$6:$C$179,$C58,'County annual'!$A$6:$A$179,$A58)=E58,0,1)+IF(SUMIFS('County annual'!$F$6:$F$179,'County annual'!$C$6:$C$179,$C58,'County annual'!$A$6:$A$179,$A58)=F58,0,1)+IF(SUMIFS('County annual'!$G$6:$G$179,'County annual'!$C$6:$C$179,$C58,'County annual'!$A$6:$A$179,$A58)=G58,0,1)</x:f>
        <x:v>0</x:v>
      </x:c>
      <x:c r="R58" s="30" t="str">
        <x:f>IF(AND(J58=0,M58=0,P58=0,Q58=0),"Match","Mismatch")</x:f>
        <x:v>Match</x:v>
      </x:c>
      <x:c r="S58" s="30" t="str">
        <x:v>BPS-CO-2021</x:v>
      </x:c>
      <x:c r="T58" s="30" t="str">
        <x:v>raw/county/co2021a.txt</x:v>
      </x:c>
      <x:c r="U58" s="56" t="n">
        <x:v>2698</x:v>
      </x:c>
    </x:row>
    <x:row r="59" ht="21" customHeight="1">
      <x:c r="A59" s="56" t="n">
        <x:v>2021</x:v>
      </x:c>
      <x:c r="B59" s="30" t="str">
        <x:v>Utah County</x:v>
      </x:c>
      <x:c r="C59" s="58" t="str">
        <x:v>49049</x:v>
      </x:c>
      <x:c r="D59" s="47" t="n">
        <x:v>7450</x:v>
      </x:c>
      <x:c r="E59" s="47" t="n">
        <x:v>98</x:v>
      </x:c>
      <x:c r="F59" s="47" t="n">
        <x:v>232</x:v>
      </x:c>
      <x:c r="G59" s="47" t="n">
        <x:v>3260</x:v>
      </x:c>
      <x:c r="H59" s="47" t="n">
        <x:f>SUM(D59:G59)</x:f>
        <x:v>11040</x:v>
      </x:c>
      <x:c r="I59" s="47" t="n">
        <x:f>SUMIFS('County annual'!$H$6:$H$179,'County annual'!$C$6:$C$179,$C59,'County annual'!$A$6:$A$179,$A59)</x:f>
        <x:v>11040</x:v>
      </x:c>
      <x:c r="J59" s="47" t="n">
        <x:f>I59-H59</x:f>
        <x:v>0</x:v>
      </x:c>
      <x:c r="K59" s="62" t="n">
        <x:v>2733360389</x:v>
      </x:c>
      <x:c r="L59" s="62" t="n">
        <x:f>SUMIFS('County annual'!$J$6:$J$179,'County annual'!$C$6:$C$179,$C59,'County annual'!$A$6:$A$179,$A59)</x:f>
        <x:v>2733360389</x:v>
      </x:c>
      <x:c r="M59" s="62" t="n">
        <x:f>L59-K59</x:f>
        <x:v>0</x:v>
      </x:c>
      <x:c r="N59" s="47" t="n">
        <x:v>11026</x:v>
      </x:c>
      <x:c r="O59" s="47" t="n">
        <x:f>SUMIFS('County annual'!$K$6:$K$179,'County annual'!$C$6:$C$179,$C59,'County annual'!$A$6:$A$179,$A59)</x:f>
        <x:v>11026</x:v>
      </x:c>
      <x:c r="P59" s="47" t="n">
        <x:f>O59-N59</x:f>
        <x:v>0</x:v>
      </x:c>
      <x:c r="Q59" s="47" t="n">
        <x:f>IF(SUMIFS('County annual'!$D$6:$D$179,'County annual'!$C$6:$C$179,$C59,'County annual'!$A$6:$A$179,$A59)=D59,0,1)+IF(SUMIFS('County annual'!$E$6:$E$179,'County annual'!$C$6:$C$179,$C59,'County annual'!$A$6:$A$179,$A59)=E59,0,1)+IF(SUMIFS('County annual'!$F$6:$F$179,'County annual'!$C$6:$C$179,$C59,'County annual'!$A$6:$A$179,$A59)=F59,0,1)+IF(SUMIFS('County annual'!$G$6:$G$179,'County annual'!$C$6:$C$179,$C59,'County annual'!$A$6:$A$179,$A59)=G59,0,1)</x:f>
        <x:v>0</x:v>
      </x:c>
      <x:c r="R59" s="30" t="str">
        <x:f>IF(AND(J59=0,M59=0,P59=0,Q59=0),"Match","Mismatch")</x:f>
        <x:v>Match</x:v>
      </x:c>
      <x:c r="S59" s="30" t="str">
        <x:v>BPS-CO-2021</x:v>
      </x:c>
      <x:c r="T59" s="30" t="str">
        <x:v>raw/county/co2021a.txt</x:v>
      </x:c>
      <x:c r="U59" s="56" t="n">
        <x:v>2699</x:v>
      </x:c>
    </x:row>
    <x:row r="60" ht="21" customHeight="1">
      <x:c r="A60" s="56" t="n">
        <x:v>2021</x:v>
      </x:c>
      <x:c r="B60" s="30" t="str">
        <x:v>Wasatch County</x:v>
      </x:c>
      <x:c r="C60" s="58" t="str">
        <x:v>49051</x:v>
      </x:c>
      <x:c r="D60" s="47" t="n">
        <x:v>894</x:v>
      </x:c>
      <x:c r="E60" s="47" t="n">
        <x:v>8</x:v>
      </x:c>
      <x:c r="F60" s="47" t="n">
        <x:v>0</x:v>
      </x:c>
      <x:c r="G60" s="47" t="n">
        <x:v>277</x:v>
      </x:c>
      <x:c r="H60" s="47" t="n">
        <x:f>SUM(D60:G60)</x:f>
        <x:v>1179</x:v>
      </x:c>
      <x:c r="I60" s="47" t="n">
        <x:f>SUMIFS('County annual'!$H$6:$H$179,'County annual'!$C$6:$C$179,$C60,'County annual'!$A$6:$A$179,$A60)</x:f>
        <x:v>1179</x:v>
      </x:c>
      <x:c r="J60" s="47" t="n">
        <x:f>I60-H60</x:f>
        <x:v>0</x:v>
      </x:c>
      <x:c r="K60" s="62" t="n">
        <x:v>625259702</x:v>
      </x:c>
      <x:c r="L60" s="62" t="n">
        <x:f>SUMIFS('County annual'!$J$6:$J$179,'County annual'!$C$6:$C$179,$C60,'County annual'!$A$6:$A$179,$A60)</x:f>
        <x:v>625259702</x:v>
      </x:c>
      <x:c r="M60" s="62" t="n">
        <x:f>L60-K60</x:f>
        <x:v>0</x:v>
      </x:c>
      <x:c r="N60" s="47" t="n">
        <x:v>1173</x:v>
      </x:c>
      <x:c r="O60" s="47" t="n">
        <x:f>SUMIFS('County annual'!$K$6:$K$179,'County annual'!$C$6:$C$179,$C60,'County annual'!$A$6:$A$179,$A60)</x:f>
        <x:v>1173</x:v>
      </x:c>
      <x:c r="P60" s="47" t="n">
        <x:f>O60-N60</x:f>
        <x:v>0</x:v>
      </x:c>
      <x:c r="Q60" s="47" t="n">
        <x:f>IF(SUMIFS('County annual'!$D$6:$D$179,'County annual'!$C$6:$C$179,$C60,'County annual'!$A$6:$A$179,$A60)=D60,0,1)+IF(SUMIFS('County annual'!$E$6:$E$179,'County annual'!$C$6:$C$179,$C60,'County annual'!$A$6:$A$179,$A60)=E60,0,1)+IF(SUMIFS('County annual'!$F$6:$F$179,'County annual'!$C$6:$C$179,$C60,'County annual'!$A$6:$A$179,$A60)=F60,0,1)+IF(SUMIFS('County annual'!$G$6:$G$179,'County annual'!$C$6:$C$179,$C60,'County annual'!$A$6:$A$179,$A60)=G60,0,1)</x:f>
        <x:v>0</x:v>
      </x:c>
      <x:c r="R60" s="30" t="str">
        <x:f>IF(AND(J60=0,M60=0,P60=0,Q60=0),"Match","Mismatch")</x:f>
        <x:v>Match</x:v>
      </x:c>
      <x:c r="S60" s="30" t="str">
        <x:v>BPS-CO-2021</x:v>
      </x:c>
      <x:c r="T60" s="30" t="str">
        <x:v>raw/county/co2021a.txt</x:v>
      </x:c>
      <x:c r="U60" s="56" t="n">
        <x:v>2700</x:v>
      </x:c>
    </x:row>
    <x:row r="61" ht="21" customHeight="1">
      <x:c r="A61" s="56" t="n">
        <x:v>2021</x:v>
      </x:c>
      <x:c r="B61" s="30" t="str">
        <x:v>Washington County</x:v>
      </x:c>
      <x:c r="C61" s="58" t="str">
        <x:v>49053</x:v>
      </x:c>
      <x:c r="D61" s="47" t="n">
        <x:v>3218</x:v>
      </x:c>
      <x:c r="E61" s="47" t="n">
        <x:v>44</x:v>
      </x:c>
      <x:c r="F61" s="47" t="n">
        <x:v>28</x:v>
      </x:c>
      <x:c r="G61" s="47" t="n">
        <x:v>194</x:v>
      </x:c>
      <x:c r="H61" s="47" t="n">
        <x:f>SUM(D61:G61)</x:f>
        <x:v>3484</x:v>
      </x:c>
      <x:c r="I61" s="47" t="n">
        <x:f>SUMIFS('County annual'!$H$6:$H$179,'County annual'!$C$6:$C$179,$C61,'County annual'!$A$6:$A$179,$A61)</x:f>
        <x:v>3484</x:v>
      </x:c>
      <x:c r="J61" s="47" t="n">
        <x:f>I61-H61</x:f>
        <x:v>0</x:v>
      </x:c>
      <x:c r="K61" s="62" t="n">
        <x:v>721283247</x:v>
      </x:c>
      <x:c r="L61" s="62" t="n">
        <x:f>SUMIFS('County annual'!$J$6:$J$179,'County annual'!$C$6:$C$179,$C61,'County annual'!$A$6:$A$179,$A61)</x:f>
        <x:v>721283247</x:v>
      </x:c>
      <x:c r="M61" s="62" t="n">
        <x:f>L61-K61</x:f>
        <x:v>0</x:v>
      </x:c>
      <x:c r="N61" s="47" t="n">
        <x:v>3030</x:v>
      </x:c>
      <x:c r="O61" s="47" t="n">
        <x:f>SUMIFS('County annual'!$K$6:$K$179,'County annual'!$C$6:$C$179,$C61,'County annual'!$A$6:$A$179,$A61)</x:f>
        <x:v>3030</x:v>
      </x:c>
      <x:c r="P61" s="47" t="n">
        <x:f>O61-N61</x:f>
        <x:v>0</x:v>
      </x:c>
      <x:c r="Q61" s="47" t="n">
        <x:f>IF(SUMIFS('County annual'!$D$6:$D$179,'County annual'!$C$6:$C$179,$C61,'County annual'!$A$6:$A$179,$A61)=D61,0,1)+IF(SUMIFS('County annual'!$E$6:$E$179,'County annual'!$C$6:$C$179,$C61,'County annual'!$A$6:$A$179,$A61)=E61,0,1)+IF(SUMIFS('County annual'!$F$6:$F$179,'County annual'!$C$6:$C$179,$C61,'County annual'!$A$6:$A$179,$A61)=F61,0,1)+IF(SUMIFS('County annual'!$G$6:$G$179,'County annual'!$C$6:$C$179,$C61,'County annual'!$A$6:$A$179,$A61)=G61,0,1)</x:f>
        <x:v>0</x:v>
      </x:c>
      <x:c r="R61" s="30" t="str">
        <x:f>IF(AND(J61=0,M61=0,P61=0,Q61=0),"Match","Mismatch")</x:f>
        <x:v>Match</x:v>
      </x:c>
      <x:c r="S61" s="30" t="str">
        <x:v>BPS-CO-2021</x:v>
      </x:c>
      <x:c r="T61" s="30" t="str">
        <x:v>raw/county/co2021a.txt</x:v>
      </x:c>
      <x:c r="U61" s="56" t="n">
        <x:v>2701</x:v>
      </x:c>
    </x:row>
    <x:row r="62" ht="21" customHeight="1">
      <x:c r="A62" s="56" t="n">
        <x:v>2021</x:v>
      </x:c>
      <x:c r="B62" s="30" t="str">
        <x:v>Wayne County</x:v>
      </x:c>
      <x:c r="C62" s="58" t="str">
        <x:v>49055</x:v>
      </x:c>
      <x:c r="D62" s="47" t="n">
        <x:v>33</x:v>
      </x:c>
      <x:c r="E62" s="47" t="n">
        <x:v>2</x:v>
      </x:c>
      <x:c r="F62" s="47" t="n">
        <x:v>0</x:v>
      </x:c>
      <x:c r="G62" s="47" t="n">
        <x:v>0</x:v>
      </x:c>
      <x:c r="H62" s="47" t="n">
        <x:f>SUM(D62:G62)</x:f>
        <x:v>35</x:v>
      </x:c>
      <x:c r="I62" s="47" t="n">
        <x:f>SUMIFS('County annual'!$H$6:$H$179,'County annual'!$C$6:$C$179,$C62,'County annual'!$A$6:$A$179,$A62)</x:f>
        <x:v>35</x:v>
      </x:c>
      <x:c r="J62" s="47" t="n">
        <x:f>I62-H62</x:f>
        <x:v>0</x:v>
      </x:c>
      <x:c r="K62" s="62" t="n">
        <x:v>7542861</x:v>
      </x:c>
      <x:c r="L62" s="62" t="n">
        <x:f>SUMIFS('County annual'!$J$6:$J$179,'County annual'!$C$6:$C$179,$C62,'County annual'!$A$6:$A$179,$A62)</x:f>
        <x:v>7542861</x:v>
      </x:c>
      <x:c r="M62" s="62" t="n">
        <x:f>L62-K62</x:f>
        <x:v>0</x:v>
      </x:c>
      <x:c r="N62" s="47" t="n">
        <x:v>35</x:v>
      </x:c>
      <x:c r="O62" s="47" t="n">
        <x:f>SUMIFS('County annual'!$K$6:$K$179,'County annual'!$C$6:$C$179,$C62,'County annual'!$A$6:$A$179,$A62)</x:f>
        <x:v>35</x:v>
      </x:c>
      <x:c r="P62" s="47" t="n">
        <x:f>O62-N62</x:f>
        <x:v>0</x:v>
      </x:c>
      <x:c r="Q62" s="47" t="n">
        <x:f>IF(SUMIFS('County annual'!$D$6:$D$179,'County annual'!$C$6:$C$179,$C62,'County annual'!$A$6:$A$179,$A62)=D62,0,1)+IF(SUMIFS('County annual'!$E$6:$E$179,'County annual'!$C$6:$C$179,$C62,'County annual'!$A$6:$A$179,$A62)=E62,0,1)+IF(SUMIFS('County annual'!$F$6:$F$179,'County annual'!$C$6:$C$179,$C62,'County annual'!$A$6:$A$179,$A62)=F62,0,1)+IF(SUMIFS('County annual'!$G$6:$G$179,'County annual'!$C$6:$C$179,$C62,'County annual'!$A$6:$A$179,$A62)=G62,0,1)</x:f>
        <x:v>0</x:v>
      </x:c>
      <x:c r="R62" s="30" t="str">
        <x:f>IF(AND(J62=0,M62=0,P62=0,Q62=0),"Match","Mismatch")</x:f>
        <x:v>Match</x:v>
      </x:c>
      <x:c r="S62" s="30" t="str">
        <x:v>BPS-CO-2021</x:v>
      </x:c>
      <x:c r="T62" s="30" t="str">
        <x:v>raw/county/co2021a.txt</x:v>
      </x:c>
      <x:c r="U62" s="56" t="n">
        <x:v>2702</x:v>
      </x:c>
    </x:row>
    <x:row r="63" ht="21" customHeight="1">
      <x:c r="A63" s="56" t="n">
        <x:v>2021</x:v>
      </x:c>
      <x:c r="B63" s="30" t="str">
        <x:v>Weber County</x:v>
      </x:c>
      <x:c r="C63" s="58" t="str">
        <x:v>49057</x:v>
      </x:c>
      <x:c r="D63" s="47" t="n">
        <x:v>1635</x:v>
      </x:c>
      <x:c r="E63" s="47" t="n">
        <x:v>4</x:v>
      </x:c>
      <x:c r="F63" s="47" t="n">
        <x:v>57</x:v>
      </x:c>
      <x:c r="G63" s="47" t="n">
        <x:v>940</x:v>
      </x:c>
      <x:c r="H63" s="47" t="n">
        <x:f>SUM(D63:G63)</x:f>
        <x:v>2636</x:v>
      </x:c>
      <x:c r="I63" s="47" t="n">
        <x:f>SUMIFS('County annual'!$H$6:$H$179,'County annual'!$C$6:$C$179,$C63,'County annual'!$A$6:$A$179,$A63)</x:f>
        <x:v>2636</x:v>
      </x:c>
      <x:c r="J63" s="47" t="n">
        <x:f>I63-H63</x:f>
        <x:v>0</x:v>
      </x:c>
      <x:c r="K63" s="62" t="n">
        <x:v>528655280</x:v>
      </x:c>
      <x:c r="L63" s="62" t="n">
        <x:f>SUMIFS('County annual'!$J$6:$J$179,'County annual'!$C$6:$C$179,$C63,'County annual'!$A$6:$A$179,$A63)</x:f>
        <x:v>528655280</x:v>
      </x:c>
      <x:c r="M63" s="62" t="n">
        <x:f>L63-K63</x:f>
        <x:v>0</x:v>
      </x:c>
      <x:c r="N63" s="47" t="n">
        <x:v>2385</x:v>
      </x:c>
      <x:c r="O63" s="47" t="n">
        <x:f>SUMIFS('County annual'!$K$6:$K$179,'County annual'!$C$6:$C$179,$C63,'County annual'!$A$6:$A$179,$A63)</x:f>
        <x:v>2385</x:v>
      </x:c>
      <x:c r="P63" s="47" t="n">
        <x:f>O63-N63</x:f>
        <x:v>0</x:v>
      </x:c>
      <x:c r="Q63" s="47" t="n">
        <x:f>IF(SUMIFS('County annual'!$D$6:$D$179,'County annual'!$C$6:$C$179,$C63,'County annual'!$A$6:$A$179,$A63)=D63,0,1)+IF(SUMIFS('County annual'!$E$6:$E$179,'County annual'!$C$6:$C$179,$C63,'County annual'!$A$6:$A$179,$A63)=E63,0,1)+IF(SUMIFS('County annual'!$F$6:$F$179,'County annual'!$C$6:$C$179,$C63,'County annual'!$A$6:$A$179,$A63)=F63,0,1)+IF(SUMIFS('County annual'!$G$6:$G$179,'County annual'!$C$6:$C$179,$C63,'County annual'!$A$6:$A$179,$A63)=G63,0,1)</x:f>
        <x:v>0</x:v>
      </x:c>
      <x:c r="R63" s="30" t="str">
        <x:f>IF(AND(J63=0,M63=0,P63=0,Q63=0),"Match","Mismatch")</x:f>
        <x:v>Match</x:v>
      </x:c>
      <x:c r="S63" s="30" t="str">
        <x:v>BPS-CO-2021</x:v>
      </x:c>
      <x:c r="T63" s="30" t="str">
        <x:v>raw/county/co2021a.txt</x:v>
      </x:c>
      <x:c r="U63" s="56" t="n">
        <x:v>2703</x:v>
      </x:c>
    </x:row>
    <x:row r="64" ht="21" customHeight="1">
      <x:c r="A64" s="56" t="n">
        <x:v>2022</x:v>
      </x:c>
      <x:c r="B64" s="30" t="str">
        <x:v>Beaver County</x:v>
      </x:c>
      <x:c r="C64" s="58" t="str">
        <x:v>49001</x:v>
      </x:c>
      <x:c r="D64" s="47" t="n">
        <x:v>63</x:v>
      </x:c>
      <x:c r="E64" s="47" t="n">
        <x:v>0</x:v>
      </x:c>
      <x:c r="F64" s="47" t="n">
        <x:v>0</x:v>
      </x:c>
      <x:c r="G64" s="47" t="n">
        <x:v>0</x:v>
      </x:c>
      <x:c r="H64" s="47" t="n">
        <x:f>SUM(D64:G64)</x:f>
        <x:v>63</x:v>
      </x:c>
      <x:c r="I64" s="47" t="n">
        <x:f>SUMIFS('County annual'!$H$6:$H$179,'County annual'!$C$6:$C$179,$C64,'County annual'!$A$6:$A$179,$A64)</x:f>
        <x:v>63</x:v>
      </x:c>
      <x:c r="J64" s="47" t="n">
        <x:f>I64-H64</x:f>
        <x:v>0</x:v>
      </x:c>
      <x:c r="K64" s="62" t="n">
        <x:v>15183118</x:v>
      </x:c>
      <x:c r="L64" s="62" t="n">
        <x:f>SUMIFS('County annual'!$J$6:$J$179,'County annual'!$C$6:$C$179,$C64,'County annual'!$A$6:$A$179,$A64)</x:f>
        <x:v>15183118</x:v>
      </x:c>
      <x:c r="M64" s="62" t="n">
        <x:f>L64-K64</x:f>
        <x:v>0</x:v>
      </x:c>
      <x:c r="N64" s="47" t="n">
        <x:v>63</x:v>
      </x:c>
      <x:c r="O64" s="47" t="n">
        <x:f>SUMIFS('County annual'!$K$6:$K$179,'County annual'!$C$6:$C$179,$C64,'County annual'!$A$6:$A$179,$A64)</x:f>
        <x:v>63</x:v>
      </x:c>
      <x:c r="P64" s="47" t="n">
        <x:f>O64-N64</x:f>
        <x:v>0</x:v>
      </x:c>
      <x:c r="Q64" s="47" t="n">
        <x:f>IF(SUMIFS('County annual'!$D$6:$D$179,'County annual'!$C$6:$C$179,$C64,'County annual'!$A$6:$A$179,$A64)=D64,0,1)+IF(SUMIFS('County annual'!$E$6:$E$179,'County annual'!$C$6:$C$179,$C64,'County annual'!$A$6:$A$179,$A64)=E64,0,1)+IF(SUMIFS('County annual'!$F$6:$F$179,'County annual'!$C$6:$C$179,$C64,'County annual'!$A$6:$A$179,$A64)=F64,0,1)+IF(SUMIFS('County annual'!$G$6:$G$179,'County annual'!$C$6:$C$179,$C64,'County annual'!$A$6:$A$179,$A64)=G64,0,1)</x:f>
        <x:v>0</x:v>
      </x:c>
      <x:c r="R64" s="30" t="str">
        <x:f>IF(AND(J64=0,M64=0,P64=0,Q64=0),"Match","Mismatch")</x:f>
        <x:v>Match</x:v>
      </x:c>
      <x:c r="S64" s="30" t="str">
        <x:v>BPS-CO-2022</x:v>
      </x:c>
      <x:c r="T64" s="30" t="str">
        <x:v>raw/county/co2022a.txt</x:v>
      </x:c>
      <x:c r="U64" s="56" t="n">
        <x:v>2674</x:v>
      </x:c>
    </x:row>
    <x:row r="65" ht="21" customHeight="1">
      <x:c r="A65" s="56" t="n">
        <x:v>2022</x:v>
      </x:c>
      <x:c r="B65" s="30" t="str">
        <x:v>Box Elder County</x:v>
      </x:c>
      <x:c r="C65" s="58" t="str">
        <x:v>49003</x:v>
      </x:c>
      <x:c r="D65" s="47" t="n">
        <x:v>327</x:v>
      </x:c>
      <x:c r="E65" s="47" t="n">
        <x:v>2</x:v>
      </x:c>
      <x:c r="F65" s="47" t="n">
        <x:v>24</x:v>
      </x:c>
      <x:c r="G65" s="47" t="n">
        <x:v>125</x:v>
      </x:c>
      <x:c r="H65" s="47" t="n">
        <x:f>SUM(D65:G65)</x:f>
        <x:v>478</x:v>
      </x:c>
      <x:c r="I65" s="47" t="n">
        <x:f>SUMIFS('County annual'!$H$6:$H$179,'County annual'!$C$6:$C$179,$C65,'County annual'!$A$6:$A$179,$A65)</x:f>
        <x:v>478</x:v>
      </x:c>
      <x:c r="J65" s="47" t="n">
        <x:f>I65-H65</x:f>
        <x:v>0</x:v>
      </x:c>
      <x:c r="K65" s="62" t="n">
        <x:v>126091983</x:v>
      </x:c>
      <x:c r="L65" s="62" t="n">
        <x:f>SUMIFS('County annual'!$J$6:$J$179,'County annual'!$C$6:$C$179,$C65,'County annual'!$A$6:$A$179,$A65)</x:f>
        <x:v>126091983</x:v>
      </x:c>
      <x:c r="M65" s="62" t="n">
        <x:f>L65-K65</x:f>
        <x:v>0</x:v>
      </x:c>
      <x:c r="N65" s="47" t="n">
        <x:v>411</x:v>
      </x:c>
      <x:c r="O65" s="47" t="n">
        <x:f>SUMIFS('County annual'!$K$6:$K$179,'County annual'!$C$6:$C$179,$C65,'County annual'!$A$6:$A$179,$A65)</x:f>
        <x:v>411</x:v>
      </x:c>
      <x:c r="P65" s="47" t="n">
        <x:f>O65-N65</x:f>
        <x:v>0</x:v>
      </x:c>
      <x:c r="Q65" s="47" t="n">
        <x:f>IF(SUMIFS('County annual'!$D$6:$D$179,'County annual'!$C$6:$C$179,$C65,'County annual'!$A$6:$A$179,$A65)=D65,0,1)+IF(SUMIFS('County annual'!$E$6:$E$179,'County annual'!$C$6:$C$179,$C65,'County annual'!$A$6:$A$179,$A65)=E65,0,1)+IF(SUMIFS('County annual'!$F$6:$F$179,'County annual'!$C$6:$C$179,$C65,'County annual'!$A$6:$A$179,$A65)=F65,0,1)+IF(SUMIFS('County annual'!$G$6:$G$179,'County annual'!$C$6:$C$179,$C65,'County annual'!$A$6:$A$179,$A65)=G65,0,1)</x:f>
        <x:v>0</x:v>
      </x:c>
      <x:c r="R65" s="30" t="str">
        <x:f>IF(AND(J65=0,M65=0,P65=0,Q65=0),"Match","Mismatch")</x:f>
        <x:v>Match</x:v>
      </x:c>
      <x:c r="S65" s="30" t="str">
        <x:v>BPS-CO-2022</x:v>
      </x:c>
      <x:c r="T65" s="30" t="str">
        <x:v>raw/county/co2022a.txt</x:v>
      </x:c>
      <x:c r="U65" s="56" t="n">
        <x:v>2675</x:v>
      </x:c>
    </x:row>
    <x:row r="66" ht="21" customHeight="1">
      <x:c r="A66" s="56" t="n">
        <x:v>2022</x:v>
      </x:c>
      <x:c r="B66" s="30" t="str">
        <x:v>Cache County</x:v>
      </x:c>
      <x:c r="C66" s="58" t="str">
        <x:v>49005</x:v>
      </x:c>
      <x:c r="D66" s="47" t="n">
        <x:v>724</x:v>
      </x:c>
      <x:c r="E66" s="47" t="n">
        <x:v>4</x:v>
      </x:c>
      <x:c r="F66" s="47" t="n">
        <x:v>4</x:v>
      </x:c>
      <x:c r="G66" s="47" t="n">
        <x:v>313</x:v>
      </x:c>
      <x:c r="H66" s="47" t="n">
        <x:f>SUM(D66:G66)</x:f>
        <x:v>1045</x:v>
      </x:c>
      <x:c r="I66" s="47" t="n">
        <x:f>SUMIFS('County annual'!$H$6:$H$179,'County annual'!$C$6:$C$179,$C66,'County annual'!$A$6:$A$179,$A66)</x:f>
        <x:v>1045</x:v>
      </x:c>
      <x:c r="J66" s="47" t="n">
        <x:f>I66-H66</x:f>
        <x:v>0</x:v>
      </x:c>
      <x:c r="K66" s="62" t="n">
        <x:v>296307926</x:v>
      </x:c>
      <x:c r="L66" s="62" t="n">
        <x:f>SUMIFS('County annual'!$J$6:$J$179,'County annual'!$C$6:$C$179,$C66,'County annual'!$A$6:$A$179,$A66)</x:f>
        <x:v>296307926</x:v>
      </x:c>
      <x:c r="M66" s="62" t="n">
        <x:f>L66-K66</x:f>
        <x:v>0</x:v>
      </x:c>
      <x:c r="N66" s="47" t="n">
        <x:v>1037</x:v>
      </x:c>
      <x:c r="O66" s="47" t="n">
        <x:f>SUMIFS('County annual'!$K$6:$K$179,'County annual'!$C$6:$C$179,$C66,'County annual'!$A$6:$A$179,$A66)</x:f>
        <x:v>1037</x:v>
      </x:c>
      <x:c r="P66" s="47" t="n">
        <x:f>O66-N66</x:f>
        <x:v>0</x:v>
      </x:c>
      <x:c r="Q66" s="47" t="n">
        <x:f>IF(SUMIFS('County annual'!$D$6:$D$179,'County annual'!$C$6:$C$179,$C66,'County annual'!$A$6:$A$179,$A66)=D66,0,1)+IF(SUMIFS('County annual'!$E$6:$E$179,'County annual'!$C$6:$C$179,$C66,'County annual'!$A$6:$A$179,$A66)=E66,0,1)+IF(SUMIFS('County annual'!$F$6:$F$179,'County annual'!$C$6:$C$179,$C66,'County annual'!$A$6:$A$179,$A66)=F66,0,1)+IF(SUMIFS('County annual'!$G$6:$G$179,'County annual'!$C$6:$C$179,$C66,'County annual'!$A$6:$A$179,$A66)=G66,0,1)</x:f>
        <x:v>0</x:v>
      </x:c>
      <x:c r="R66" s="30" t="str">
        <x:f>IF(AND(J66=0,M66=0,P66=0,Q66=0),"Match","Mismatch")</x:f>
        <x:v>Match</x:v>
      </x:c>
      <x:c r="S66" s="30" t="str">
        <x:v>BPS-CO-2022</x:v>
      </x:c>
      <x:c r="T66" s="30" t="str">
        <x:v>raw/county/co2022a.txt</x:v>
      </x:c>
      <x:c r="U66" s="56" t="n">
        <x:v>2676</x:v>
      </x:c>
    </x:row>
    <x:row r="67" ht="21" customHeight="1">
      <x:c r="A67" s="56" t="n">
        <x:v>2022</x:v>
      </x:c>
      <x:c r="B67" s="30" t="str">
        <x:v>Carbon County</x:v>
      </x:c>
      <x:c r="C67" s="58" t="str">
        <x:v>49007</x:v>
      </x:c>
      <x:c r="D67" s="47" t="n">
        <x:v>64</x:v>
      </x:c>
      <x:c r="E67" s="47" t="n">
        <x:v>0</x:v>
      </x:c>
      <x:c r="F67" s="47" t="n">
        <x:v>0</x:v>
      </x:c>
      <x:c r="G67" s="47" t="n">
        <x:v>0</x:v>
      </x:c>
      <x:c r="H67" s="47" t="n">
        <x:f>SUM(D67:G67)</x:f>
        <x:v>64</x:v>
      </x:c>
      <x:c r="I67" s="47" t="n">
        <x:f>SUMIFS('County annual'!$H$6:$H$179,'County annual'!$C$6:$C$179,$C67,'County annual'!$A$6:$A$179,$A67)</x:f>
        <x:v>64</x:v>
      </x:c>
      <x:c r="J67" s="47" t="n">
        <x:f>I67-H67</x:f>
        <x:v>0</x:v>
      </x:c>
      <x:c r="K67" s="62" t="n">
        <x:v>21067804</x:v>
      </x:c>
      <x:c r="L67" s="62" t="n">
        <x:f>SUMIFS('County annual'!$J$6:$J$179,'County annual'!$C$6:$C$179,$C67,'County annual'!$A$6:$A$179,$A67)</x:f>
        <x:v>21067804</x:v>
      </x:c>
      <x:c r="M67" s="62" t="n">
        <x:f>L67-K67</x:f>
        <x:v>0</x:v>
      </x:c>
      <x:c r="N67" s="47" t="n">
        <x:v>64</x:v>
      </x:c>
      <x:c r="O67" s="47" t="n">
        <x:f>SUMIFS('County annual'!$K$6:$K$179,'County annual'!$C$6:$C$179,$C67,'County annual'!$A$6:$A$179,$A67)</x:f>
        <x:v>64</x:v>
      </x:c>
      <x:c r="P67" s="47" t="n">
        <x:f>O67-N67</x:f>
        <x:v>0</x:v>
      </x:c>
      <x:c r="Q67" s="47" t="n">
        <x:f>IF(SUMIFS('County annual'!$D$6:$D$179,'County annual'!$C$6:$C$179,$C67,'County annual'!$A$6:$A$179,$A67)=D67,0,1)+IF(SUMIFS('County annual'!$E$6:$E$179,'County annual'!$C$6:$C$179,$C67,'County annual'!$A$6:$A$179,$A67)=E67,0,1)+IF(SUMIFS('County annual'!$F$6:$F$179,'County annual'!$C$6:$C$179,$C67,'County annual'!$A$6:$A$179,$A67)=F67,0,1)+IF(SUMIFS('County annual'!$G$6:$G$179,'County annual'!$C$6:$C$179,$C67,'County annual'!$A$6:$A$179,$A67)=G67,0,1)</x:f>
        <x:v>0</x:v>
      </x:c>
      <x:c r="R67" s="30" t="str">
        <x:f>IF(AND(J67=0,M67=0,P67=0,Q67=0),"Match","Mismatch")</x:f>
        <x:v>Match</x:v>
      </x:c>
      <x:c r="S67" s="30" t="str">
        <x:v>BPS-CO-2022</x:v>
      </x:c>
      <x:c r="T67" s="30" t="str">
        <x:v>raw/county/co2022a.txt</x:v>
      </x:c>
      <x:c r="U67" s="56" t="n">
        <x:v>2677</x:v>
      </x:c>
    </x:row>
    <x:row r="68" ht="21" customHeight="1">
      <x:c r="A68" s="56" t="n">
        <x:v>2022</x:v>
      </x:c>
      <x:c r="B68" s="30" t="str">
        <x:v>Daggett County</x:v>
      </x:c>
      <x:c r="C68" s="58" t="str">
        <x:v>49009</x:v>
      </x:c>
      <x:c r="D68" s="47" t="n">
        <x:v>20</x:v>
      </x:c>
      <x:c r="E68" s="47" t="n">
        <x:v>0</x:v>
      </x:c>
      <x:c r="F68" s="47" t="n">
        <x:v>0</x:v>
      </x:c>
      <x:c r="G68" s="47" t="n">
        <x:v>0</x:v>
      </x:c>
      <x:c r="H68" s="47" t="n">
        <x:f>SUM(D68:G68)</x:f>
        <x:v>20</x:v>
      </x:c>
      <x:c r="I68" s="47" t="n">
        <x:f>SUMIFS('County annual'!$H$6:$H$179,'County annual'!$C$6:$C$179,$C68,'County annual'!$A$6:$A$179,$A68)</x:f>
        <x:v>20</x:v>
      </x:c>
      <x:c r="J68" s="47" t="n">
        <x:f>I68-H68</x:f>
        <x:v>0</x:v>
      </x:c>
      <x:c r="K68" s="62" t="n">
        <x:v>5297285</x:v>
      </x:c>
      <x:c r="L68" s="62" t="n">
        <x:f>SUMIFS('County annual'!$J$6:$J$179,'County annual'!$C$6:$C$179,$C68,'County annual'!$A$6:$A$179,$A68)</x:f>
        <x:v>5297285</x:v>
      </x:c>
      <x:c r="M68" s="62" t="n">
        <x:f>L68-K68</x:f>
        <x:v>0</x:v>
      </x:c>
      <x:c r="N68" s="47" t="n">
        <x:v>20</x:v>
      </x:c>
      <x:c r="O68" s="47" t="n">
        <x:f>SUMIFS('County annual'!$K$6:$K$179,'County annual'!$C$6:$C$179,$C68,'County annual'!$A$6:$A$179,$A68)</x:f>
        <x:v>20</x:v>
      </x:c>
      <x:c r="P68" s="47" t="n">
        <x:f>O68-N68</x:f>
        <x:v>0</x:v>
      </x:c>
      <x:c r="Q68" s="47" t="n">
        <x:f>IF(SUMIFS('County annual'!$D$6:$D$179,'County annual'!$C$6:$C$179,$C68,'County annual'!$A$6:$A$179,$A68)=D68,0,1)+IF(SUMIFS('County annual'!$E$6:$E$179,'County annual'!$C$6:$C$179,$C68,'County annual'!$A$6:$A$179,$A68)=E68,0,1)+IF(SUMIFS('County annual'!$F$6:$F$179,'County annual'!$C$6:$C$179,$C68,'County annual'!$A$6:$A$179,$A68)=F68,0,1)+IF(SUMIFS('County annual'!$G$6:$G$179,'County annual'!$C$6:$C$179,$C68,'County annual'!$A$6:$A$179,$A68)=G68,0,1)</x:f>
        <x:v>0</x:v>
      </x:c>
      <x:c r="R68" s="30" t="str">
        <x:f>IF(AND(J68=0,M68=0,P68=0,Q68=0),"Match","Mismatch")</x:f>
        <x:v>Match</x:v>
      </x:c>
      <x:c r="S68" s="30" t="str">
        <x:v>BPS-CO-2022</x:v>
      </x:c>
      <x:c r="T68" s="30" t="str">
        <x:v>raw/county/co2022a.txt</x:v>
      </x:c>
      <x:c r="U68" s="56" t="n">
        <x:v>2678</x:v>
      </x:c>
    </x:row>
    <x:row r="69" ht="21" customHeight="1">
      <x:c r="A69" s="56" t="n">
        <x:v>2022</x:v>
      </x:c>
      <x:c r="B69" s="30" t="str">
        <x:v>Davis County</x:v>
      </x:c>
      <x:c r="C69" s="58" t="str">
        <x:v>49011</x:v>
      </x:c>
      <x:c r="D69" s="47" t="n">
        <x:v>1346</x:v>
      </x:c>
      <x:c r="E69" s="47" t="n">
        <x:v>0</x:v>
      </x:c>
      <x:c r="F69" s="47" t="n">
        <x:v>27</x:v>
      </x:c>
      <x:c r="G69" s="47" t="n">
        <x:v>802</x:v>
      </x:c>
      <x:c r="H69" s="47" t="n">
        <x:f>SUM(D69:G69)</x:f>
        <x:v>2175</x:v>
      </x:c>
      <x:c r="I69" s="47" t="n">
        <x:f>SUMIFS('County annual'!$H$6:$H$179,'County annual'!$C$6:$C$179,$C69,'County annual'!$A$6:$A$179,$A69)</x:f>
        <x:v>2175</x:v>
      </x:c>
      <x:c r="J69" s="47" t="n">
        <x:f>I69-H69</x:f>
        <x:v>0</x:v>
      </x:c>
      <x:c r="K69" s="62" t="n">
        <x:v>541166152</x:v>
      </x:c>
      <x:c r="L69" s="62" t="n">
        <x:f>SUMIFS('County annual'!$J$6:$J$179,'County annual'!$C$6:$C$179,$C69,'County annual'!$A$6:$A$179,$A69)</x:f>
        <x:v>541166152</x:v>
      </x:c>
      <x:c r="M69" s="62" t="n">
        <x:f>L69-K69</x:f>
        <x:v>0</x:v>
      </x:c>
      <x:c r="N69" s="47" t="n">
        <x:v>2175</x:v>
      </x:c>
      <x:c r="O69" s="47" t="n">
        <x:f>SUMIFS('County annual'!$K$6:$K$179,'County annual'!$C$6:$C$179,$C69,'County annual'!$A$6:$A$179,$A69)</x:f>
        <x:v>2175</x:v>
      </x:c>
      <x:c r="P69" s="47" t="n">
        <x:f>O69-N69</x:f>
        <x:v>0</x:v>
      </x:c>
      <x:c r="Q69" s="47" t="n">
        <x:f>IF(SUMIFS('County annual'!$D$6:$D$179,'County annual'!$C$6:$C$179,$C69,'County annual'!$A$6:$A$179,$A69)=D69,0,1)+IF(SUMIFS('County annual'!$E$6:$E$179,'County annual'!$C$6:$C$179,$C69,'County annual'!$A$6:$A$179,$A69)=E69,0,1)+IF(SUMIFS('County annual'!$F$6:$F$179,'County annual'!$C$6:$C$179,$C69,'County annual'!$A$6:$A$179,$A69)=F69,0,1)+IF(SUMIFS('County annual'!$G$6:$G$179,'County annual'!$C$6:$C$179,$C69,'County annual'!$A$6:$A$179,$A69)=G69,0,1)</x:f>
        <x:v>0</x:v>
      </x:c>
      <x:c r="R69" s="30" t="str">
        <x:f>IF(AND(J69=0,M69=0,P69=0,Q69=0),"Match","Mismatch")</x:f>
        <x:v>Match</x:v>
      </x:c>
      <x:c r="S69" s="30" t="str">
        <x:v>BPS-CO-2022</x:v>
      </x:c>
      <x:c r="T69" s="30" t="str">
        <x:v>raw/county/co2022a.txt</x:v>
      </x:c>
      <x:c r="U69" s="56" t="n">
        <x:v>2679</x:v>
      </x:c>
    </x:row>
    <x:row r="70" ht="21" customHeight="1">
      <x:c r="A70" s="56" t="n">
        <x:v>2022</x:v>
      </x:c>
      <x:c r="B70" s="30" t="str">
        <x:v>Duchesne County</x:v>
      </x:c>
      <x:c r="C70" s="58" t="str">
        <x:v>49013</x:v>
      </x:c>
      <x:c r="D70" s="47" t="n">
        <x:v>176</x:v>
      </x:c>
      <x:c r="E70" s="47" t="n">
        <x:v>0</x:v>
      </x:c>
      <x:c r="F70" s="47" t="n">
        <x:v>7</x:v>
      </x:c>
      <x:c r="G70" s="47" t="n">
        <x:v>0</x:v>
      </x:c>
      <x:c r="H70" s="47" t="n">
        <x:f>SUM(D70:G70)</x:f>
        <x:v>183</x:v>
      </x:c>
      <x:c r="I70" s="47" t="n">
        <x:f>SUMIFS('County annual'!$H$6:$H$179,'County annual'!$C$6:$C$179,$C70,'County annual'!$A$6:$A$179,$A70)</x:f>
        <x:v>183</x:v>
      </x:c>
      <x:c r="J70" s="47" t="n">
        <x:f>I70-H70</x:f>
        <x:v>0</x:v>
      </x:c>
      <x:c r="K70" s="62" t="n">
        <x:v>45421723</x:v>
      </x:c>
      <x:c r="L70" s="62" t="n">
        <x:f>SUMIFS('County annual'!$J$6:$J$179,'County annual'!$C$6:$C$179,$C70,'County annual'!$A$6:$A$179,$A70)</x:f>
        <x:v>45421723</x:v>
      </x:c>
      <x:c r="M70" s="62" t="n">
        <x:f>L70-K70</x:f>
        <x:v>0</x:v>
      </x:c>
      <x:c r="N70" s="47" t="n">
        <x:v>121</x:v>
      </x:c>
      <x:c r="O70" s="47" t="n">
        <x:f>SUMIFS('County annual'!$K$6:$K$179,'County annual'!$C$6:$C$179,$C70,'County annual'!$A$6:$A$179,$A70)</x:f>
        <x:v>121</x:v>
      </x:c>
      <x:c r="P70" s="47" t="n">
        <x:f>O70-N70</x:f>
        <x:v>0</x:v>
      </x:c>
      <x:c r="Q70" s="47" t="n">
        <x:f>IF(SUMIFS('County annual'!$D$6:$D$179,'County annual'!$C$6:$C$179,$C70,'County annual'!$A$6:$A$179,$A70)=D70,0,1)+IF(SUMIFS('County annual'!$E$6:$E$179,'County annual'!$C$6:$C$179,$C70,'County annual'!$A$6:$A$179,$A70)=E70,0,1)+IF(SUMIFS('County annual'!$F$6:$F$179,'County annual'!$C$6:$C$179,$C70,'County annual'!$A$6:$A$179,$A70)=F70,0,1)+IF(SUMIFS('County annual'!$G$6:$G$179,'County annual'!$C$6:$C$179,$C70,'County annual'!$A$6:$A$179,$A70)=G70,0,1)</x:f>
        <x:v>0</x:v>
      </x:c>
      <x:c r="R70" s="30" t="str">
        <x:f>IF(AND(J70=0,M70=0,P70=0,Q70=0),"Match","Mismatch")</x:f>
        <x:v>Match</x:v>
      </x:c>
      <x:c r="S70" s="30" t="str">
        <x:v>BPS-CO-2022</x:v>
      </x:c>
      <x:c r="T70" s="30" t="str">
        <x:v>raw/county/co2022a.txt</x:v>
      </x:c>
      <x:c r="U70" s="56" t="n">
        <x:v>2680</x:v>
      </x:c>
    </x:row>
    <x:row r="71" ht="21" customHeight="1">
      <x:c r="A71" s="56" t="n">
        <x:v>2022</x:v>
      </x:c>
      <x:c r="B71" s="30" t="str">
        <x:v>Emery County</x:v>
      </x:c>
      <x:c r="C71" s="58" t="str">
        <x:v>49015</x:v>
      </x:c>
      <x:c r="D71" s="47" t="n">
        <x:v>40</x:v>
      </x:c>
      <x:c r="E71" s="47" t="n">
        <x:v>0</x:v>
      </x:c>
      <x:c r="F71" s="47" t="n">
        <x:v>0</x:v>
      </x:c>
      <x:c r="G71" s="47" t="n">
        <x:v>0</x:v>
      </x:c>
      <x:c r="H71" s="47" t="n">
        <x:f>SUM(D71:G71)</x:f>
        <x:v>40</x:v>
      </x:c>
      <x:c r="I71" s="47" t="n">
        <x:f>SUMIFS('County annual'!$H$6:$H$179,'County annual'!$C$6:$C$179,$C71,'County annual'!$A$6:$A$179,$A71)</x:f>
        <x:v>40</x:v>
      </x:c>
      <x:c r="J71" s="47" t="n">
        <x:f>I71-H71</x:f>
        <x:v>0</x:v>
      </x:c>
      <x:c r="K71" s="62" t="n">
        <x:v>4824176</x:v>
      </x:c>
      <x:c r="L71" s="62" t="n">
        <x:f>SUMIFS('County annual'!$J$6:$J$179,'County annual'!$C$6:$C$179,$C71,'County annual'!$A$6:$A$179,$A71)</x:f>
        <x:v>4824176</x:v>
      </x:c>
      <x:c r="M71" s="62" t="n">
        <x:f>L71-K71</x:f>
        <x:v>0</x:v>
      </x:c>
      <x:c r="N71" s="47" t="n">
        <x:v>40</x:v>
      </x:c>
      <x:c r="O71" s="47" t="n">
        <x:f>SUMIFS('County annual'!$K$6:$K$179,'County annual'!$C$6:$C$179,$C71,'County annual'!$A$6:$A$179,$A71)</x:f>
        <x:v>40</x:v>
      </x:c>
      <x:c r="P71" s="47" t="n">
        <x:f>O71-N71</x:f>
        <x:v>0</x:v>
      </x:c>
      <x:c r="Q71" s="47" t="n">
        <x:f>IF(SUMIFS('County annual'!$D$6:$D$179,'County annual'!$C$6:$C$179,$C71,'County annual'!$A$6:$A$179,$A71)=D71,0,1)+IF(SUMIFS('County annual'!$E$6:$E$179,'County annual'!$C$6:$C$179,$C71,'County annual'!$A$6:$A$179,$A71)=E71,0,1)+IF(SUMIFS('County annual'!$F$6:$F$179,'County annual'!$C$6:$C$179,$C71,'County annual'!$A$6:$A$179,$A71)=F71,0,1)+IF(SUMIFS('County annual'!$G$6:$G$179,'County annual'!$C$6:$C$179,$C71,'County annual'!$A$6:$A$179,$A71)=G71,0,1)</x:f>
        <x:v>0</x:v>
      </x:c>
      <x:c r="R71" s="30" t="str">
        <x:f>IF(AND(J71=0,M71=0,P71=0,Q71=0),"Match","Mismatch")</x:f>
        <x:v>Match</x:v>
      </x:c>
      <x:c r="S71" s="30" t="str">
        <x:v>BPS-CO-2022</x:v>
      </x:c>
      <x:c r="T71" s="30" t="str">
        <x:v>raw/county/co2022a.txt</x:v>
      </x:c>
      <x:c r="U71" s="56" t="n">
        <x:v>2681</x:v>
      </x:c>
    </x:row>
    <x:row r="72" ht="21" customHeight="1">
      <x:c r="A72" s="56" t="n">
        <x:v>2022</x:v>
      </x:c>
      <x:c r="B72" s="30" t="str">
        <x:v>Garfield County</x:v>
      </x:c>
      <x:c r="C72" s="58" t="str">
        <x:v>49017</x:v>
      </x:c>
      <x:c r="D72" s="47" t="n">
        <x:v>66</x:v>
      </x:c>
      <x:c r="E72" s="47" t="n">
        <x:v>0</x:v>
      </x:c>
      <x:c r="F72" s="47" t="n">
        <x:v>0</x:v>
      </x:c>
      <x:c r="G72" s="47" t="n">
        <x:v>0</x:v>
      </x:c>
      <x:c r="H72" s="47" t="n">
        <x:f>SUM(D72:G72)</x:f>
        <x:v>66</x:v>
      </x:c>
      <x:c r="I72" s="47" t="n">
        <x:f>SUMIFS('County annual'!$H$6:$H$179,'County annual'!$C$6:$C$179,$C72,'County annual'!$A$6:$A$179,$A72)</x:f>
        <x:v>66</x:v>
      </x:c>
      <x:c r="J72" s="47" t="n">
        <x:f>I72-H72</x:f>
        <x:v>0</x:v>
      </x:c>
      <x:c r="K72" s="62" t="n">
        <x:v>14530930</x:v>
      </x:c>
      <x:c r="L72" s="62" t="n">
        <x:f>SUMIFS('County annual'!$J$6:$J$179,'County annual'!$C$6:$C$179,$C72,'County annual'!$A$6:$A$179,$A72)</x:f>
        <x:v>14530930</x:v>
      </x:c>
      <x:c r="M72" s="62" t="n">
        <x:f>L72-K72</x:f>
        <x:v>0</x:v>
      </x:c>
      <x:c r="N72" s="47" t="n">
        <x:v>66</x:v>
      </x:c>
      <x:c r="O72" s="47" t="n">
        <x:f>SUMIFS('County annual'!$K$6:$K$179,'County annual'!$C$6:$C$179,$C72,'County annual'!$A$6:$A$179,$A72)</x:f>
        <x:v>66</x:v>
      </x:c>
      <x:c r="P72" s="47" t="n">
        <x:f>O72-N72</x:f>
        <x:v>0</x:v>
      </x:c>
      <x:c r="Q72" s="47" t="n">
        <x:f>IF(SUMIFS('County annual'!$D$6:$D$179,'County annual'!$C$6:$C$179,$C72,'County annual'!$A$6:$A$179,$A72)=D72,0,1)+IF(SUMIFS('County annual'!$E$6:$E$179,'County annual'!$C$6:$C$179,$C72,'County annual'!$A$6:$A$179,$A72)=E72,0,1)+IF(SUMIFS('County annual'!$F$6:$F$179,'County annual'!$C$6:$C$179,$C72,'County annual'!$A$6:$A$179,$A72)=F72,0,1)+IF(SUMIFS('County annual'!$G$6:$G$179,'County annual'!$C$6:$C$179,$C72,'County annual'!$A$6:$A$179,$A72)=G72,0,1)</x:f>
        <x:v>0</x:v>
      </x:c>
      <x:c r="R72" s="30" t="str">
        <x:f>IF(AND(J72=0,M72=0,P72=0,Q72=0),"Match","Mismatch")</x:f>
        <x:v>Match</x:v>
      </x:c>
      <x:c r="S72" s="30" t="str">
        <x:v>BPS-CO-2022</x:v>
      </x:c>
      <x:c r="T72" s="30" t="str">
        <x:v>raw/county/co2022a.txt</x:v>
      </x:c>
      <x:c r="U72" s="56" t="n">
        <x:v>2682</x:v>
      </x:c>
    </x:row>
    <x:row r="73" ht="21" customHeight="1">
      <x:c r="A73" s="56" t="n">
        <x:v>2022</x:v>
      </x:c>
      <x:c r="B73" s="30" t="str">
        <x:v>Grand County</x:v>
      </x:c>
      <x:c r="C73" s="58" t="str">
        <x:v>49019</x:v>
      </x:c>
      <x:c r="D73" s="47" t="n">
        <x:v>64</x:v>
      </x:c>
      <x:c r="E73" s="47" t="n">
        <x:v>18</x:v>
      </x:c>
      <x:c r="F73" s="47" t="n">
        <x:v>19</x:v>
      </x:c>
      <x:c r="G73" s="47" t="n">
        <x:v>0</x:v>
      </x:c>
      <x:c r="H73" s="47" t="n">
        <x:f>SUM(D73:G73)</x:f>
        <x:v>101</x:v>
      </x:c>
      <x:c r="I73" s="47" t="n">
        <x:f>SUMIFS('County annual'!$H$6:$H$179,'County annual'!$C$6:$C$179,$C73,'County annual'!$A$6:$A$179,$A73)</x:f>
        <x:v>101</x:v>
      </x:c>
      <x:c r="J73" s="47" t="n">
        <x:f>I73-H73</x:f>
        <x:v>0</x:v>
      </x:c>
      <x:c r="K73" s="62" t="n">
        <x:v>22571070</x:v>
      </x:c>
      <x:c r="L73" s="62" t="n">
        <x:f>SUMIFS('County annual'!$J$6:$J$179,'County annual'!$C$6:$C$179,$C73,'County annual'!$A$6:$A$179,$A73)</x:f>
        <x:v>22571070</x:v>
      </x:c>
      <x:c r="M73" s="62" t="n">
        <x:f>L73-K73</x:f>
        <x:v>0</x:v>
      </x:c>
      <x:c r="N73" s="47" t="n">
        <x:v>101</x:v>
      </x:c>
      <x:c r="O73" s="47" t="n">
        <x:f>SUMIFS('County annual'!$K$6:$K$179,'County annual'!$C$6:$C$179,$C73,'County annual'!$A$6:$A$179,$A73)</x:f>
        <x:v>101</x:v>
      </x:c>
      <x:c r="P73" s="47" t="n">
        <x:f>O73-N73</x:f>
        <x:v>0</x:v>
      </x:c>
      <x:c r="Q73" s="47" t="n">
        <x:f>IF(SUMIFS('County annual'!$D$6:$D$179,'County annual'!$C$6:$C$179,$C73,'County annual'!$A$6:$A$179,$A73)=D73,0,1)+IF(SUMIFS('County annual'!$E$6:$E$179,'County annual'!$C$6:$C$179,$C73,'County annual'!$A$6:$A$179,$A73)=E73,0,1)+IF(SUMIFS('County annual'!$F$6:$F$179,'County annual'!$C$6:$C$179,$C73,'County annual'!$A$6:$A$179,$A73)=F73,0,1)+IF(SUMIFS('County annual'!$G$6:$G$179,'County annual'!$C$6:$C$179,$C73,'County annual'!$A$6:$A$179,$A73)=G73,0,1)</x:f>
        <x:v>0</x:v>
      </x:c>
      <x:c r="R73" s="30" t="str">
        <x:f>IF(AND(J73=0,M73=0,P73=0,Q73=0),"Match","Mismatch")</x:f>
        <x:v>Match</x:v>
      </x:c>
      <x:c r="S73" s="30" t="str">
        <x:v>BPS-CO-2022</x:v>
      </x:c>
      <x:c r="T73" s="30" t="str">
        <x:v>raw/county/co2022a.txt</x:v>
      </x:c>
      <x:c r="U73" s="56" t="n">
        <x:v>2683</x:v>
      </x:c>
    </x:row>
    <x:row r="74" ht="21" customHeight="1">
      <x:c r="A74" s="56" t="n">
        <x:v>2022</x:v>
      </x:c>
      <x:c r="B74" s="30" t="str">
        <x:v>Iron County</x:v>
      </x:c>
      <x:c r="C74" s="58" t="str">
        <x:v>49021</x:v>
      </x:c>
      <x:c r="D74" s="47" t="n">
        <x:v>989</x:v>
      </x:c>
      <x:c r="E74" s="47" t="n">
        <x:v>0</x:v>
      </x:c>
      <x:c r="F74" s="47" t="n">
        <x:v>0</x:v>
      </x:c>
      <x:c r="G74" s="47" t="n">
        <x:v>43</x:v>
      </x:c>
      <x:c r="H74" s="47" t="n">
        <x:f>SUM(D74:G74)</x:f>
        <x:v>1032</x:v>
      </x:c>
      <x:c r="I74" s="47" t="n">
        <x:f>SUMIFS('County annual'!$H$6:$H$179,'County annual'!$C$6:$C$179,$C74,'County annual'!$A$6:$A$179,$A74)</x:f>
        <x:v>1032</x:v>
      </x:c>
      <x:c r="J74" s="47" t="n">
        <x:f>I74-H74</x:f>
        <x:v>0</x:v>
      </x:c>
      <x:c r="K74" s="62" t="n">
        <x:v>212315653</x:v>
      </x:c>
      <x:c r="L74" s="62" t="n">
        <x:f>SUMIFS('County annual'!$J$6:$J$179,'County annual'!$C$6:$C$179,$C74,'County annual'!$A$6:$A$179,$A74)</x:f>
        <x:v>212315653</x:v>
      </x:c>
      <x:c r="M74" s="62" t="n">
        <x:f>L74-K74</x:f>
        <x:v>0</x:v>
      </x:c>
      <x:c r="N74" s="47" t="n">
        <x:v>1032</x:v>
      </x:c>
      <x:c r="O74" s="47" t="n">
        <x:f>SUMIFS('County annual'!$K$6:$K$179,'County annual'!$C$6:$C$179,$C74,'County annual'!$A$6:$A$179,$A74)</x:f>
        <x:v>1032</x:v>
      </x:c>
      <x:c r="P74" s="47" t="n">
        <x:f>O74-N74</x:f>
        <x:v>0</x:v>
      </x:c>
      <x:c r="Q74" s="47" t="n">
        <x:f>IF(SUMIFS('County annual'!$D$6:$D$179,'County annual'!$C$6:$C$179,$C74,'County annual'!$A$6:$A$179,$A74)=D74,0,1)+IF(SUMIFS('County annual'!$E$6:$E$179,'County annual'!$C$6:$C$179,$C74,'County annual'!$A$6:$A$179,$A74)=E74,0,1)+IF(SUMIFS('County annual'!$F$6:$F$179,'County annual'!$C$6:$C$179,$C74,'County annual'!$A$6:$A$179,$A74)=F74,0,1)+IF(SUMIFS('County annual'!$G$6:$G$179,'County annual'!$C$6:$C$179,$C74,'County annual'!$A$6:$A$179,$A74)=G74,0,1)</x:f>
        <x:v>0</x:v>
      </x:c>
      <x:c r="R74" s="30" t="str">
        <x:f>IF(AND(J74=0,M74=0,P74=0,Q74=0),"Match","Mismatch")</x:f>
        <x:v>Match</x:v>
      </x:c>
      <x:c r="S74" s="30" t="str">
        <x:v>BPS-CO-2022</x:v>
      </x:c>
      <x:c r="T74" s="30" t="str">
        <x:v>raw/county/co2022a.txt</x:v>
      </x:c>
      <x:c r="U74" s="56" t="n">
        <x:v>2684</x:v>
      </x:c>
    </x:row>
    <x:row r="75" ht="21" customHeight="1">
      <x:c r="A75" s="56" t="n">
        <x:v>2022</x:v>
      </x:c>
      <x:c r="B75" s="30" t="str">
        <x:v>Juab County</x:v>
      </x:c>
      <x:c r="C75" s="58" t="str">
        <x:v>49023</x:v>
      </x:c>
      <x:c r="D75" s="47" t="n">
        <x:v>73</x:v>
      </x:c>
      <x:c r="E75" s="47" t="n">
        <x:v>14</x:v>
      </x:c>
      <x:c r="F75" s="47" t="n">
        <x:v>18</x:v>
      </x:c>
      <x:c r="G75" s="47" t="n">
        <x:v>17</x:v>
      </x:c>
      <x:c r="H75" s="47" t="n">
        <x:f>SUM(D75:G75)</x:f>
        <x:v>122</x:v>
      </x:c>
      <x:c r="I75" s="47" t="n">
        <x:f>SUMIFS('County annual'!$H$6:$H$179,'County annual'!$C$6:$C$179,$C75,'County annual'!$A$6:$A$179,$A75)</x:f>
        <x:v>122</x:v>
      </x:c>
      <x:c r="J75" s="47" t="n">
        <x:f>I75-H75</x:f>
        <x:v>0</x:v>
      </x:c>
      <x:c r="K75" s="62" t="n">
        <x:v>30743593</x:v>
      </x:c>
      <x:c r="L75" s="62" t="n">
        <x:f>SUMIFS('County annual'!$J$6:$J$179,'County annual'!$C$6:$C$179,$C75,'County annual'!$A$6:$A$179,$A75)</x:f>
        <x:v>30743593</x:v>
      </x:c>
      <x:c r="M75" s="62" t="n">
        <x:f>L75-K75</x:f>
        <x:v>0</x:v>
      </x:c>
      <x:c r="N75" s="47" t="n">
        <x:v>122</x:v>
      </x:c>
      <x:c r="O75" s="47" t="n">
        <x:f>SUMIFS('County annual'!$K$6:$K$179,'County annual'!$C$6:$C$179,$C75,'County annual'!$A$6:$A$179,$A75)</x:f>
        <x:v>122</x:v>
      </x:c>
      <x:c r="P75" s="47" t="n">
        <x:f>O75-N75</x:f>
        <x:v>0</x:v>
      </x:c>
      <x:c r="Q75" s="47" t="n">
        <x:f>IF(SUMIFS('County annual'!$D$6:$D$179,'County annual'!$C$6:$C$179,$C75,'County annual'!$A$6:$A$179,$A75)=D75,0,1)+IF(SUMIFS('County annual'!$E$6:$E$179,'County annual'!$C$6:$C$179,$C75,'County annual'!$A$6:$A$179,$A75)=E75,0,1)+IF(SUMIFS('County annual'!$F$6:$F$179,'County annual'!$C$6:$C$179,$C75,'County annual'!$A$6:$A$179,$A75)=F75,0,1)+IF(SUMIFS('County annual'!$G$6:$G$179,'County annual'!$C$6:$C$179,$C75,'County annual'!$A$6:$A$179,$A75)=G75,0,1)</x:f>
        <x:v>0</x:v>
      </x:c>
      <x:c r="R75" s="30" t="str">
        <x:f>IF(AND(J75=0,M75=0,P75=0,Q75=0),"Match","Mismatch")</x:f>
        <x:v>Match</x:v>
      </x:c>
      <x:c r="S75" s="30" t="str">
        <x:v>BPS-CO-2022</x:v>
      </x:c>
      <x:c r="T75" s="30" t="str">
        <x:v>raw/county/co2022a.txt</x:v>
      </x:c>
      <x:c r="U75" s="56" t="n">
        <x:v>2685</x:v>
      </x:c>
    </x:row>
    <x:row r="76" ht="21" customHeight="1">
      <x:c r="A76" s="56" t="n">
        <x:v>2022</x:v>
      </x:c>
      <x:c r="B76" s="30" t="str">
        <x:v>Kane County</x:v>
      </x:c>
      <x:c r="C76" s="58" t="str">
        <x:v>49025</x:v>
      </x:c>
      <x:c r="D76" s="47" t="n">
        <x:v>203</x:v>
      </x:c>
      <x:c r="E76" s="47" t="n">
        <x:v>0</x:v>
      </x:c>
      <x:c r="F76" s="47" t="n">
        <x:v>4</x:v>
      </x:c>
      <x:c r="G76" s="47" t="n">
        <x:v>0</x:v>
      </x:c>
      <x:c r="H76" s="47" t="n">
        <x:f>SUM(D76:G76)</x:f>
        <x:v>207</x:v>
      </x:c>
      <x:c r="I76" s="47" t="n">
        <x:f>SUMIFS('County annual'!$H$6:$H$179,'County annual'!$C$6:$C$179,$C76,'County annual'!$A$6:$A$179,$A76)</x:f>
        <x:v>207</x:v>
      </x:c>
      <x:c r="J76" s="47" t="n">
        <x:f>I76-H76</x:f>
        <x:v>0</x:v>
      </x:c>
      <x:c r="K76" s="62" t="n">
        <x:v>58524680</x:v>
      </x:c>
      <x:c r="L76" s="62" t="n">
        <x:f>SUMIFS('County annual'!$J$6:$J$179,'County annual'!$C$6:$C$179,$C76,'County annual'!$A$6:$A$179,$A76)</x:f>
        <x:v>58524680</x:v>
      </x:c>
      <x:c r="M76" s="62" t="n">
        <x:f>L76-K76</x:f>
        <x:v>0</x:v>
      </x:c>
      <x:c r="N76" s="47" t="n">
        <x:v>184</x:v>
      </x:c>
      <x:c r="O76" s="47" t="n">
        <x:f>SUMIFS('County annual'!$K$6:$K$179,'County annual'!$C$6:$C$179,$C76,'County annual'!$A$6:$A$179,$A76)</x:f>
        <x:v>184</x:v>
      </x:c>
      <x:c r="P76" s="47" t="n">
        <x:f>O76-N76</x:f>
        <x:v>0</x:v>
      </x:c>
      <x:c r="Q76" s="47" t="n">
        <x:f>IF(SUMIFS('County annual'!$D$6:$D$179,'County annual'!$C$6:$C$179,$C76,'County annual'!$A$6:$A$179,$A76)=D76,0,1)+IF(SUMIFS('County annual'!$E$6:$E$179,'County annual'!$C$6:$C$179,$C76,'County annual'!$A$6:$A$179,$A76)=E76,0,1)+IF(SUMIFS('County annual'!$F$6:$F$179,'County annual'!$C$6:$C$179,$C76,'County annual'!$A$6:$A$179,$A76)=F76,0,1)+IF(SUMIFS('County annual'!$G$6:$G$179,'County annual'!$C$6:$C$179,$C76,'County annual'!$A$6:$A$179,$A76)=G76,0,1)</x:f>
        <x:v>0</x:v>
      </x:c>
      <x:c r="R76" s="30" t="str">
        <x:f>IF(AND(J76=0,M76=0,P76=0,Q76=0),"Match","Mismatch")</x:f>
        <x:v>Match</x:v>
      </x:c>
      <x:c r="S76" s="30" t="str">
        <x:v>BPS-CO-2022</x:v>
      </x:c>
      <x:c r="T76" s="30" t="str">
        <x:v>raw/county/co2022a.txt</x:v>
      </x:c>
      <x:c r="U76" s="56" t="n">
        <x:v>2686</x:v>
      </x:c>
    </x:row>
    <x:row r="77" ht="21" customHeight="1">
      <x:c r="A77" s="56" t="n">
        <x:v>2022</x:v>
      </x:c>
      <x:c r="B77" s="30" t="str">
        <x:v>Millard County</x:v>
      </x:c>
      <x:c r="C77" s="58" t="str">
        <x:v>49027</x:v>
      </x:c>
      <x:c r="D77" s="47" t="n">
        <x:v>58</x:v>
      </x:c>
      <x:c r="E77" s="47" t="n">
        <x:v>2</x:v>
      </x:c>
      <x:c r="F77" s="47" t="n">
        <x:v>4</x:v>
      </x:c>
      <x:c r="G77" s="47" t="n">
        <x:v>0</x:v>
      </x:c>
      <x:c r="H77" s="47" t="n">
        <x:f>SUM(D77:G77)</x:f>
        <x:v>64</x:v>
      </x:c>
      <x:c r="I77" s="47" t="n">
        <x:f>SUMIFS('County annual'!$H$6:$H$179,'County annual'!$C$6:$C$179,$C77,'County annual'!$A$6:$A$179,$A77)</x:f>
        <x:v>64</x:v>
      </x:c>
      <x:c r="J77" s="47" t="n">
        <x:f>I77-H77</x:f>
        <x:v>0</x:v>
      </x:c>
      <x:c r="K77" s="62" t="n">
        <x:v>12127923</x:v>
      </x:c>
      <x:c r="L77" s="62" t="n">
        <x:f>SUMIFS('County annual'!$J$6:$J$179,'County annual'!$C$6:$C$179,$C77,'County annual'!$A$6:$A$179,$A77)</x:f>
        <x:v>12127923</x:v>
      </x:c>
      <x:c r="M77" s="62" t="n">
        <x:f>L77-K77</x:f>
        <x:v>0</x:v>
      </x:c>
      <x:c r="N77" s="47" t="n">
        <x:v>60</x:v>
      </x:c>
      <x:c r="O77" s="47" t="n">
        <x:f>SUMIFS('County annual'!$K$6:$K$179,'County annual'!$C$6:$C$179,$C77,'County annual'!$A$6:$A$179,$A77)</x:f>
        <x:v>60</x:v>
      </x:c>
      <x:c r="P77" s="47" t="n">
        <x:f>O77-N77</x:f>
        <x:v>0</x:v>
      </x:c>
      <x:c r="Q77" s="47" t="n">
        <x:f>IF(SUMIFS('County annual'!$D$6:$D$179,'County annual'!$C$6:$C$179,$C77,'County annual'!$A$6:$A$179,$A77)=D77,0,1)+IF(SUMIFS('County annual'!$E$6:$E$179,'County annual'!$C$6:$C$179,$C77,'County annual'!$A$6:$A$179,$A77)=E77,0,1)+IF(SUMIFS('County annual'!$F$6:$F$179,'County annual'!$C$6:$C$179,$C77,'County annual'!$A$6:$A$179,$A77)=F77,0,1)+IF(SUMIFS('County annual'!$G$6:$G$179,'County annual'!$C$6:$C$179,$C77,'County annual'!$A$6:$A$179,$A77)=G77,0,1)</x:f>
        <x:v>0</x:v>
      </x:c>
      <x:c r="R77" s="30" t="str">
        <x:f>IF(AND(J77=0,M77=0,P77=0,Q77=0),"Match","Mismatch")</x:f>
        <x:v>Match</x:v>
      </x:c>
      <x:c r="S77" s="30" t="str">
        <x:v>BPS-CO-2022</x:v>
      </x:c>
      <x:c r="T77" s="30" t="str">
        <x:v>raw/county/co2022a.txt</x:v>
      </x:c>
      <x:c r="U77" s="56" t="n">
        <x:v>2687</x:v>
      </x:c>
    </x:row>
    <x:row r="78" ht="21" customHeight="1">
      <x:c r="A78" s="56" t="n">
        <x:v>2022</x:v>
      </x:c>
      <x:c r="B78" s="30" t="str">
        <x:v>Morgan County</x:v>
      </x:c>
      <x:c r="C78" s="58" t="str">
        <x:v>49029</x:v>
      </x:c>
      <x:c r="D78" s="47" t="n">
        <x:v>47</x:v>
      </x:c>
      <x:c r="E78" s="47" t="n">
        <x:v>0</x:v>
      </x:c>
      <x:c r="F78" s="47" t="n">
        <x:v>16</x:v>
      </x:c>
      <x:c r="G78" s="47" t="n">
        <x:v>0</x:v>
      </x:c>
      <x:c r="H78" s="47" t="n">
        <x:f>SUM(D78:G78)</x:f>
        <x:v>63</x:v>
      </x:c>
      <x:c r="I78" s="47" t="n">
        <x:f>SUMIFS('County annual'!$H$6:$H$179,'County annual'!$C$6:$C$179,$C78,'County annual'!$A$6:$A$179,$A78)</x:f>
        <x:v>63</x:v>
      </x:c>
      <x:c r="J78" s="47" t="n">
        <x:f>I78-H78</x:f>
        <x:v>0</x:v>
      </x:c>
      <x:c r="K78" s="62" t="n">
        <x:v>36108364</x:v>
      </x:c>
      <x:c r="L78" s="62" t="n">
        <x:f>SUMIFS('County annual'!$J$6:$J$179,'County annual'!$C$6:$C$179,$C78,'County annual'!$A$6:$A$179,$A78)</x:f>
        <x:v>36108364</x:v>
      </x:c>
      <x:c r="M78" s="62" t="n">
        <x:f>L78-K78</x:f>
        <x:v>0</x:v>
      </x:c>
      <x:c r="N78" s="47" t="n">
        <x:v>63</x:v>
      </x:c>
      <x:c r="O78" s="47" t="n">
        <x:f>SUMIFS('County annual'!$K$6:$K$179,'County annual'!$C$6:$C$179,$C78,'County annual'!$A$6:$A$179,$A78)</x:f>
        <x:v>63</x:v>
      </x:c>
      <x:c r="P78" s="47" t="n">
        <x:f>O78-N78</x:f>
        <x:v>0</x:v>
      </x:c>
      <x:c r="Q78" s="47" t="n">
        <x:f>IF(SUMIFS('County annual'!$D$6:$D$179,'County annual'!$C$6:$C$179,$C78,'County annual'!$A$6:$A$179,$A78)=D78,0,1)+IF(SUMIFS('County annual'!$E$6:$E$179,'County annual'!$C$6:$C$179,$C78,'County annual'!$A$6:$A$179,$A78)=E78,0,1)+IF(SUMIFS('County annual'!$F$6:$F$179,'County annual'!$C$6:$C$179,$C78,'County annual'!$A$6:$A$179,$A78)=F78,0,1)+IF(SUMIFS('County annual'!$G$6:$G$179,'County annual'!$C$6:$C$179,$C78,'County annual'!$A$6:$A$179,$A78)=G78,0,1)</x:f>
        <x:v>0</x:v>
      </x:c>
      <x:c r="R78" s="30" t="str">
        <x:f>IF(AND(J78=0,M78=0,P78=0,Q78=0),"Match","Mismatch")</x:f>
        <x:v>Match</x:v>
      </x:c>
      <x:c r="S78" s="30" t="str">
        <x:v>BPS-CO-2022</x:v>
      </x:c>
      <x:c r="T78" s="30" t="str">
        <x:v>raw/county/co2022a.txt</x:v>
      </x:c>
      <x:c r="U78" s="56" t="n">
        <x:v>2688</x:v>
      </x:c>
    </x:row>
    <x:row r="79" ht="21" customHeight="1">
      <x:c r="A79" s="56" t="n">
        <x:v>2022</x:v>
      </x:c>
      <x:c r="B79" s="30" t="str">
        <x:v>Piute County</x:v>
      </x:c>
      <x:c r="C79" s="58" t="str">
        <x:v>49031</x:v>
      </x:c>
      <x:c r="D79" s="47" t="n">
        <x:v>36</x:v>
      </x:c>
      <x:c r="E79" s="47" t="n">
        <x:v>0</x:v>
      </x:c>
      <x:c r="F79" s="47" t="n">
        <x:v>0</x:v>
      </x:c>
      <x:c r="G79" s="47" t="n">
        <x:v>0</x:v>
      </x:c>
      <x:c r="H79" s="47" t="n">
        <x:f>SUM(D79:G79)</x:f>
        <x:v>36</x:v>
      </x:c>
      <x:c r="I79" s="47" t="n">
        <x:f>SUMIFS('County annual'!$H$6:$H$179,'County annual'!$C$6:$C$179,$C79,'County annual'!$A$6:$A$179,$A79)</x:f>
        <x:v>36</x:v>
      </x:c>
      <x:c r="J79" s="47" t="n">
        <x:f>I79-H79</x:f>
        <x:v>0</x:v>
      </x:c>
      <x:c r="K79" s="62" t="n">
        <x:v>5944980</x:v>
      </x:c>
      <x:c r="L79" s="62" t="n">
        <x:f>SUMIFS('County annual'!$J$6:$J$179,'County annual'!$C$6:$C$179,$C79,'County annual'!$A$6:$A$179,$A79)</x:f>
        <x:v>5944980</x:v>
      </x:c>
      <x:c r="M79" s="62" t="n">
        <x:f>L79-K79</x:f>
        <x:v>0</x:v>
      </x:c>
      <x:c r="N79" s="47" t="n">
        <x:v>9</x:v>
      </x:c>
      <x:c r="O79" s="47" t="n">
        <x:f>SUMIFS('County annual'!$K$6:$K$179,'County annual'!$C$6:$C$179,$C79,'County annual'!$A$6:$A$179,$A79)</x:f>
        <x:v>9</x:v>
      </x:c>
      <x:c r="P79" s="47" t="n">
        <x:f>O79-N79</x:f>
        <x:v>0</x:v>
      </x:c>
      <x:c r="Q79" s="47" t="n">
        <x:f>IF(SUMIFS('County annual'!$D$6:$D$179,'County annual'!$C$6:$C$179,$C79,'County annual'!$A$6:$A$179,$A79)=D79,0,1)+IF(SUMIFS('County annual'!$E$6:$E$179,'County annual'!$C$6:$C$179,$C79,'County annual'!$A$6:$A$179,$A79)=E79,0,1)+IF(SUMIFS('County annual'!$F$6:$F$179,'County annual'!$C$6:$C$179,$C79,'County annual'!$A$6:$A$179,$A79)=F79,0,1)+IF(SUMIFS('County annual'!$G$6:$G$179,'County annual'!$C$6:$C$179,$C79,'County annual'!$A$6:$A$179,$A79)=G79,0,1)</x:f>
        <x:v>0</x:v>
      </x:c>
      <x:c r="R79" s="30" t="str">
        <x:f>IF(AND(J79=0,M79=0,P79=0,Q79=0),"Match","Mismatch")</x:f>
        <x:v>Match</x:v>
      </x:c>
      <x:c r="S79" s="30" t="str">
        <x:v>BPS-CO-2022</x:v>
      </x:c>
      <x:c r="T79" s="30" t="str">
        <x:v>raw/county/co2022a.txt</x:v>
      </x:c>
      <x:c r="U79" s="56" t="n">
        <x:v>2689</x:v>
      </x:c>
    </x:row>
    <x:row r="80" ht="21" customHeight="1">
      <x:c r="A80" s="56" t="n">
        <x:v>2022</x:v>
      </x:c>
      <x:c r="B80" s="30" t="str">
        <x:v>Rich County</x:v>
      </x:c>
      <x:c r="C80" s="58" t="str">
        <x:v>49033</x:v>
      </x:c>
      <x:c r="D80" s="47" t="n">
        <x:v>71</x:v>
      </x:c>
      <x:c r="E80" s="47" t="n">
        <x:v>0</x:v>
      </x:c>
      <x:c r="F80" s="47" t="n">
        <x:v>0</x:v>
      </x:c>
      <x:c r="G80" s="47" t="n">
        <x:v>0</x:v>
      </x:c>
      <x:c r="H80" s="47" t="n">
        <x:f>SUM(D80:G80)</x:f>
        <x:v>71</x:v>
      </x:c>
      <x:c r="I80" s="47" t="n">
        <x:f>SUMIFS('County annual'!$H$6:$H$179,'County annual'!$C$6:$C$179,$C80,'County annual'!$A$6:$A$179,$A80)</x:f>
        <x:v>71</x:v>
      </x:c>
      <x:c r="J80" s="47" t="n">
        <x:f>I80-H80</x:f>
        <x:v>0</x:v>
      </x:c>
      <x:c r="K80" s="62" t="n">
        <x:v>23127537</x:v>
      </x:c>
      <x:c r="L80" s="62" t="n">
        <x:f>SUMIFS('County annual'!$J$6:$J$179,'County annual'!$C$6:$C$179,$C80,'County annual'!$A$6:$A$179,$A80)</x:f>
        <x:v>23127537</x:v>
      </x:c>
      <x:c r="M80" s="62" t="n">
        <x:f>L80-K80</x:f>
        <x:v>0</x:v>
      </x:c>
      <x:c r="N80" s="47" t="n">
        <x:v>0</x:v>
      </x:c>
      <x:c r="O80" s="47" t="n">
        <x:f>SUMIFS('County annual'!$K$6:$K$179,'County annual'!$C$6:$C$179,$C80,'County annual'!$A$6:$A$179,$A80)</x:f>
        <x:v>0</x:v>
      </x:c>
      <x:c r="P80" s="47" t="n">
        <x:f>O80-N80</x:f>
        <x:v>0</x:v>
      </x:c>
      <x:c r="Q80" s="47" t="n">
        <x:f>IF(SUMIFS('County annual'!$D$6:$D$179,'County annual'!$C$6:$C$179,$C80,'County annual'!$A$6:$A$179,$A80)=D80,0,1)+IF(SUMIFS('County annual'!$E$6:$E$179,'County annual'!$C$6:$C$179,$C80,'County annual'!$A$6:$A$179,$A80)=E80,0,1)+IF(SUMIFS('County annual'!$F$6:$F$179,'County annual'!$C$6:$C$179,$C80,'County annual'!$A$6:$A$179,$A80)=F80,0,1)+IF(SUMIFS('County annual'!$G$6:$G$179,'County annual'!$C$6:$C$179,$C80,'County annual'!$A$6:$A$179,$A80)=G80,0,1)</x:f>
        <x:v>0</x:v>
      </x:c>
      <x:c r="R80" s="30" t="str">
        <x:f>IF(AND(J80=0,M80=0,P80=0,Q80=0),"Match","Mismatch")</x:f>
        <x:v>Match</x:v>
      </x:c>
      <x:c r="S80" s="30" t="str">
        <x:v>BPS-CO-2022</x:v>
      </x:c>
      <x:c r="T80" s="30" t="str">
        <x:v>raw/county/co2022a.txt</x:v>
      </x:c>
      <x:c r="U80" s="56" t="n">
        <x:v>2690</x:v>
      </x:c>
    </x:row>
    <x:row r="81" ht="21" customHeight="1">
      <x:c r="A81" s="56" t="n">
        <x:v>2022</x:v>
      </x:c>
      <x:c r="B81" s="30" t="str">
        <x:v>Salt Lake County</x:v>
      </x:c>
      <x:c r="C81" s="58" t="str">
        <x:v>49035</x:v>
      </x:c>
      <x:c r="D81" s="47" t="n">
        <x:v>3339</x:v>
      </x:c>
      <x:c r="E81" s="47" t="n">
        <x:v>84</x:v>
      </x:c>
      <x:c r="F81" s="47" t="n">
        <x:v>63</x:v>
      </x:c>
      <x:c r="G81" s="47" t="n">
        <x:v>5889</x:v>
      </x:c>
      <x:c r="H81" s="47" t="n">
        <x:f>SUM(D81:G81)</x:f>
        <x:v>9375</x:v>
      </x:c>
      <x:c r="I81" s="47" t="n">
        <x:f>SUMIFS('County annual'!$H$6:$H$179,'County annual'!$C$6:$C$179,$C81,'County annual'!$A$6:$A$179,$A81)</x:f>
        <x:v>9375</x:v>
      </x:c>
      <x:c r="J81" s="47" t="n">
        <x:f>I81-H81</x:f>
        <x:v>0</x:v>
      </x:c>
      <x:c r="K81" s="62" t="n">
        <x:v>1837477116</x:v>
      </x:c>
      <x:c r="L81" s="62" t="n">
        <x:f>SUMIFS('County annual'!$J$6:$J$179,'County annual'!$C$6:$C$179,$C81,'County annual'!$A$6:$A$179,$A81)</x:f>
        <x:v>1837477116</x:v>
      </x:c>
      <x:c r="M81" s="62" t="n">
        <x:f>L81-K81</x:f>
        <x:v>0</x:v>
      </x:c>
      <x:c r="N81" s="47" t="n">
        <x:v>5470</x:v>
      </x:c>
      <x:c r="O81" s="47" t="n">
        <x:f>SUMIFS('County annual'!$K$6:$K$179,'County annual'!$C$6:$C$179,$C81,'County annual'!$A$6:$A$179,$A81)</x:f>
        <x:v>5470</x:v>
      </x:c>
      <x:c r="P81" s="47" t="n">
        <x:f>O81-N81</x:f>
        <x:v>0</x:v>
      </x:c>
      <x:c r="Q81" s="47" t="n">
        <x:f>IF(SUMIFS('County annual'!$D$6:$D$179,'County annual'!$C$6:$C$179,$C81,'County annual'!$A$6:$A$179,$A81)=D81,0,1)+IF(SUMIFS('County annual'!$E$6:$E$179,'County annual'!$C$6:$C$179,$C81,'County annual'!$A$6:$A$179,$A81)=E81,0,1)+IF(SUMIFS('County annual'!$F$6:$F$179,'County annual'!$C$6:$C$179,$C81,'County annual'!$A$6:$A$179,$A81)=F81,0,1)+IF(SUMIFS('County annual'!$G$6:$G$179,'County annual'!$C$6:$C$179,$C81,'County annual'!$A$6:$A$179,$A81)=G81,0,1)</x:f>
        <x:v>0</x:v>
      </x:c>
      <x:c r="R81" s="30" t="str">
        <x:f>IF(AND(J81=0,M81=0,P81=0,Q81=0),"Match","Mismatch")</x:f>
        <x:v>Match</x:v>
      </x:c>
      <x:c r="S81" s="30" t="str">
        <x:v>BPS-CO-2022</x:v>
      </x:c>
      <x:c r="T81" s="30" t="str">
        <x:v>raw/county/co2022a.txt</x:v>
      </x:c>
      <x:c r="U81" s="56" t="n">
        <x:v>2691</x:v>
      </x:c>
    </x:row>
    <x:row r="82" ht="21" customHeight="1">
      <x:c r="A82" s="56" t="n">
        <x:v>2022</x:v>
      </x:c>
      <x:c r="B82" s="30" t="str">
        <x:v>San Juan County</x:v>
      </x:c>
      <x:c r="C82" s="58" t="str">
        <x:v>49037</x:v>
      </x:c>
      <x:c r="D82" s="47" t="n">
        <x:v>92</x:v>
      </x:c>
      <x:c r="E82" s="47" t="n">
        <x:v>0</x:v>
      </x:c>
      <x:c r="F82" s="47" t="n">
        <x:v>0</x:v>
      </x:c>
      <x:c r="G82" s="47" t="n">
        <x:v>0</x:v>
      </x:c>
      <x:c r="H82" s="47" t="n">
        <x:f>SUM(D82:G82)</x:f>
        <x:v>92</x:v>
      </x:c>
      <x:c r="I82" s="47" t="n">
        <x:f>SUMIFS('County annual'!$H$6:$H$179,'County annual'!$C$6:$C$179,$C82,'County annual'!$A$6:$A$179,$A82)</x:f>
        <x:v>92</x:v>
      </x:c>
      <x:c r="J82" s="47" t="n">
        <x:f>I82-H82</x:f>
        <x:v>0</x:v>
      </x:c>
      <x:c r="K82" s="62" t="n">
        <x:v>30578627</x:v>
      </x:c>
      <x:c r="L82" s="62" t="n">
        <x:f>SUMIFS('County annual'!$J$6:$J$179,'County annual'!$C$6:$C$179,$C82,'County annual'!$A$6:$A$179,$A82)</x:f>
        <x:v>30578627</x:v>
      </x:c>
      <x:c r="M82" s="62" t="n">
        <x:f>L82-K82</x:f>
        <x:v>0</x:v>
      </x:c>
      <x:c r="N82" s="47" t="n">
        <x:v>90</x:v>
      </x:c>
      <x:c r="O82" s="47" t="n">
        <x:f>SUMIFS('County annual'!$K$6:$K$179,'County annual'!$C$6:$C$179,$C82,'County annual'!$A$6:$A$179,$A82)</x:f>
        <x:v>90</x:v>
      </x:c>
      <x:c r="P82" s="47" t="n">
        <x:f>O82-N82</x:f>
        <x:v>0</x:v>
      </x:c>
      <x:c r="Q82" s="47" t="n">
        <x:f>IF(SUMIFS('County annual'!$D$6:$D$179,'County annual'!$C$6:$C$179,$C82,'County annual'!$A$6:$A$179,$A82)=D82,0,1)+IF(SUMIFS('County annual'!$E$6:$E$179,'County annual'!$C$6:$C$179,$C82,'County annual'!$A$6:$A$179,$A82)=E82,0,1)+IF(SUMIFS('County annual'!$F$6:$F$179,'County annual'!$C$6:$C$179,$C82,'County annual'!$A$6:$A$179,$A82)=F82,0,1)+IF(SUMIFS('County annual'!$G$6:$G$179,'County annual'!$C$6:$C$179,$C82,'County annual'!$A$6:$A$179,$A82)=G82,0,1)</x:f>
        <x:v>0</x:v>
      </x:c>
      <x:c r="R82" s="30" t="str">
        <x:f>IF(AND(J82=0,M82=0,P82=0,Q82=0),"Match","Mismatch")</x:f>
        <x:v>Match</x:v>
      </x:c>
      <x:c r="S82" s="30" t="str">
        <x:v>BPS-CO-2022</x:v>
      </x:c>
      <x:c r="T82" s="30" t="str">
        <x:v>raw/county/co2022a.txt</x:v>
      </x:c>
      <x:c r="U82" s="56" t="n">
        <x:v>2692</x:v>
      </x:c>
    </x:row>
    <x:row r="83" ht="21" customHeight="1">
      <x:c r="A83" s="56" t="n">
        <x:v>2022</x:v>
      </x:c>
      <x:c r="B83" s="30" t="str">
        <x:v>Sanpete County</x:v>
      </x:c>
      <x:c r="C83" s="58" t="str">
        <x:v>49039</x:v>
      </x:c>
      <x:c r="D83" s="47" t="n">
        <x:v>186</x:v>
      </x:c>
      <x:c r="E83" s="47" t="n">
        <x:v>0</x:v>
      </x:c>
      <x:c r="F83" s="47" t="n">
        <x:v>16</x:v>
      </x:c>
      <x:c r="G83" s="47" t="n">
        <x:v>0</x:v>
      </x:c>
      <x:c r="H83" s="47" t="n">
        <x:f>SUM(D83:G83)</x:f>
        <x:v>202</x:v>
      </x:c>
      <x:c r="I83" s="47" t="n">
        <x:f>SUMIFS('County annual'!$H$6:$H$179,'County annual'!$C$6:$C$179,$C83,'County annual'!$A$6:$A$179,$A83)</x:f>
        <x:v>202</x:v>
      </x:c>
      <x:c r="J83" s="47" t="n">
        <x:f>I83-H83</x:f>
        <x:v>0</x:v>
      </x:c>
      <x:c r="K83" s="62" t="n">
        <x:v>36306397</x:v>
      </x:c>
      <x:c r="L83" s="62" t="n">
        <x:f>SUMIFS('County annual'!$J$6:$J$179,'County annual'!$C$6:$C$179,$C83,'County annual'!$A$6:$A$179,$A83)</x:f>
        <x:v>36306397</x:v>
      </x:c>
      <x:c r="M83" s="62" t="n">
        <x:f>L83-K83</x:f>
        <x:v>0</x:v>
      </x:c>
      <x:c r="N83" s="47" t="n">
        <x:v>202</x:v>
      </x:c>
      <x:c r="O83" s="47" t="n">
        <x:f>SUMIFS('County annual'!$K$6:$K$179,'County annual'!$C$6:$C$179,$C83,'County annual'!$A$6:$A$179,$A83)</x:f>
        <x:v>202</x:v>
      </x:c>
      <x:c r="P83" s="47" t="n">
        <x:f>O83-N83</x:f>
        <x:v>0</x:v>
      </x:c>
      <x:c r="Q83" s="47" t="n">
        <x:f>IF(SUMIFS('County annual'!$D$6:$D$179,'County annual'!$C$6:$C$179,$C83,'County annual'!$A$6:$A$179,$A83)=D83,0,1)+IF(SUMIFS('County annual'!$E$6:$E$179,'County annual'!$C$6:$C$179,$C83,'County annual'!$A$6:$A$179,$A83)=E83,0,1)+IF(SUMIFS('County annual'!$F$6:$F$179,'County annual'!$C$6:$C$179,$C83,'County annual'!$A$6:$A$179,$A83)=F83,0,1)+IF(SUMIFS('County annual'!$G$6:$G$179,'County annual'!$C$6:$C$179,$C83,'County annual'!$A$6:$A$179,$A83)=G83,0,1)</x:f>
        <x:v>0</x:v>
      </x:c>
      <x:c r="R83" s="30" t="str">
        <x:f>IF(AND(J83=0,M83=0,P83=0,Q83=0),"Match","Mismatch")</x:f>
        <x:v>Match</x:v>
      </x:c>
      <x:c r="S83" s="30" t="str">
        <x:v>BPS-CO-2022</x:v>
      </x:c>
      <x:c r="T83" s="30" t="str">
        <x:v>raw/county/co2022a.txt</x:v>
      </x:c>
      <x:c r="U83" s="56" t="n">
        <x:v>2693</x:v>
      </x:c>
    </x:row>
    <x:row r="84" ht="21" customHeight="1">
      <x:c r="A84" s="56" t="n">
        <x:v>2022</x:v>
      </x:c>
      <x:c r="B84" s="30" t="str">
        <x:v>Sevier County</x:v>
      </x:c>
      <x:c r="C84" s="58" t="str">
        <x:v>49041</x:v>
      </x:c>
      <x:c r="D84" s="47" t="n">
        <x:v>105</x:v>
      </x:c>
      <x:c r="E84" s="47" t="n">
        <x:v>22</x:v>
      </x:c>
      <x:c r="F84" s="47" t="n">
        <x:v>0</x:v>
      </x:c>
      <x:c r="G84" s="47" t="n">
        <x:v>36</x:v>
      </x:c>
      <x:c r="H84" s="47" t="n">
        <x:f>SUM(D84:G84)</x:f>
        <x:v>163</x:v>
      </x:c>
      <x:c r="I84" s="47" t="n">
        <x:f>SUMIFS('County annual'!$H$6:$H$179,'County annual'!$C$6:$C$179,$C84,'County annual'!$A$6:$A$179,$A84)</x:f>
        <x:v>163</x:v>
      </x:c>
      <x:c r="J84" s="47" t="n">
        <x:f>I84-H84</x:f>
        <x:v>0</x:v>
      </x:c>
      <x:c r="K84" s="62" t="n">
        <x:v>34098500</x:v>
      </x:c>
      <x:c r="L84" s="62" t="n">
        <x:f>SUMIFS('County annual'!$J$6:$J$179,'County annual'!$C$6:$C$179,$C84,'County annual'!$A$6:$A$179,$A84)</x:f>
        <x:v>34098500</x:v>
      </x:c>
      <x:c r="M84" s="62" t="n">
        <x:f>L84-K84</x:f>
        <x:v>0</x:v>
      </x:c>
      <x:c r="N84" s="47" t="n">
        <x:v>149</x:v>
      </x:c>
      <x:c r="O84" s="47" t="n">
        <x:f>SUMIFS('County annual'!$K$6:$K$179,'County annual'!$C$6:$C$179,$C84,'County annual'!$A$6:$A$179,$A84)</x:f>
        <x:v>149</x:v>
      </x:c>
      <x:c r="P84" s="47" t="n">
        <x:f>O84-N84</x:f>
        <x:v>0</x:v>
      </x:c>
      <x:c r="Q84" s="47" t="n">
        <x:f>IF(SUMIFS('County annual'!$D$6:$D$179,'County annual'!$C$6:$C$179,$C84,'County annual'!$A$6:$A$179,$A84)=D84,0,1)+IF(SUMIFS('County annual'!$E$6:$E$179,'County annual'!$C$6:$C$179,$C84,'County annual'!$A$6:$A$179,$A84)=E84,0,1)+IF(SUMIFS('County annual'!$F$6:$F$179,'County annual'!$C$6:$C$179,$C84,'County annual'!$A$6:$A$179,$A84)=F84,0,1)+IF(SUMIFS('County annual'!$G$6:$G$179,'County annual'!$C$6:$C$179,$C84,'County annual'!$A$6:$A$179,$A84)=G84,0,1)</x:f>
        <x:v>0</x:v>
      </x:c>
      <x:c r="R84" s="30" t="str">
        <x:f>IF(AND(J84=0,M84=0,P84=0,Q84=0),"Match","Mismatch")</x:f>
        <x:v>Match</x:v>
      </x:c>
      <x:c r="S84" s="30" t="str">
        <x:v>BPS-CO-2022</x:v>
      </x:c>
      <x:c r="T84" s="30" t="str">
        <x:v>raw/county/co2022a.txt</x:v>
      </x:c>
      <x:c r="U84" s="56" t="n">
        <x:v>2694</x:v>
      </x:c>
    </x:row>
    <x:row r="85" ht="21" customHeight="1">
      <x:c r="A85" s="56" t="n">
        <x:v>2022</x:v>
      </x:c>
      <x:c r="B85" s="30" t="str">
        <x:v>Summit County</x:v>
      </x:c>
      <x:c r="C85" s="58" t="str">
        <x:v>49043</x:v>
      </x:c>
      <x:c r="D85" s="47" t="n">
        <x:v>470</x:v>
      </x:c>
      <x:c r="E85" s="47" t="n">
        <x:v>0</x:v>
      </x:c>
      <x:c r="F85" s="47" t="n">
        <x:v>0</x:v>
      </x:c>
      <x:c r="G85" s="47" t="n">
        <x:v>90</x:v>
      </x:c>
      <x:c r="H85" s="47" t="n">
        <x:f>SUM(D85:G85)</x:f>
        <x:v>560</x:v>
      </x:c>
      <x:c r="I85" s="47" t="n">
        <x:f>SUMIFS('County annual'!$H$6:$H$179,'County annual'!$C$6:$C$179,$C85,'County annual'!$A$6:$A$179,$A85)</x:f>
        <x:v>560</x:v>
      </x:c>
      <x:c r="J85" s="47" t="n">
        <x:f>I85-H85</x:f>
        <x:v>0</x:v>
      </x:c>
      <x:c r="K85" s="62" t="n">
        <x:v>343573819</x:v>
      </x:c>
      <x:c r="L85" s="62" t="n">
        <x:f>SUMIFS('County annual'!$J$6:$J$179,'County annual'!$C$6:$C$179,$C85,'County annual'!$A$6:$A$179,$A85)</x:f>
        <x:v>343573819</x:v>
      </x:c>
      <x:c r="M85" s="62" t="n">
        <x:f>L85-K85</x:f>
        <x:v>0</x:v>
      </x:c>
      <x:c r="N85" s="47" t="n">
        <x:v>560</x:v>
      </x:c>
      <x:c r="O85" s="47" t="n">
        <x:f>SUMIFS('County annual'!$K$6:$K$179,'County annual'!$C$6:$C$179,$C85,'County annual'!$A$6:$A$179,$A85)</x:f>
        <x:v>560</x:v>
      </x:c>
      <x:c r="P85" s="47" t="n">
        <x:f>O85-N85</x:f>
        <x:v>0</x:v>
      </x:c>
      <x:c r="Q85" s="47" t="n">
        <x:f>IF(SUMIFS('County annual'!$D$6:$D$179,'County annual'!$C$6:$C$179,$C85,'County annual'!$A$6:$A$179,$A85)=D85,0,1)+IF(SUMIFS('County annual'!$E$6:$E$179,'County annual'!$C$6:$C$179,$C85,'County annual'!$A$6:$A$179,$A85)=E85,0,1)+IF(SUMIFS('County annual'!$F$6:$F$179,'County annual'!$C$6:$C$179,$C85,'County annual'!$A$6:$A$179,$A85)=F85,0,1)+IF(SUMIFS('County annual'!$G$6:$G$179,'County annual'!$C$6:$C$179,$C85,'County annual'!$A$6:$A$179,$A85)=G85,0,1)</x:f>
        <x:v>0</x:v>
      </x:c>
      <x:c r="R85" s="30" t="str">
        <x:f>IF(AND(J85=0,M85=0,P85=0,Q85=0),"Match","Mismatch")</x:f>
        <x:v>Match</x:v>
      </x:c>
      <x:c r="S85" s="30" t="str">
        <x:v>BPS-CO-2022</x:v>
      </x:c>
      <x:c r="T85" s="30" t="str">
        <x:v>raw/county/co2022a.txt</x:v>
      </x:c>
      <x:c r="U85" s="56" t="n">
        <x:v>2695</x:v>
      </x:c>
    </x:row>
    <x:row r="86" ht="21" customHeight="1">
      <x:c r="A86" s="56" t="n">
        <x:v>2022</x:v>
      </x:c>
      <x:c r="B86" s="30" t="str">
        <x:v>Tooele County</x:v>
      </x:c>
      <x:c r="C86" s="58" t="str">
        <x:v>49045</x:v>
      </x:c>
      <x:c r="D86" s="47" t="n">
        <x:v>653</x:v>
      </x:c>
      <x:c r="E86" s="47" t="n">
        <x:v>0</x:v>
      </x:c>
      <x:c r="F86" s="47" t="n">
        <x:v>31</x:v>
      </x:c>
      <x:c r="G86" s="47" t="n">
        <x:v>43</x:v>
      </x:c>
      <x:c r="H86" s="47" t="n">
        <x:f>SUM(D86:G86)</x:f>
        <x:v>727</x:v>
      </x:c>
      <x:c r="I86" s="47" t="n">
        <x:f>SUMIFS('County annual'!$H$6:$H$179,'County annual'!$C$6:$C$179,$C86,'County annual'!$A$6:$A$179,$A86)</x:f>
        <x:v>727</x:v>
      </x:c>
      <x:c r="J86" s="47" t="n">
        <x:f>I86-H86</x:f>
        <x:v>0</x:v>
      </x:c>
      <x:c r="K86" s="62" t="n">
        <x:v>202440968</x:v>
      </x:c>
      <x:c r="L86" s="62" t="n">
        <x:f>SUMIFS('County annual'!$J$6:$J$179,'County annual'!$C$6:$C$179,$C86,'County annual'!$A$6:$A$179,$A86)</x:f>
        <x:v>202440968</x:v>
      </x:c>
      <x:c r="M86" s="62" t="n">
        <x:f>L86-K86</x:f>
        <x:v>0</x:v>
      </x:c>
      <x:c r="N86" s="47" t="n">
        <x:v>727</x:v>
      </x:c>
      <x:c r="O86" s="47" t="n">
        <x:f>SUMIFS('County annual'!$K$6:$K$179,'County annual'!$C$6:$C$179,$C86,'County annual'!$A$6:$A$179,$A86)</x:f>
        <x:v>727</x:v>
      </x:c>
      <x:c r="P86" s="47" t="n">
        <x:f>O86-N86</x:f>
        <x:v>0</x:v>
      </x:c>
      <x:c r="Q86" s="47" t="n">
        <x:f>IF(SUMIFS('County annual'!$D$6:$D$179,'County annual'!$C$6:$C$179,$C86,'County annual'!$A$6:$A$179,$A86)=D86,0,1)+IF(SUMIFS('County annual'!$E$6:$E$179,'County annual'!$C$6:$C$179,$C86,'County annual'!$A$6:$A$179,$A86)=E86,0,1)+IF(SUMIFS('County annual'!$F$6:$F$179,'County annual'!$C$6:$C$179,$C86,'County annual'!$A$6:$A$179,$A86)=F86,0,1)+IF(SUMIFS('County annual'!$G$6:$G$179,'County annual'!$C$6:$C$179,$C86,'County annual'!$A$6:$A$179,$A86)=G86,0,1)</x:f>
        <x:v>0</x:v>
      </x:c>
      <x:c r="R86" s="30" t="str">
        <x:f>IF(AND(J86=0,M86=0,P86=0,Q86=0),"Match","Mismatch")</x:f>
        <x:v>Match</x:v>
      </x:c>
      <x:c r="S86" s="30" t="str">
        <x:v>BPS-CO-2022</x:v>
      </x:c>
      <x:c r="T86" s="30" t="str">
        <x:v>raw/county/co2022a.txt</x:v>
      </x:c>
      <x:c r="U86" s="56" t="n">
        <x:v>2696</x:v>
      </x:c>
    </x:row>
    <x:row r="87" ht="21" customHeight="1">
      <x:c r="A87" s="56" t="n">
        <x:v>2022</x:v>
      </x:c>
      <x:c r="B87" s="30" t="str">
        <x:v>Uintah County</x:v>
      </x:c>
      <x:c r="C87" s="58" t="str">
        <x:v>49047</x:v>
      </x:c>
      <x:c r="D87" s="47" t="n">
        <x:v>86</x:v>
      </x:c>
      <x:c r="E87" s="47" t="n">
        <x:v>4</x:v>
      </x:c>
      <x:c r="F87" s="47" t="n">
        <x:v>0</x:v>
      </x:c>
      <x:c r="G87" s="47" t="n">
        <x:v>0</x:v>
      </x:c>
      <x:c r="H87" s="47" t="n">
        <x:f>SUM(D87:G87)</x:f>
        <x:v>90</x:v>
      </x:c>
      <x:c r="I87" s="47" t="n">
        <x:f>SUMIFS('County annual'!$H$6:$H$179,'County annual'!$C$6:$C$179,$C87,'County annual'!$A$6:$A$179,$A87)</x:f>
        <x:v>90</x:v>
      </x:c>
      <x:c r="J87" s="47" t="n">
        <x:f>I87-H87</x:f>
        <x:v>0</x:v>
      </x:c>
      <x:c r="K87" s="62" t="n">
        <x:v>34772083</x:v>
      </x:c>
      <x:c r="L87" s="62" t="n">
        <x:f>SUMIFS('County annual'!$J$6:$J$179,'County annual'!$C$6:$C$179,$C87,'County annual'!$A$6:$A$179,$A87)</x:f>
        <x:v>34772083</x:v>
      </x:c>
      <x:c r="M87" s="62" t="n">
        <x:f>L87-K87</x:f>
        <x:v>0</x:v>
      </x:c>
      <x:c r="N87" s="47" t="n">
        <x:v>90</x:v>
      </x:c>
      <x:c r="O87" s="47" t="n">
        <x:f>SUMIFS('County annual'!$K$6:$K$179,'County annual'!$C$6:$C$179,$C87,'County annual'!$A$6:$A$179,$A87)</x:f>
        <x:v>90</x:v>
      </x:c>
      <x:c r="P87" s="47" t="n">
        <x:f>O87-N87</x:f>
        <x:v>0</x:v>
      </x:c>
      <x:c r="Q87" s="47" t="n">
        <x:f>IF(SUMIFS('County annual'!$D$6:$D$179,'County annual'!$C$6:$C$179,$C87,'County annual'!$A$6:$A$179,$A87)=D87,0,1)+IF(SUMIFS('County annual'!$E$6:$E$179,'County annual'!$C$6:$C$179,$C87,'County annual'!$A$6:$A$179,$A87)=E87,0,1)+IF(SUMIFS('County annual'!$F$6:$F$179,'County annual'!$C$6:$C$179,$C87,'County annual'!$A$6:$A$179,$A87)=F87,0,1)+IF(SUMIFS('County annual'!$G$6:$G$179,'County annual'!$C$6:$C$179,$C87,'County annual'!$A$6:$A$179,$A87)=G87,0,1)</x:f>
        <x:v>0</x:v>
      </x:c>
      <x:c r="R87" s="30" t="str">
        <x:f>IF(AND(J87=0,M87=0,P87=0,Q87=0),"Match","Mismatch")</x:f>
        <x:v>Match</x:v>
      </x:c>
      <x:c r="S87" s="30" t="str">
        <x:v>BPS-CO-2022</x:v>
      </x:c>
      <x:c r="T87" s="30" t="str">
        <x:v>raw/county/co2022a.txt</x:v>
      </x:c>
      <x:c r="U87" s="56" t="n">
        <x:v>2697</x:v>
      </x:c>
    </x:row>
    <x:row r="88" ht="21" customHeight="1">
      <x:c r="A88" s="56" t="n">
        <x:v>2022</x:v>
      </x:c>
      <x:c r="B88" s="30" t="str">
        <x:v>Utah County</x:v>
      </x:c>
      <x:c r="C88" s="58" t="str">
        <x:v>49049</x:v>
      </x:c>
      <x:c r="D88" s="47" t="n">
        <x:v>5080</x:v>
      </x:c>
      <x:c r="E88" s="47" t="n">
        <x:v>138</x:v>
      </x:c>
      <x:c r="F88" s="47" t="n">
        <x:v>140</x:v>
      </x:c>
      <x:c r="G88" s="47" t="n">
        <x:v>2807</x:v>
      </x:c>
      <x:c r="H88" s="47" t="n">
        <x:f>SUM(D88:G88)</x:f>
        <x:v>8165</x:v>
      </x:c>
      <x:c r="I88" s="47" t="n">
        <x:f>SUMIFS('County annual'!$H$6:$H$179,'County annual'!$C$6:$C$179,$C88,'County annual'!$A$6:$A$179,$A88)</x:f>
        <x:v>8165</x:v>
      </x:c>
      <x:c r="J88" s="47" t="n">
        <x:f>I88-H88</x:f>
        <x:v>0</x:v>
      </x:c>
      <x:c r="K88" s="62" t="n">
        <x:v>2213394113</x:v>
      </x:c>
      <x:c r="L88" s="62" t="n">
        <x:f>SUMIFS('County annual'!$J$6:$J$179,'County annual'!$C$6:$C$179,$C88,'County annual'!$A$6:$A$179,$A88)</x:f>
        <x:v>2213394113</x:v>
      </x:c>
      <x:c r="M88" s="62" t="n">
        <x:f>L88-K88</x:f>
        <x:v>0</x:v>
      </x:c>
      <x:c r="N88" s="47" t="n">
        <x:v>8154</x:v>
      </x:c>
      <x:c r="O88" s="47" t="n">
        <x:f>SUMIFS('County annual'!$K$6:$K$179,'County annual'!$C$6:$C$179,$C88,'County annual'!$A$6:$A$179,$A88)</x:f>
        <x:v>8154</x:v>
      </x:c>
      <x:c r="P88" s="47" t="n">
        <x:f>O88-N88</x:f>
        <x:v>0</x:v>
      </x:c>
      <x:c r="Q88" s="47" t="n">
        <x:f>IF(SUMIFS('County annual'!$D$6:$D$179,'County annual'!$C$6:$C$179,$C88,'County annual'!$A$6:$A$179,$A88)=D88,0,1)+IF(SUMIFS('County annual'!$E$6:$E$179,'County annual'!$C$6:$C$179,$C88,'County annual'!$A$6:$A$179,$A88)=E88,0,1)+IF(SUMIFS('County annual'!$F$6:$F$179,'County annual'!$C$6:$C$179,$C88,'County annual'!$A$6:$A$179,$A88)=F88,0,1)+IF(SUMIFS('County annual'!$G$6:$G$179,'County annual'!$C$6:$C$179,$C88,'County annual'!$A$6:$A$179,$A88)=G88,0,1)</x:f>
        <x:v>0</x:v>
      </x:c>
      <x:c r="R88" s="30" t="str">
        <x:f>IF(AND(J88=0,M88=0,P88=0,Q88=0),"Match","Mismatch")</x:f>
        <x:v>Match</x:v>
      </x:c>
      <x:c r="S88" s="30" t="str">
        <x:v>BPS-CO-2022</x:v>
      </x:c>
      <x:c r="T88" s="30" t="str">
        <x:v>raw/county/co2022a.txt</x:v>
      </x:c>
      <x:c r="U88" s="56" t="n">
        <x:v>2698</x:v>
      </x:c>
    </x:row>
    <x:row r="89" ht="21" customHeight="1">
      <x:c r="A89" s="56" t="n">
        <x:v>2022</x:v>
      </x:c>
      <x:c r="B89" s="30" t="str">
        <x:v>Wasatch County</x:v>
      </x:c>
      <x:c r="C89" s="58" t="str">
        <x:v>49051</x:v>
      </x:c>
      <x:c r="D89" s="47" t="n">
        <x:v>991</x:v>
      </x:c>
      <x:c r="E89" s="47" t="n">
        <x:v>0</x:v>
      </x:c>
      <x:c r="F89" s="47" t="n">
        <x:v>6</x:v>
      </x:c>
      <x:c r="G89" s="47" t="n">
        <x:v>12</x:v>
      </x:c>
      <x:c r="H89" s="47" t="n">
        <x:f>SUM(D89:G89)</x:f>
        <x:v>1009</x:v>
      </x:c>
      <x:c r="I89" s="47" t="n">
        <x:f>SUMIFS('County annual'!$H$6:$H$179,'County annual'!$C$6:$C$179,$C89,'County annual'!$A$6:$A$179,$A89)</x:f>
        <x:v>1009</x:v>
      </x:c>
      <x:c r="J89" s="47" t="n">
        <x:f>I89-H89</x:f>
        <x:v>0</x:v>
      </x:c>
      <x:c r="K89" s="62" t="n">
        <x:v>630435332</x:v>
      </x:c>
      <x:c r="L89" s="62" t="n">
        <x:f>SUMIFS('County annual'!$J$6:$J$179,'County annual'!$C$6:$C$179,$C89,'County annual'!$A$6:$A$179,$A89)</x:f>
        <x:v>630435332</x:v>
      </x:c>
      <x:c r="M89" s="62" t="n">
        <x:f>L89-K89</x:f>
        <x:v>0</x:v>
      </x:c>
      <x:c r="N89" s="47" t="n">
        <x:v>1003</x:v>
      </x:c>
      <x:c r="O89" s="47" t="n">
        <x:f>SUMIFS('County annual'!$K$6:$K$179,'County annual'!$C$6:$C$179,$C89,'County annual'!$A$6:$A$179,$A89)</x:f>
        <x:v>1003</x:v>
      </x:c>
      <x:c r="P89" s="47" t="n">
        <x:f>O89-N89</x:f>
        <x:v>0</x:v>
      </x:c>
      <x:c r="Q89" s="47" t="n">
        <x:f>IF(SUMIFS('County annual'!$D$6:$D$179,'County annual'!$C$6:$C$179,$C89,'County annual'!$A$6:$A$179,$A89)=D89,0,1)+IF(SUMIFS('County annual'!$E$6:$E$179,'County annual'!$C$6:$C$179,$C89,'County annual'!$A$6:$A$179,$A89)=E89,0,1)+IF(SUMIFS('County annual'!$F$6:$F$179,'County annual'!$C$6:$C$179,$C89,'County annual'!$A$6:$A$179,$A89)=F89,0,1)+IF(SUMIFS('County annual'!$G$6:$G$179,'County annual'!$C$6:$C$179,$C89,'County annual'!$A$6:$A$179,$A89)=G89,0,1)</x:f>
        <x:v>0</x:v>
      </x:c>
      <x:c r="R89" s="30" t="str">
        <x:f>IF(AND(J89=0,M89=0,P89=0,Q89=0),"Match","Mismatch")</x:f>
        <x:v>Match</x:v>
      </x:c>
      <x:c r="S89" s="30" t="str">
        <x:v>BPS-CO-2022</x:v>
      </x:c>
      <x:c r="T89" s="30" t="str">
        <x:v>raw/county/co2022a.txt</x:v>
      </x:c>
      <x:c r="U89" s="56" t="n">
        <x:v>2699</x:v>
      </x:c>
    </x:row>
    <x:row r="90" ht="21" customHeight="1">
      <x:c r="A90" s="56" t="n">
        <x:v>2022</x:v>
      </x:c>
      <x:c r="B90" s="30" t="str">
        <x:v>Washington County</x:v>
      </x:c>
      <x:c r="C90" s="58" t="str">
        <x:v>49053</x:v>
      </x:c>
      <x:c r="D90" s="47" t="n">
        <x:v>2486</x:v>
      </x:c>
      <x:c r="E90" s="47" t="n">
        <x:v>0</x:v>
      </x:c>
      <x:c r="F90" s="47" t="n">
        <x:v>40</x:v>
      </x:c>
      <x:c r="G90" s="47" t="n">
        <x:v>670</x:v>
      </x:c>
      <x:c r="H90" s="47" t="n">
        <x:f>SUM(D90:G90)</x:f>
        <x:v>3196</x:v>
      </x:c>
      <x:c r="I90" s="47" t="n">
        <x:f>SUMIFS('County annual'!$H$6:$H$179,'County annual'!$C$6:$C$179,$C90,'County annual'!$A$6:$A$179,$A90)</x:f>
        <x:v>3196</x:v>
      </x:c>
      <x:c r="J90" s="47" t="n">
        <x:f>I90-H90</x:f>
        <x:v>0</x:v>
      </x:c>
      <x:c r="K90" s="62" t="n">
        <x:v>608624554</x:v>
      </x:c>
      <x:c r="L90" s="62" t="n">
        <x:f>SUMIFS('County annual'!$J$6:$J$179,'County annual'!$C$6:$C$179,$C90,'County annual'!$A$6:$A$179,$A90)</x:f>
        <x:v>608624554</x:v>
      </x:c>
      <x:c r="M90" s="62" t="n">
        <x:f>L90-K90</x:f>
        <x:v>0</x:v>
      </x:c>
      <x:c r="N90" s="47" t="n">
        <x:v>3180</x:v>
      </x:c>
      <x:c r="O90" s="47" t="n">
        <x:f>SUMIFS('County annual'!$K$6:$K$179,'County annual'!$C$6:$C$179,$C90,'County annual'!$A$6:$A$179,$A90)</x:f>
        <x:v>3180</x:v>
      </x:c>
      <x:c r="P90" s="47" t="n">
        <x:f>O90-N90</x:f>
        <x:v>0</x:v>
      </x:c>
      <x:c r="Q90" s="47" t="n">
        <x:f>IF(SUMIFS('County annual'!$D$6:$D$179,'County annual'!$C$6:$C$179,$C90,'County annual'!$A$6:$A$179,$A90)=D90,0,1)+IF(SUMIFS('County annual'!$E$6:$E$179,'County annual'!$C$6:$C$179,$C90,'County annual'!$A$6:$A$179,$A90)=E90,0,1)+IF(SUMIFS('County annual'!$F$6:$F$179,'County annual'!$C$6:$C$179,$C90,'County annual'!$A$6:$A$179,$A90)=F90,0,1)+IF(SUMIFS('County annual'!$G$6:$G$179,'County annual'!$C$6:$C$179,$C90,'County annual'!$A$6:$A$179,$A90)=G90,0,1)</x:f>
        <x:v>0</x:v>
      </x:c>
      <x:c r="R90" s="30" t="str">
        <x:f>IF(AND(J90=0,M90=0,P90=0,Q90=0),"Match","Mismatch")</x:f>
        <x:v>Match</x:v>
      </x:c>
      <x:c r="S90" s="30" t="str">
        <x:v>BPS-CO-2022</x:v>
      </x:c>
      <x:c r="T90" s="30" t="str">
        <x:v>raw/county/co2022a.txt</x:v>
      </x:c>
      <x:c r="U90" s="56" t="n">
        <x:v>2700</x:v>
      </x:c>
    </x:row>
    <x:row r="91" ht="21" customHeight="1">
      <x:c r="A91" s="56" t="n">
        <x:v>2022</x:v>
      </x:c>
      <x:c r="B91" s="30" t="str">
        <x:v>Wayne County</x:v>
      </x:c>
      <x:c r="C91" s="58" t="str">
        <x:v>49055</x:v>
      </x:c>
      <x:c r="D91" s="47" t="n">
        <x:v>25</x:v>
      </x:c>
      <x:c r="E91" s="47" t="n">
        <x:v>0</x:v>
      </x:c>
      <x:c r="F91" s="47" t="n">
        <x:v>4</x:v>
      </x:c>
      <x:c r="G91" s="47" t="n">
        <x:v>0</x:v>
      </x:c>
      <x:c r="H91" s="47" t="n">
        <x:f>SUM(D91:G91)</x:f>
        <x:v>29</x:v>
      </x:c>
      <x:c r="I91" s="47" t="n">
        <x:f>SUMIFS('County annual'!$H$6:$H$179,'County annual'!$C$6:$C$179,$C91,'County annual'!$A$6:$A$179,$A91)</x:f>
        <x:v>29</x:v>
      </x:c>
      <x:c r="J91" s="47" t="n">
        <x:f>I91-H91</x:f>
        <x:v>0</x:v>
      </x:c>
      <x:c r="K91" s="62" t="n">
        <x:v>8158251</x:v>
      </x:c>
      <x:c r="L91" s="62" t="n">
        <x:f>SUMIFS('County annual'!$J$6:$J$179,'County annual'!$C$6:$C$179,$C91,'County annual'!$A$6:$A$179,$A91)</x:f>
        <x:v>8158251</x:v>
      </x:c>
      <x:c r="M91" s="62" t="n">
        <x:f>L91-K91</x:f>
        <x:v>0</x:v>
      </x:c>
      <x:c r="N91" s="47" t="n">
        <x:v>29</x:v>
      </x:c>
      <x:c r="O91" s="47" t="n">
        <x:f>SUMIFS('County annual'!$K$6:$K$179,'County annual'!$C$6:$C$179,$C91,'County annual'!$A$6:$A$179,$A91)</x:f>
        <x:v>29</x:v>
      </x:c>
      <x:c r="P91" s="47" t="n">
        <x:f>O91-N91</x:f>
        <x:v>0</x:v>
      </x:c>
      <x:c r="Q91" s="47" t="n">
        <x:f>IF(SUMIFS('County annual'!$D$6:$D$179,'County annual'!$C$6:$C$179,$C91,'County annual'!$A$6:$A$179,$A91)=D91,0,1)+IF(SUMIFS('County annual'!$E$6:$E$179,'County annual'!$C$6:$C$179,$C91,'County annual'!$A$6:$A$179,$A91)=E91,0,1)+IF(SUMIFS('County annual'!$F$6:$F$179,'County annual'!$C$6:$C$179,$C91,'County annual'!$A$6:$A$179,$A91)=F91,0,1)+IF(SUMIFS('County annual'!$G$6:$G$179,'County annual'!$C$6:$C$179,$C91,'County annual'!$A$6:$A$179,$A91)=G91,0,1)</x:f>
        <x:v>0</x:v>
      </x:c>
      <x:c r="R91" s="30" t="str">
        <x:f>IF(AND(J91=0,M91=0,P91=0,Q91=0),"Match","Mismatch")</x:f>
        <x:v>Match</x:v>
      </x:c>
      <x:c r="S91" s="30" t="str">
        <x:v>BPS-CO-2022</x:v>
      </x:c>
      <x:c r="T91" s="30" t="str">
        <x:v>raw/county/co2022a.txt</x:v>
      </x:c>
      <x:c r="U91" s="56" t="n">
        <x:v>2701</x:v>
      </x:c>
    </x:row>
    <x:row r="92" ht="21" customHeight="1">
      <x:c r="A92" s="56" t="n">
        <x:v>2022</x:v>
      </x:c>
      <x:c r="B92" s="30" t="str">
        <x:v>Weber County</x:v>
      </x:c>
      <x:c r="C92" s="58" t="str">
        <x:v>49057</x:v>
      </x:c>
      <x:c r="D92" s="47" t="n">
        <x:v>1252</x:v>
      </x:c>
      <x:c r="E92" s="47" t="n">
        <x:v>6</x:v>
      </x:c>
      <x:c r="F92" s="47" t="n">
        <x:v>89</x:v>
      </x:c>
      <x:c r="G92" s="47" t="n">
        <x:v>964</x:v>
      </x:c>
      <x:c r="H92" s="47" t="n">
        <x:f>SUM(D92:G92)</x:f>
        <x:v>2311</x:v>
      </x:c>
      <x:c r="I92" s="47" t="n">
        <x:f>SUMIFS('County annual'!$H$6:$H$179,'County annual'!$C$6:$C$179,$C92,'County annual'!$A$6:$A$179,$A92)</x:f>
        <x:v>2311</x:v>
      </x:c>
      <x:c r="J92" s="47" t="n">
        <x:f>I92-H92</x:f>
        <x:v>0</x:v>
      </x:c>
      <x:c r="K92" s="62" t="n">
        <x:v>541330852</x:v>
      </x:c>
      <x:c r="L92" s="62" t="n">
        <x:f>SUMIFS('County annual'!$J$6:$J$179,'County annual'!$C$6:$C$179,$C92,'County annual'!$A$6:$A$179,$A92)</x:f>
        <x:v>541330852</x:v>
      </x:c>
      <x:c r="M92" s="62" t="n">
        <x:f>L92-K92</x:f>
        <x:v>0</x:v>
      </x:c>
      <x:c r="N92" s="47" t="n">
        <x:v>1875</x:v>
      </x:c>
      <x:c r="O92" s="47" t="n">
        <x:f>SUMIFS('County annual'!$K$6:$K$179,'County annual'!$C$6:$C$179,$C92,'County annual'!$A$6:$A$179,$A92)</x:f>
        <x:v>1875</x:v>
      </x:c>
      <x:c r="P92" s="47" t="n">
        <x:f>O92-N92</x:f>
        <x:v>0</x:v>
      </x:c>
      <x:c r="Q92" s="47" t="n">
        <x:f>IF(SUMIFS('County annual'!$D$6:$D$179,'County annual'!$C$6:$C$179,$C92,'County annual'!$A$6:$A$179,$A92)=D92,0,1)+IF(SUMIFS('County annual'!$E$6:$E$179,'County annual'!$C$6:$C$179,$C92,'County annual'!$A$6:$A$179,$A92)=E92,0,1)+IF(SUMIFS('County annual'!$F$6:$F$179,'County annual'!$C$6:$C$179,$C92,'County annual'!$A$6:$A$179,$A92)=F92,0,1)+IF(SUMIFS('County annual'!$G$6:$G$179,'County annual'!$C$6:$C$179,$C92,'County annual'!$A$6:$A$179,$A92)=G92,0,1)</x:f>
        <x:v>0</x:v>
      </x:c>
      <x:c r="R92" s="30" t="str">
        <x:f>IF(AND(J92=0,M92=0,P92=0,Q92=0),"Match","Mismatch")</x:f>
        <x:v>Match</x:v>
      </x:c>
      <x:c r="S92" s="30" t="str">
        <x:v>BPS-CO-2022</x:v>
      </x:c>
      <x:c r="T92" s="30" t="str">
        <x:v>raw/county/co2022a.txt</x:v>
      </x:c>
      <x:c r="U92" s="56" t="n">
        <x:v>2702</x:v>
      </x:c>
    </x:row>
    <x:row r="93" ht="21" customHeight="1">
      <x:c r="A93" s="56" t="n">
        <x:v>2023</x:v>
      </x:c>
      <x:c r="B93" s="30" t="str">
        <x:v>Beaver County</x:v>
      </x:c>
      <x:c r="C93" s="58" t="str">
        <x:v>49001</x:v>
      </x:c>
      <x:c r="D93" s="47" t="n">
        <x:v>37</x:v>
      </x:c>
      <x:c r="E93" s="47" t="n">
        <x:v>0</x:v>
      </x:c>
      <x:c r="F93" s="47" t="n">
        <x:v>0</x:v>
      </x:c>
      <x:c r="G93" s="47" t="n">
        <x:v>0</x:v>
      </x:c>
      <x:c r="H93" s="47" t="n">
        <x:f>SUM(D93:G93)</x:f>
        <x:v>37</x:v>
      </x:c>
      <x:c r="I93" s="47" t="n">
        <x:f>SUMIFS('County annual'!$H$6:$H$179,'County annual'!$C$6:$C$179,$C93,'County annual'!$A$6:$A$179,$A93)</x:f>
        <x:v>37</x:v>
      </x:c>
      <x:c r="J93" s="47" t="n">
        <x:f>I93-H93</x:f>
        <x:v>0</x:v>
      </x:c>
      <x:c r="K93" s="62" t="n">
        <x:v>13156727</x:v>
      </x:c>
      <x:c r="L93" s="62" t="n">
        <x:f>SUMIFS('County annual'!$J$6:$J$179,'County annual'!$C$6:$C$179,$C93,'County annual'!$A$6:$A$179,$A93)</x:f>
        <x:v>13156727</x:v>
      </x:c>
      <x:c r="M93" s="62" t="n">
        <x:f>L93-K93</x:f>
        <x:v>0</x:v>
      </x:c>
      <x:c r="N93" s="47" t="n">
        <x:v>37</x:v>
      </x:c>
      <x:c r="O93" s="47" t="n">
        <x:f>SUMIFS('County annual'!$K$6:$K$179,'County annual'!$C$6:$C$179,$C93,'County annual'!$A$6:$A$179,$A93)</x:f>
        <x:v>37</x:v>
      </x:c>
      <x:c r="P93" s="47" t="n">
        <x:f>O93-N93</x:f>
        <x:v>0</x:v>
      </x:c>
      <x:c r="Q93" s="47" t="n">
        <x:f>IF(SUMIFS('County annual'!$D$6:$D$179,'County annual'!$C$6:$C$179,$C93,'County annual'!$A$6:$A$179,$A93)=D93,0,1)+IF(SUMIFS('County annual'!$E$6:$E$179,'County annual'!$C$6:$C$179,$C93,'County annual'!$A$6:$A$179,$A93)=E93,0,1)+IF(SUMIFS('County annual'!$F$6:$F$179,'County annual'!$C$6:$C$179,$C93,'County annual'!$A$6:$A$179,$A93)=F93,0,1)+IF(SUMIFS('County annual'!$G$6:$G$179,'County annual'!$C$6:$C$179,$C93,'County annual'!$A$6:$A$179,$A93)=G93,0,1)</x:f>
        <x:v>0</x:v>
      </x:c>
      <x:c r="R93" s="30" t="str">
        <x:f>IF(AND(J93=0,M93=0,P93=0,Q93=0),"Match","Mismatch")</x:f>
        <x:v>Match</x:v>
      </x:c>
      <x:c r="S93" s="30" t="str">
        <x:v>BPS-CO-2023</x:v>
      </x:c>
      <x:c r="T93" s="30" t="str">
        <x:v>raw/county/co2023a.txt</x:v>
      </x:c>
      <x:c r="U93" s="56" t="n">
        <x:v>2670</x:v>
      </x:c>
    </x:row>
    <x:row r="94" ht="21" customHeight="1">
      <x:c r="A94" s="56" t="n">
        <x:v>2023</x:v>
      </x:c>
      <x:c r="B94" s="30" t="str">
        <x:v>Box Elder County</x:v>
      </x:c>
      <x:c r="C94" s="58" t="str">
        <x:v>49003</x:v>
      </x:c>
      <x:c r="D94" s="47" t="n">
        <x:v>238</x:v>
      </x:c>
      <x:c r="E94" s="47" t="n">
        <x:v>0</x:v>
      </x:c>
      <x:c r="F94" s="47" t="n">
        <x:v>4</x:v>
      </x:c>
      <x:c r="G94" s="47" t="n">
        <x:v>28</x:v>
      </x:c>
      <x:c r="H94" s="47" t="n">
        <x:f>SUM(D94:G94)</x:f>
        <x:v>270</x:v>
      </x:c>
      <x:c r="I94" s="47" t="n">
        <x:f>SUMIFS('County annual'!$H$6:$H$179,'County annual'!$C$6:$C$179,$C94,'County annual'!$A$6:$A$179,$A94)</x:f>
        <x:v>270</x:v>
      </x:c>
      <x:c r="J94" s="47" t="n">
        <x:f>I94-H94</x:f>
        <x:v>0</x:v>
      </x:c>
      <x:c r="K94" s="62" t="n">
        <x:v>75180482</x:v>
      </x:c>
      <x:c r="L94" s="62" t="n">
        <x:f>SUMIFS('County annual'!$J$6:$J$179,'County annual'!$C$6:$C$179,$C94,'County annual'!$A$6:$A$179,$A94)</x:f>
        <x:v>75180482</x:v>
      </x:c>
      <x:c r="M94" s="62" t="n">
        <x:f>L94-K94</x:f>
        <x:v>0</x:v>
      </x:c>
      <x:c r="N94" s="47" t="n">
        <x:v>212</x:v>
      </x:c>
      <x:c r="O94" s="47" t="n">
        <x:f>SUMIFS('County annual'!$K$6:$K$179,'County annual'!$C$6:$C$179,$C94,'County annual'!$A$6:$A$179,$A94)</x:f>
        <x:v>212</x:v>
      </x:c>
      <x:c r="P94" s="47" t="n">
        <x:f>O94-N94</x:f>
        <x:v>0</x:v>
      </x:c>
      <x:c r="Q94" s="47" t="n">
        <x:f>IF(SUMIFS('County annual'!$D$6:$D$179,'County annual'!$C$6:$C$179,$C94,'County annual'!$A$6:$A$179,$A94)=D94,0,1)+IF(SUMIFS('County annual'!$E$6:$E$179,'County annual'!$C$6:$C$179,$C94,'County annual'!$A$6:$A$179,$A94)=E94,0,1)+IF(SUMIFS('County annual'!$F$6:$F$179,'County annual'!$C$6:$C$179,$C94,'County annual'!$A$6:$A$179,$A94)=F94,0,1)+IF(SUMIFS('County annual'!$G$6:$G$179,'County annual'!$C$6:$C$179,$C94,'County annual'!$A$6:$A$179,$A94)=G94,0,1)</x:f>
        <x:v>0</x:v>
      </x:c>
      <x:c r="R94" s="30" t="str">
        <x:f>IF(AND(J94=0,M94=0,P94=0,Q94=0),"Match","Mismatch")</x:f>
        <x:v>Match</x:v>
      </x:c>
      <x:c r="S94" s="30" t="str">
        <x:v>BPS-CO-2023</x:v>
      </x:c>
      <x:c r="T94" s="30" t="str">
        <x:v>raw/county/co2023a.txt</x:v>
      </x:c>
      <x:c r="U94" s="56" t="n">
        <x:v>2671</x:v>
      </x:c>
    </x:row>
    <x:row r="95" ht="21" customHeight="1">
      <x:c r="A95" s="56" t="n">
        <x:v>2023</x:v>
      </x:c>
      <x:c r="B95" s="30" t="str">
        <x:v>Cache County</x:v>
      </x:c>
      <x:c r="C95" s="58" t="str">
        <x:v>49005</x:v>
      </x:c>
      <x:c r="D95" s="47" t="n">
        <x:v>610</x:v>
      </x:c>
      <x:c r="E95" s="47" t="n">
        <x:v>4</x:v>
      </x:c>
      <x:c r="F95" s="47" t="n">
        <x:v>4</x:v>
      </x:c>
      <x:c r="G95" s="47" t="n">
        <x:v>339</x:v>
      </x:c>
      <x:c r="H95" s="47" t="n">
        <x:f>SUM(D95:G95)</x:f>
        <x:v>957</x:v>
      </x:c>
      <x:c r="I95" s="47" t="n">
        <x:f>SUMIFS('County annual'!$H$6:$H$179,'County annual'!$C$6:$C$179,$C95,'County annual'!$A$6:$A$179,$A95)</x:f>
        <x:v>957</x:v>
      </x:c>
      <x:c r="J95" s="47" t="n">
        <x:f>I95-H95</x:f>
        <x:v>0</x:v>
      </x:c>
      <x:c r="K95" s="62" t="n">
        <x:v>301319618</x:v>
      </x:c>
      <x:c r="L95" s="62" t="n">
        <x:f>SUMIFS('County annual'!$J$6:$J$179,'County annual'!$C$6:$C$179,$C95,'County annual'!$A$6:$A$179,$A95)</x:f>
        <x:v>301319618</x:v>
      </x:c>
      <x:c r="M95" s="62" t="n">
        <x:f>L95-K95</x:f>
        <x:v>0</x:v>
      </x:c>
      <x:c r="N95" s="47" t="n">
        <x:v>950</x:v>
      </x:c>
      <x:c r="O95" s="47" t="n">
        <x:f>SUMIFS('County annual'!$K$6:$K$179,'County annual'!$C$6:$C$179,$C95,'County annual'!$A$6:$A$179,$A95)</x:f>
        <x:v>950</x:v>
      </x:c>
      <x:c r="P95" s="47" t="n">
        <x:f>O95-N95</x:f>
        <x:v>0</x:v>
      </x:c>
      <x:c r="Q95" s="47" t="n">
        <x:f>IF(SUMIFS('County annual'!$D$6:$D$179,'County annual'!$C$6:$C$179,$C95,'County annual'!$A$6:$A$179,$A95)=D95,0,1)+IF(SUMIFS('County annual'!$E$6:$E$179,'County annual'!$C$6:$C$179,$C95,'County annual'!$A$6:$A$179,$A95)=E95,0,1)+IF(SUMIFS('County annual'!$F$6:$F$179,'County annual'!$C$6:$C$179,$C95,'County annual'!$A$6:$A$179,$A95)=F95,0,1)+IF(SUMIFS('County annual'!$G$6:$G$179,'County annual'!$C$6:$C$179,$C95,'County annual'!$A$6:$A$179,$A95)=G95,0,1)</x:f>
        <x:v>0</x:v>
      </x:c>
      <x:c r="R95" s="30" t="str">
        <x:f>IF(AND(J95=0,M95=0,P95=0,Q95=0),"Match","Mismatch")</x:f>
        <x:v>Match</x:v>
      </x:c>
      <x:c r="S95" s="30" t="str">
        <x:v>BPS-CO-2023</x:v>
      </x:c>
      <x:c r="T95" s="30" t="str">
        <x:v>raw/county/co2023a.txt</x:v>
      </x:c>
      <x:c r="U95" s="56" t="n">
        <x:v>2672</x:v>
      </x:c>
    </x:row>
    <x:row r="96" ht="21" customHeight="1">
      <x:c r="A96" s="56" t="n">
        <x:v>2023</x:v>
      </x:c>
      <x:c r="B96" s="30" t="str">
        <x:v>Carbon County</x:v>
      </x:c>
      <x:c r="C96" s="58" t="str">
        <x:v>49007</x:v>
      </x:c>
      <x:c r="D96" s="47" t="n">
        <x:v>41</x:v>
      </x:c>
      <x:c r="E96" s="47" t="n">
        <x:v>0</x:v>
      </x:c>
      <x:c r="F96" s="47" t="n">
        <x:v>0</x:v>
      </x:c>
      <x:c r="G96" s="47" t="n">
        <x:v>0</x:v>
      </x:c>
      <x:c r="H96" s="47" t="n">
        <x:f>SUM(D96:G96)</x:f>
        <x:v>41</x:v>
      </x:c>
      <x:c r="I96" s="47" t="n">
        <x:f>SUMIFS('County annual'!$H$6:$H$179,'County annual'!$C$6:$C$179,$C96,'County annual'!$A$6:$A$179,$A96)</x:f>
        <x:v>41</x:v>
      </x:c>
      <x:c r="J96" s="47" t="n">
        <x:f>I96-H96</x:f>
        <x:v>0</x:v>
      </x:c>
      <x:c r="K96" s="62" t="n">
        <x:v>17619642</x:v>
      </x:c>
      <x:c r="L96" s="62" t="n">
        <x:f>SUMIFS('County annual'!$J$6:$J$179,'County annual'!$C$6:$C$179,$C96,'County annual'!$A$6:$A$179,$A96)</x:f>
        <x:v>17619642</x:v>
      </x:c>
      <x:c r="M96" s="62" t="n">
        <x:f>L96-K96</x:f>
        <x:v>0</x:v>
      </x:c>
      <x:c r="N96" s="47" t="n">
        <x:v>41</x:v>
      </x:c>
      <x:c r="O96" s="47" t="n">
        <x:f>SUMIFS('County annual'!$K$6:$K$179,'County annual'!$C$6:$C$179,$C96,'County annual'!$A$6:$A$179,$A96)</x:f>
        <x:v>41</x:v>
      </x:c>
      <x:c r="P96" s="47" t="n">
        <x:f>O96-N96</x:f>
        <x:v>0</x:v>
      </x:c>
      <x:c r="Q96" s="47" t="n">
        <x:f>IF(SUMIFS('County annual'!$D$6:$D$179,'County annual'!$C$6:$C$179,$C96,'County annual'!$A$6:$A$179,$A96)=D96,0,1)+IF(SUMIFS('County annual'!$E$6:$E$179,'County annual'!$C$6:$C$179,$C96,'County annual'!$A$6:$A$179,$A96)=E96,0,1)+IF(SUMIFS('County annual'!$F$6:$F$179,'County annual'!$C$6:$C$179,$C96,'County annual'!$A$6:$A$179,$A96)=F96,0,1)+IF(SUMIFS('County annual'!$G$6:$G$179,'County annual'!$C$6:$C$179,$C96,'County annual'!$A$6:$A$179,$A96)=G96,0,1)</x:f>
        <x:v>0</x:v>
      </x:c>
      <x:c r="R96" s="30" t="str">
        <x:f>IF(AND(J96=0,M96=0,P96=0,Q96=0),"Match","Mismatch")</x:f>
        <x:v>Match</x:v>
      </x:c>
      <x:c r="S96" s="30" t="str">
        <x:v>BPS-CO-2023</x:v>
      </x:c>
      <x:c r="T96" s="30" t="str">
        <x:v>raw/county/co2023a.txt</x:v>
      </x:c>
      <x:c r="U96" s="56" t="n">
        <x:v>2673</x:v>
      </x:c>
    </x:row>
    <x:row r="97" ht="21" customHeight="1">
      <x:c r="A97" s="56" t="n">
        <x:v>2023</x:v>
      </x:c>
      <x:c r="B97" s="30" t="str">
        <x:v>Daggett County</x:v>
      </x:c>
      <x:c r="C97" s="58" t="str">
        <x:v>49009</x:v>
      </x:c>
      <x:c r="D97" s="47" t="n">
        <x:v>20</x:v>
      </x:c>
      <x:c r="E97" s="47" t="n">
        <x:v>0</x:v>
      </x:c>
      <x:c r="F97" s="47" t="n">
        <x:v>0</x:v>
      </x:c>
      <x:c r="G97" s="47" t="n">
        <x:v>0</x:v>
      </x:c>
      <x:c r="H97" s="47" t="n">
        <x:f>SUM(D97:G97)</x:f>
        <x:v>20</x:v>
      </x:c>
      <x:c r="I97" s="47" t="n">
        <x:f>SUMIFS('County annual'!$H$6:$H$179,'County annual'!$C$6:$C$179,$C97,'County annual'!$A$6:$A$179,$A97)</x:f>
        <x:v>20</x:v>
      </x:c>
      <x:c r="J97" s="47" t="n">
        <x:f>I97-H97</x:f>
        <x:v>0</x:v>
      </x:c>
      <x:c r="K97" s="62" t="n">
        <x:v>6428722</x:v>
      </x:c>
      <x:c r="L97" s="62" t="n">
        <x:f>SUMIFS('County annual'!$J$6:$J$179,'County annual'!$C$6:$C$179,$C97,'County annual'!$A$6:$A$179,$A97)</x:f>
        <x:v>6428722</x:v>
      </x:c>
      <x:c r="M97" s="62" t="n">
        <x:f>L97-K97</x:f>
        <x:v>0</x:v>
      </x:c>
      <x:c r="N97" s="47" t="n">
        <x:v>11</x:v>
      </x:c>
      <x:c r="O97" s="47" t="n">
        <x:f>SUMIFS('County annual'!$K$6:$K$179,'County annual'!$C$6:$C$179,$C97,'County annual'!$A$6:$A$179,$A97)</x:f>
        <x:v>11</x:v>
      </x:c>
      <x:c r="P97" s="47" t="n">
        <x:f>O97-N97</x:f>
        <x:v>0</x:v>
      </x:c>
      <x:c r="Q97" s="47" t="n">
        <x:f>IF(SUMIFS('County annual'!$D$6:$D$179,'County annual'!$C$6:$C$179,$C97,'County annual'!$A$6:$A$179,$A97)=D97,0,1)+IF(SUMIFS('County annual'!$E$6:$E$179,'County annual'!$C$6:$C$179,$C97,'County annual'!$A$6:$A$179,$A97)=E97,0,1)+IF(SUMIFS('County annual'!$F$6:$F$179,'County annual'!$C$6:$C$179,$C97,'County annual'!$A$6:$A$179,$A97)=F97,0,1)+IF(SUMIFS('County annual'!$G$6:$G$179,'County annual'!$C$6:$C$179,$C97,'County annual'!$A$6:$A$179,$A97)=G97,0,1)</x:f>
        <x:v>0</x:v>
      </x:c>
      <x:c r="R97" s="30" t="str">
        <x:f>IF(AND(J97=0,M97=0,P97=0,Q97=0),"Match","Mismatch")</x:f>
        <x:v>Match</x:v>
      </x:c>
      <x:c r="S97" s="30" t="str">
        <x:v>BPS-CO-2023</x:v>
      </x:c>
      <x:c r="T97" s="30" t="str">
        <x:v>raw/county/co2023a.txt</x:v>
      </x:c>
      <x:c r="U97" s="56" t="n">
        <x:v>2674</x:v>
      </x:c>
    </x:row>
    <x:row r="98" ht="21" customHeight="1">
      <x:c r="A98" s="56" t="n">
        <x:v>2023</x:v>
      </x:c>
      <x:c r="B98" s="30" t="str">
        <x:v>Davis County</x:v>
      </x:c>
      <x:c r="C98" s="58" t="str">
        <x:v>49011</x:v>
      </x:c>
      <x:c r="D98" s="47" t="n">
        <x:v>684</x:v>
      </x:c>
      <x:c r="E98" s="47" t="n">
        <x:v>0</x:v>
      </x:c>
      <x:c r="F98" s="47" t="n">
        <x:v>35</x:v>
      </x:c>
      <x:c r="G98" s="47" t="n">
        <x:v>828</x:v>
      </x:c>
      <x:c r="H98" s="47" t="n">
        <x:f>SUM(D98:G98)</x:f>
        <x:v>1547</x:v>
      </x:c>
      <x:c r="I98" s="47" t="n">
        <x:f>SUMIFS('County annual'!$H$6:$H$179,'County annual'!$C$6:$C$179,$C98,'County annual'!$A$6:$A$179,$A98)</x:f>
        <x:v>1547</x:v>
      </x:c>
      <x:c r="J98" s="47" t="n">
        <x:f>I98-H98</x:f>
        <x:v>0</x:v>
      </x:c>
      <x:c r="K98" s="62" t="n">
        <x:v>374465911</x:v>
      </x:c>
      <x:c r="L98" s="62" t="n">
        <x:f>SUMIFS('County annual'!$J$6:$J$179,'County annual'!$C$6:$C$179,$C98,'County annual'!$A$6:$A$179,$A98)</x:f>
        <x:v>374465911</x:v>
      </x:c>
      <x:c r="M98" s="62" t="n">
        <x:f>L98-K98</x:f>
        <x:v>0</x:v>
      </x:c>
      <x:c r="N98" s="47" t="n">
        <x:v>1546</x:v>
      </x:c>
      <x:c r="O98" s="47" t="n">
        <x:f>SUMIFS('County annual'!$K$6:$K$179,'County annual'!$C$6:$C$179,$C98,'County annual'!$A$6:$A$179,$A98)</x:f>
        <x:v>1546</x:v>
      </x:c>
      <x:c r="P98" s="47" t="n">
        <x:f>O98-N98</x:f>
        <x:v>0</x:v>
      </x:c>
      <x:c r="Q98" s="47" t="n">
        <x:f>IF(SUMIFS('County annual'!$D$6:$D$179,'County annual'!$C$6:$C$179,$C98,'County annual'!$A$6:$A$179,$A98)=D98,0,1)+IF(SUMIFS('County annual'!$E$6:$E$179,'County annual'!$C$6:$C$179,$C98,'County annual'!$A$6:$A$179,$A98)=E98,0,1)+IF(SUMIFS('County annual'!$F$6:$F$179,'County annual'!$C$6:$C$179,$C98,'County annual'!$A$6:$A$179,$A98)=F98,0,1)+IF(SUMIFS('County annual'!$G$6:$G$179,'County annual'!$C$6:$C$179,$C98,'County annual'!$A$6:$A$179,$A98)=G98,0,1)</x:f>
        <x:v>0</x:v>
      </x:c>
      <x:c r="R98" s="30" t="str">
        <x:f>IF(AND(J98=0,M98=0,P98=0,Q98=0),"Match","Mismatch")</x:f>
        <x:v>Match</x:v>
      </x:c>
      <x:c r="S98" s="30" t="str">
        <x:v>BPS-CO-2023</x:v>
      </x:c>
      <x:c r="T98" s="30" t="str">
        <x:v>raw/county/co2023a.txt</x:v>
      </x:c>
      <x:c r="U98" s="56" t="n">
        <x:v>2675</x:v>
      </x:c>
    </x:row>
    <x:row r="99" ht="21" customHeight="1">
      <x:c r="A99" s="56" t="n">
        <x:v>2023</x:v>
      </x:c>
      <x:c r="B99" s="30" t="str">
        <x:v>Duchesne County</x:v>
      </x:c>
      <x:c r="C99" s="58" t="str">
        <x:v>49013</x:v>
      </x:c>
      <x:c r="D99" s="47" t="n">
        <x:v>107</x:v>
      </x:c>
      <x:c r="E99" s="47" t="n">
        <x:v>0</x:v>
      </x:c>
      <x:c r="F99" s="47" t="n">
        <x:v>6</x:v>
      </x:c>
      <x:c r="G99" s="47" t="n">
        <x:v>0</x:v>
      </x:c>
      <x:c r="H99" s="47" t="n">
        <x:f>SUM(D99:G99)</x:f>
        <x:v>113</x:v>
      </x:c>
      <x:c r="I99" s="47" t="n">
        <x:f>SUMIFS('County annual'!$H$6:$H$179,'County annual'!$C$6:$C$179,$C99,'County annual'!$A$6:$A$179,$A99)</x:f>
        <x:v>113</x:v>
      </x:c>
      <x:c r="J99" s="47" t="n">
        <x:f>I99-H99</x:f>
        <x:v>0</x:v>
      </x:c>
      <x:c r="K99" s="62" t="n">
        <x:v>33913573</x:v>
      </x:c>
      <x:c r="L99" s="62" t="n">
        <x:f>SUMIFS('County annual'!$J$6:$J$179,'County annual'!$C$6:$C$179,$C99,'County annual'!$A$6:$A$179,$A99)</x:f>
        <x:v>33913573</x:v>
      </x:c>
      <x:c r="M99" s="62" t="n">
        <x:f>L99-K99</x:f>
        <x:v>0</x:v>
      </x:c>
      <x:c r="N99" s="47" t="n">
        <x:v>58</x:v>
      </x:c>
      <x:c r="O99" s="47" t="n">
        <x:f>SUMIFS('County annual'!$K$6:$K$179,'County annual'!$C$6:$C$179,$C99,'County annual'!$A$6:$A$179,$A99)</x:f>
        <x:v>58</x:v>
      </x:c>
      <x:c r="P99" s="47" t="n">
        <x:f>O99-N99</x:f>
        <x:v>0</x:v>
      </x:c>
      <x:c r="Q99" s="47" t="n">
        <x:f>IF(SUMIFS('County annual'!$D$6:$D$179,'County annual'!$C$6:$C$179,$C99,'County annual'!$A$6:$A$179,$A99)=D99,0,1)+IF(SUMIFS('County annual'!$E$6:$E$179,'County annual'!$C$6:$C$179,$C99,'County annual'!$A$6:$A$179,$A99)=E99,0,1)+IF(SUMIFS('County annual'!$F$6:$F$179,'County annual'!$C$6:$C$179,$C99,'County annual'!$A$6:$A$179,$A99)=F99,0,1)+IF(SUMIFS('County annual'!$G$6:$G$179,'County annual'!$C$6:$C$179,$C99,'County annual'!$A$6:$A$179,$A99)=G99,0,1)</x:f>
        <x:v>0</x:v>
      </x:c>
      <x:c r="R99" s="30" t="str">
        <x:f>IF(AND(J99=0,M99=0,P99=0,Q99=0),"Match","Mismatch")</x:f>
        <x:v>Match</x:v>
      </x:c>
      <x:c r="S99" s="30" t="str">
        <x:v>BPS-CO-2023</x:v>
      </x:c>
      <x:c r="T99" s="30" t="str">
        <x:v>raw/county/co2023a.txt</x:v>
      </x:c>
      <x:c r="U99" s="56" t="n">
        <x:v>2676</x:v>
      </x:c>
    </x:row>
    <x:row r="100" ht="21" customHeight="1">
      <x:c r="A100" s="56" t="n">
        <x:v>2023</x:v>
      </x:c>
      <x:c r="B100" s="30" t="str">
        <x:v>Emery County</x:v>
      </x:c>
      <x:c r="C100" s="58" t="str">
        <x:v>49015</x:v>
      </x:c>
      <x:c r="D100" s="47" t="n">
        <x:v>43</x:v>
      </x:c>
      <x:c r="E100" s="47" t="n">
        <x:v>0</x:v>
      </x:c>
      <x:c r="F100" s="47" t="n">
        <x:v>0</x:v>
      </x:c>
      <x:c r="G100" s="47" t="n">
        <x:v>12</x:v>
      </x:c>
      <x:c r="H100" s="47" t="n">
        <x:f>SUM(D100:G100)</x:f>
        <x:v>55</x:v>
      </x:c>
      <x:c r="I100" s="47" t="n">
        <x:f>SUMIFS('County annual'!$H$6:$H$179,'County annual'!$C$6:$C$179,$C100,'County annual'!$A$6:$A$179,$A100)</x:f>
        <x:v>55</x:v>
      </x:c>
      <x:c r="J100" s="47" t="n">
        <x:f>I100-H100</x:f>
        <x:v>0</x:v>
      </x:c>
      <x:c r="K100" s="62" t="n">
        <x:v>11154505</x:v>
      </x:c>
      <x:c r="L100" s="62" t="n">
        <x:f>SUMIFS('County annual'!$J$6:$J$179,'County annual'!$C$6:$C$179,$C100,'County annual'!$A$6:$A$179,$A100)</x:f>
        <x:v>11154505</x:v>
      </x:c>
      <x:c r="M100" s="62" t="n">
        <x:f>L100-K100</x:f>
        <x:v>0</x:v>
      </x:c>
      <x:c r="N100" s="47" t="n">
        <x:v>55</x:v>
      </x:c>
      <x:c r="O100" s="47" t="n">
        <x:f>SUMIFS('County annual'!$K$6:$K$179,'County annual'!$C$6:$C$179,$C100,'County annual'!$A$6:$A$179,$A100)</x:f>
        <x:v>55</x:v>
      </x:c>
      <x:c r="P100" s="47" t="n">
        <x:f>O100-N100</x:f>
        <x:v>0</x:v>
      </x:c>
      <x:c r="Q100" s="47" t="n">
        <x:f>IF(SUMIFS('County annual'!$D$6:$D$179,'County annual'!$C$6:$C$179,$C100,'County annual'!$A$6:$A$179,$A100)=D100,0,1)+IF(SUMIFS('County annual'!$E$6:$E$179,'County annual'!$C$6:$C$179,$C100,'County annual'!$A$6:$A$179,$A100)=E100,0,1)+IF(SUMIFS('County annual'!$F$6:$F$179,'County annual'!$C$6:$C$179,$C100,'County annual'!$A$6:$A$179,$A100)=F100,0,1)+IF(SUMIFS('County annual'!$G$6:$G$179,'County annual'!$C$6:$C$179,$C100,'County annual'!$A$6:$A$179,$A100)=G100,0,1)</x:f>
        <x:v>0</x:v>
      </x:c>
      <x:c r="R100" s="30" t="str">
        <x:f>IF(AND(J100=0,M100=0,P100=0,Q100=0),"Match","Mismatch")</x:f>
        <x:v>Match</x:v>
      </x:c>
      <x:c r="S100" s="30" t="str">
        <x:v>BPS-CO-2023</x:v>
      </x:c>
      <x:c r="T100" s="30" t="str">
        <x:v>raw/county/co2023a.txt</x:v>
      </x:c>
      <x:c r="U100" s="56" t="n">
        <x:v>2677</x:v>
      </x:c>
    </x:row>
    <x:row r="101" ht="21" customHeight="1">
      <x:c r="A101" s="56" t="n">
        <x:v>2023</x:v>
      </x:c>
      <x:c r="B101" s="30" t="str">
        <x:v>Garfield County</x:v>
      </x:c>
      <x:c r="C101" s="58" t="str">
        <x:v>49017</x:v>
      </x:c>
      <x:c r="D101" s="47" t="n">
        <x:v>45</x:v>
      </x:c>
      <x:c r="E101" s="47" t="n">
        <x:v>0</x:v>
      </x:c>
      <x:c r="F101" s="47" t="n">
        <x:v>0</x:v>
      </x:c>
      <x:c r="G101" s="47" t="n">
        <x:v>8</x:v>
      </x:c>
      <x:c r="H101" s="47" t="n">
        <x:f>SUM(D101:G101)</x:f>
        <x:v>53</x:v>
      </x:c>
      <x:c r="I101" s="47" t="n">
        <x:f>SUMIFS('County annual'!$H$6:$H$179,'County annual'!$C$6:$C$179,$C101,'County annual'!$A$6:$A$179,$A101)</x:f>
        <x:v>53</x:v>
      </x:c>
      <x:c r="J101" s="47" t="n">
        <x:f>I101-H101</x:f>
        <x:v>0</x:v>
      </x:c>
      <x:c r="K101" s="62" t="n">
        <x:v>17033472</x:v>
      </x:c>
      <x:c r="L101" s="62" t="n">
        <x:f>SUMIFS('County annual'!$J$6:$J$179,'County annual'!$C$6:$C$179,$C101,'County annual'!$A$6:$A$179,$A101)</x:f>
        <x:v>17033472</x:v>
      </x:c>
      <x:c r="M101" s="62" t="n">
        <x:f>L101-K101</x:f>
        <x:v>0</x:v>
      </x:c>
      <x:c r="N101" s="47" t="n">
        <x:v>53</x:v>
      </x:c>
      <x:c r="O101" s="47" t="n">
        <x:f>SUMIFS('County annual'!$K$6:$K$179,'County annual'!$C$6:$C$179,$C101,'County annual'!$A$6:$A$179,$A101)</x:f>
        <x:v>53</x:v>
      </x:c>
      <x:c r="P101" s="47" t="n">
        <x:f>O101-N101</x:f>
        <x:v>0</x:v>
      </x:c>
      <x:c r="Q101" s="47" t="n">
        <x:f>IF(SUMIFS('County annual'!$D$6:$D$179,'County annual'!$C$6:$C$179,$C101,'County annual'!$A$6:$A$179,$A101)=D101,0,1)+IF(SUMIFS('County annual'!$E$6:$E$179,'County annual'!$C$6:$C$179,$C101,'County annual'!$A$6:$A$179,$A101)=E101,0,1)+IF(SUMIFS('County annual'!$F$6:$F$179,'County annual'!$C$6:$C$179,$C101,'County annual'!$A$6:$A$179,$A101)=F101,0,1)+IF(SUMIFS('County annual'!$G$6:$G$179,'County annual'!$C$6:$C$179,$C101,'County annual'!$A$6:$A$179,$A101)=G101,0,1)</x:f>
        <x:v>0</x:v>
      </x:c>
      <x:c r="R101" s="30" t="str">
        <x:f>IF(AND(J101=0,M101=0,P101=0,Q101=0),"Match","Mismatch")</x:f>
        <x:v>Match</x:v>
      </x:c>
      <x:c r="S101" s="30" t="str">
        <x:v>BPS-CO-2023</x:v>
      </x:c>
      <x:c r="T101" s="30" t="str">
        <x:v>raw/county/co2023a.txt</x:v>
      </x:c>
      <x:c r="U101" s="56" t="n">
        <x:v>2678</x:v>
      </x:c>
    </x:row>
    <x:row r="102" ht="21" customHeight="1">
      <x:c r="A102" s="56" t="n">
        <x:v>2023</x:v>
      </x:c>
      <x:c r="B102" s="30" t="str">
        <x:v>Grand County</x:v>
      </x:c>
      <x:c r="C102" s="58" t="str">
        <x:v>49019</x:v>
      </x:c>
      <x:c r="D102" s="47" t="n">
        <x:v>55</x:v>
      </x:c>
      <x:c r="E102" s="47" t="n">
        <x:v>10</x:v>
      </x:c>
      <x:c r="F102" s="47" t="n">
        <x:v>8</x:v>
      </x:c>
      <x:c r="G102" s="47" t="n">
        <x:v>9</x:v>
      </x:c>
      <x:c r="H102" s="47" t="n">
        <x:f>SUM(D102:G102)</x:f>
        <x:v>82</x:v>
      </x:c>
      <x:c r="I102" s="47" t="n">
        <x:f>SUMIFS('County annual'!$H$6:$H$179,'County annual'!$C$6:$C$179,$C102,'County annual'!$A$6:$A$179,$A102)</x:f>
        <x:v>82</x:v>
      </x:c>
      <x:c r="J102" s="47" t="n">
        <x:f>I102-H102</x:f>
        <x:v>0</x:v>
      </x:c>
      <x:c r="K102" s="62" t="n">
        <x:v>21863377</x:v>
      </x:c>
      <x:c r="L102" s="62" t="n">
        <x:f>SUMIFS('County annual'!$J$6:$J$179,'County annual'!$C$6:$C$179,$C102,'County annual'!$A$6:$A$179,$A102)</x:f>
        <x:v>21863377</x:v>
      </x:c>
      <x:c r="M102" s="62" t="n">
        <x:f>L102-K102</x:f>
        <x:v>0</x:v>
      </x:c>
      <x:c r="N102" s="47" t="n">
        <x:v>82</x:v>
      </x:c>
      <x:c r="O102" s="47" t="n">
        <x:f>SUMIFS('County annual'!$K$6:$K$179,'County annual'!$C$6:$C$179,$C102,'County annual'!$A$6:$A$179,$A102)</x:f>
        <x:v>82</x:v>
      </x:c>
      <x:c r="P102" s="47" t="n">
        <x:f>O102-N102</x:f>
        <x:v>0</x:v>
      </x:c>
      <x:c r="Q102" s="47" t="n">
        <x:f>IF(SUMIFS('County annual'!$D$6:$D$179,'County annual'!$C$6:$C$179,$C102,'County annual'!$A$6:$A$179,$A102)=D102,0,1)+IF(SUMIFS('County annual'!$E$6:$E$179,'County annual'!$C$6:$C$179,$C102,'County annual'!$A$6:$A$179,$A102)=E102,0,1)+IF(SUMIFS('County annual'!$F$6:$F$179,'County annual'!$C$6:$C$179,$C102,'County annual'!$A$6:$A$179,$A102)=F102,0,1)+IF(SUMIFS('County annual'!$G$6:$G$179,'County annual'!$C$6:$C$179,$C102,'County annual'!$A$6:$A$179,$A102)=G102,0,1)</x:f>
        <x:v>0</x:v>
      </x:c>
      <x:c r="R102" s="30" t="str">
        <x:f>IF(AND(J102=0,M102=0,P102=0,Q102=0),"Match","Mismatch")</x:f>
        <x:v>Match</x:v>
      </x:c>
      <x:c r="S102" s="30" t="str">
        <x:v>BPS-CO-2023</x:v>
      </x:c>
      <x:c r="T102" s="30" t="str">
        <x:v>raw/county/co2023a.txt</x:v>
      </x:c>
      <x:c r="U102" s="56" t="n">
        <x:v>2679</x:v>
      </x:c>
    </x:row>
    <x:row r="103" ht="21" customHeight="1">
      <x:c r="A103" s="56" t="n">
        <x:v>2023</x:v>
      </x:c>
      <x:c r="B103" s="30" t="str">
        <x:v>Iron County</x:v>
      </x:c>
      <x:c r="C103" s="58" t="str">
        <x:v>49021</x:v>
      </x:c>
      <x:c r="D103" s="47" t="n">
        <x:v>460</x:v>
      </x:c>
      <x:c r="E103" s="47" t="n">
        <x:v>0</x:v>
      </x:c>
      <x:c r="F103" s="47" t="n">
        <x:v>0</x:v>
      </x:c>
      <x:c r="G103" s="47" t="n">
        <x:v>0</x:v>
      </x:c>
      <x:c r="H103" s="47" t="n">
        <x:f>SUM(D103:G103)</x:f>
        <x:v>460</x:v>
      </x:c>
      <x:c r="I103" s="47" t="n">
        <x:f>SUMIFS('County annual'!$H$6:$H$179,'County annual'!$C$6:$C$179,$C103,'County annual'!$A$6:$A$179,$A103)</x:f>
        <x:v>460</x:v>
      </x:c>
      <x:c r="J103" s="47" t="n">
        <x:f>I103-H103</x:f>
        <x:v>0</x:v>
      </x:c>
      <x:c r="K103" s="62" t="n">
        <x:v>129784356</x:v>
      </x:c>
      <x:c r="L103" s="62" t="n">
        <x:f>SUMIFS('County annual'!$J$6:$J$179,'County annual'!$C$6:$C$179,$C103,'County annual'!$A$6:$A$179,$A103)</x:f>
        <x:v>129784356</x:v>
      </x:c>
      <x:c r="M103" s="62" t="n">
        <x:f>L103-K103</x:f>
        <x:v>0</x:v>
      </x:c>
      <x:c r="N103" s="47" t="n">
        <x:v>460</x:v>
      </x:c>
      <x:c r="O103" s="47" t="n">
        <x:f>SUMIFS('County annual'!$K$6:$K$179,'County annual'!$C$6:$C$179,$C103,'County annual'!$A$6:$A$179,$A103)</x:f>
        <x:v>460</x:v>
      </x:c>
      <x:c r="P103" s="47" t="n">
        <x:f>O103-N103</x:f>
        <x:v>0</x:v>
      </x:c>
      <x:c r="Q103" s="47" t="n">
        <x:f>IF(SUMIFS('County annual'!$D$6:$D$179,'County annual'!$C$6:$C$179,$C103,'County annual'!$A$6:$A$179,$A103)=D103,0,1)+IF(SUMIFS('County annual'!$E$6:$E$179,'County annual'!$C$6:$C$179,$C103,'County annual'!$A$6:$A$179,$A103)=E103,0,1)+IF(SUMIFS('County annual'!$F$6:$F$179,'County annual'!$C$6:$C$179,$C103,'County annual'!$A$6:$A$179,$A103)=F103,0,1)+IF(SUMIFS('County annual'!$G$6:$G$179,'County annual'!$C$6:$C$179,$C103,'County annual'!$A$6:$A$179,$A103)=G103,0,1)</x:f>
        <x:v>0</x:v>
      </x:c>
      <x:c r="R103" s="30" t="str">
        <x:f>IF(AND(J103=0,M103=0,P103=0,Q103=0),"Match","Mismatch")</x:f>
        <x:v>Match</x:v>
      </x:c>
      <x:c r="S103" s="30" t="str">
        <x:v>BPS-CO-2023</x:v>
      </x:c>
      <x:c r="T103" s="30" t="str">
        <x:v>raw/county/co2023a.txt</x:v>
      </x:c>
      <x:c r="U103" s="56" t="n">
        <x:v>2680</x:v>
      </x:c>
    </x:row>
    <x:row r="104" ht="21" customHeight="1">
      <x:c r="A104" s="56" t="n">
        <x:v>2023</x:v>
      </x:c>
      <x:c r="B104" s="30" t="str">
        <x:v>Juab County</x:v>
      </x:c>
      <x:c r="C104" s="58" t="str">
        <x:v>49023</x:v>
      </x:c>
      <x:c r="D104" s="47" t="n">
        <x:v>88</x:v>
      </x:c>
      <x:c r="E104" s="47" t="n">
        <x:v>0</x:v>
      </x:c>
      <x:c r="F104" s="47" t="n">
        <x:v>26</x:v>
      </x:c>
      <x:c r="G104" s="47" t="n">
        <x:v>31</x:v>
      </x:c>
      <x:c r="H104" s="47" t="n">
        <x:f>SUM(D104:G104)</x:f>
        <x:v>145</x:v>
      </x:c>
      <x:c r="I104" s="47" t="n">
        <x:f>SUMIFS('County annual'!$H$6:$H$179,'County annual'!$C$6:$C$179,$C104,'County annual'!$A$6:$A$179,$A104)</x:f>
        <x:v>145</x:v>
      </x:c>
      <x:c r="J104" s="47" t="n">
        <x:f>I104-H104</x:f>
        <x:v>0</x:v>
      </x:c>
      <x:c r="K104" s="62" t="n">
        <x:v>36341652</x:v>
      </x:c>
      <x:c r="L104" s="62" t="n">
        <x:f>SUMIFS('County annual'!$J$6:$J$179,'County annual'!$C$6:$C$179,$C104,'County annual'!$A$6:$A$179,$A104)</x:f>
        <x:v>36341652</x:v>
      </x:c>
      <x:c r="M104" s="62" t="n">
        <x:f>L104-K104</x:f>
        <x:v>0</x:v>
      </x:c>
      <x:c r="N104" s="47" t="n">
        <x:v>145</x:v>
      </x:c>
      <x:c r="O104" s="47" t="n">
        <x:f>SUMIFS('County annual'!$K$6:$K$179,'County annual'!$C$6:$C$179,$C104,'County annual'!$A$6:$A$179,$A104)</x:f>
        <x:v>145</x:v>
      </x:c>
      <x:c r="P104" s="47" t="n">
        <x:f>O104-N104</x:f>
        <x:v>0</x:v>
      </x:c>
      <x:c r="Q104" s="47" t="n">
        <x:f>IF(SUMIFS('County annual'!$D$6:$D$179,'County annual'!$C$6:$C$179,$C104,'County annual'!$A$6:$A$179,$A104)=D104,0,1)+IF(SUMIFS('County annual'!$E$6:$E$179,'County annual'!$C$6:$C$179,$C104,'County annual'!$A$6:$A$179,$A104)=E104,0,1)+IF(SUMIFS('County annual'!$F$6:$F$179,'County annual'!$C$6:$C$179,$C104,'County annual'!$A$6:$A$179,$A104)=F104,0,1)+IF(SUMIFS('County annual'!$G$6:$G$179,'County annual'!$C$6:$C$179,$C104,'County annual'!$A$6:$A$179,$A104)=G104,0,1)</x:f>
        <x:v>0</x:v>
      </x:c>
      <x:c r="R104" s="30" t="str">
        <x:f>IF(AND(J104=0,M104=0,P104=0,Q104=0),"Match","Mismatch")</x:f>
        <x:v>Match</x:v>
      </x:c>
      <x:c r="S104" s="30" t="str">
        <x:v>BPS-CO-2023</x:v>
      </x:c>
      <x:c r="T104" s="30" t="str">
        <x:v>raw/county/co2023a.txt</x:v>
      </x:c>
      <x:c r="U104" s="56" t="n">
        <x:v>2681</x:v>
      </x:c>
    </x:row>
    <x:row r="105" ht="21" customHeight="1">
      <x:c r="A105" s="56" t="n">
        <x:v>2023</x:v>
      </x:c>
      <x:c r="B105" s="30" t="str">
        <x:v>Kane County</x:v>
      </x:c>
      <x:c r="C105" s="58" t="str">
        <x:v>49025</x:v>
      </x:c>
      <x:c r="D105" s="47" t="n">
        <x:v>153</x:v>
      </x:c>
      <x:c r="E105" s="47" t="n">
        <x:v>0</x:v>
      </x:c>
      <x:c r="F105" s="47" t="n">
        <x:v>0</x:v>
      </x:c>
      <x:c r="G105" s="47" t="n">
        <x:v>0</x:v>
      </x:c>
      <x:c r="H105" s="47" t="n">
        <x:f>SUM(D105:G105)</x:f>
        <x:v>153</x:v>
      </x:c>
      <x:c r="I105" s="47" t="n">
        <x:f>SUMIFS('County annual'!$H$6:$H$179,'County annual'!$C$6:$C$179,$C105,'County annual'!$A$6:$A$179,$A105)</x:f>
        <x:v>153</x:v>
      </x:c>
      <x:c r="J105" s="47" t="n">
        <x:f>I105-H105</x:f>
        <x:v>0</x:v>
      </x:c>
      <x:c r="K105" s="62" t="n">
        <x:v>35948218</x:v>
      </x:c>
      <x:c r="L105" s="62" t="n">
        <x:f>SUMIFS('County annual'!$J$6:$J$179,'County annual'!$C$6:$C$179,$C105,'County annual'!$A$6:$A$179,$A105)</x:f>
        <x:v>35948218</x:v>
      </x:c>
      <x:c r="M105" s="62" t="n">
        <x:f>L105-K105</x:f>
        <x:v>0</x:v>
      </x:c>
      <x:c r="N105" s="47" t="n">
        <x:v>129</x:v>
      </x:c>
      <x:c r="O105" s="47" t="n">
        <x:f>SUMIFS('County annual'!$K$6:$K$179,'County annual'!$C$6:$C$179,$C105,'County annual'!$A$6:$A$179,$A105)</x:f>
        <x:v>129</x:v>
      </x:c>
      <x:c r="P105" s="47" t="n">
        <x:f>O105-N105</x:f>
        <x:v>0</x:v>
      </x:c>
      <x:c r="Q105" s="47" t="n">
        <x:f>IF(SUMIFS('County annual'!$D$6:$D$179,'County annual'!$C$6:$C$179,$C105,'County annual'!$A$6:$A$179,$A105)=D105,0,1)+IF(SUMIFS('County annual'!$E$6:$E$179,'County annual'!$C$6:$C$179,$C105,'County annual'!$A$6:$A$179,$A105)=E105,0,1)+IF(SUMIFS('County annual'!$F$6:$F$179,'County annual'!$C$6:$C$179,$C105,'County annual'!$A$6:$A$179,$A105)=F105,0,1)+IF(SUMIFS('County annual'!$G$6:$G$179,'County annual'!$C$6:$C$179,$C105,'County annual'!$A$6:$A$179,$A105)=G105,0,1)</x:f>
        <x:v>0</x:v>
      </x:c>
      <x:c r="R105" s="30" t="str">
        <x:f>IF(AND(J105=0,M105=0,P105=0,Q105=0),"Match","Mismatch")</x:f>
        <x:v>Match</x:v>
      </x:c>
      <x:c r="S105" s="30" t="str">
        <x:v>BPS-CO-2023</x:v>
      </x:c>
      <x:c r="T105" s="30" t="str">
        <x:v>raw/county/co2023a.txt</x:v>
      </x:c>
      <x:c r="U105" s="56" t="n">
        <x:v>2682</x:v>
      </x:c>
    </x:row>
    <x:row r="106" ht="21" customHeight="1">
      <x:c r="A106" s="56" t="n">
        <x:v>2023</x:v>
      </x:c>
      <x:c r="B106" s="30" t="str">
        <x:v>Millard County</x:v>
      </x:c>
      <x:c r="C106" s="58" t="str">
        <x:v>49027</x:v>
      </x:c>
      <x:c r="D106" s="47" t="n">
        <x:v>57</x:v>
      </x:c>
      <x:c r="E106" s="47" t="n">
        <x:v>12</x:v>
      </x:c>
      <x:c r="F106" s="47" t="n">
        <x:v>19</x:v>
      </x:c>
      <x:c r="G106" s="47" t="n">
        <x:v>6</x:v>
      </x:c>
      <x:c r="H106" s="47" t="n">
        <x:f>SUM(D106:G106)</x:f>
        <x:v>94</x:v>
      </x:c>
      <x:c r="I106" s="47" t="n">
        <x:f>SUMIFS('County annual'!$H$6:$H$179,'County annual'!$C$6:$C$179,$C106,'County annual'!$A$6:$A$179,$A106)</x:f>
        <x:v>94</x:v>
      </x:c>
      <x:c r="J106" s="47" t="n">
        <x:f>I106-H106</x:f>
        <x:v>0</x:v>
      </x:c>
      <x:c r="K106" s="62" t="n">
        <x:v>17332597</x:v>
      </x:c>
      <x:c r="L106" s="62" t="n">
        <x:f>SUMIFS('County annual'!$J$6:$J$179,'County annual'!$C$6:$C$179,$C106,'County annual'!$A$6:$A$179,$A106)</x:f>
        <x:v>17332597</x:v>
      </x:c>
      <x:c r="M106" s="62" t="n">
        <x:f>L106-K106</x:f>
        <x:v>0</x:v>
      </x:c>
      <x:c r="N106" s="47" t="n">
        <x:v>93</x:v>
      </x:c>
      <x:c r="O106" s="47" t="n">
        <x:f>SUMIFS('County annual'!$K$6:$K$179,'County annual'!$C$6:$C$179,$C106,'County annual'!$A$6:$A$179,$A106)</x:f>
        <x:v>93</x:v>
      </x:c>
      <x:c r="P106" s="47" t="n">
        <x:f>O106-N106</x:f>
        <x:v>0</x:v>
      </x:c>
      <x:c r="Q106" s="47" t="n">
        <x:f>IF(SUMIFS('County annual'!$D$6:$D$179,'County annual'!$C$6:$C$179,$C106,'County annual'!$A$6:$A$179,$A106)=D106,0,1)+IF(SUMIFS('County annual'!$E$6:$E$179,'County annual'!$C$6:$C$179,$C106,'County annual'!$A$6:$A$179,$A106)=E106,0,1)+IF(SUMIFS('County annual'!$F$6:$F$179,'County annual'!$C$6:$C$179,$C106,'County annual'!$A$6:$A$179,$A106)=F106,0,1)+IF(SUMIFS('County annual'!$G$6:$G$179,'County annual'!$C$6:$C$179,$C106,'County annual'!$A$6:$A$179,$A106)=G106,0,1)</x:f>
        <x:v>0</x:v>
      </x:c>
      <x:c r="R106" s="30" t="str">
        <x:f>IF(AND(J106=0,M106=0,P106=0,Q106=0),"Match","Mismatch")</x:f>
        <x:v>Match</x:v>
      </x:c>
      <x:c r="S106" s="30" t="str">
        <x:v>BPS-CO-2023</x:v>
      </x:c>
      <x:c r="T106" s="30" t="str">
        <x:v>raw/county/co2023a.txt</x:v>
      </x:c>
      <x:c r="U106" s="56" t="n">
        <x:v>2683</x:v>
      </x:c>
    </x:row>
    <x:row r="107" ht="21" customHeight="1">
      <x:c r="A107" s="56" t="n">
        <x:v>2023</x:v>
      </x:c>
      <x:c r="B107" s="30" t="str">
        <x:v>Morgan County</x:v>
      </x:c>
      <x:c r="C107" s="58" t="str">
        <x:v>49029</x:v>
      </x:c>
      <x:c r="D107" s="47" t="n">
        <x:v>73</x:v>
      </x:c>
      <x:c r="E107" s="47" t="n">
        <x:v>0</x:v>
      </x:c>
      <x:c r="F107" s="47" t="n">
        <x:v>37</x:v>
      </x:c>
      <x:c r="G107" s="47" t="n">
        <x:v>33</x:v>
      </x:c>
      <x:c r="H107" s="47" t="n">
        <x:f>SUM(D107:G107)</x:f>
        <x:v>143</x:v>
      </x:c>
      <x:c r="I107" s="47" t="n">
        <x:f>SUMIFS('County annual'!$H$6:$H$179,'County annual'!$C$6:$C$179,$C107,'County annual'!$A$6:$A$179,$A107)</x:f>
        <x:v>143</x:v>
      </x:c>
      <x:c r="J107" s="47" t="n">
        <x:f>I107-H107</x:f>
        <x:v>0</x:v>
      </x:c>
      <x:c r="K107" s="62" t="n">
        <x:v>34779224</x:v>
      </x:c>
      <x:c r="L107" s="62" t="n">
        <x:f>SUMIFS('County annual'!$J$6:$J$179,'County annual'!$C$6:$C$179,$C107,'County annual'!$A$6:$A$179,$A107)</x:f>
        <x:v>34779224</x:v>
      </x:c>
      <x:c r="M107" s="62" t="n">
        <x:f>L107-K107</x:f>
        <x:v>0</x:v>
      </x:c>
      <x:c r="N107" s="47" t="n">
        <x:v>143</x:v>
      </x:c>
      <x:c r="O107" s="47" t="n">
        <x:f>SUMIFS('County annual'!$K$6:$K$179,'County annual'!$C$6:$C$179,$C107,'County annual'!$A$6:$A$179,$A107)</x:f>
        <x:v>143</x:v>
      </x:c>
      <x:c r="P107" s="47" t="n">
        <x:f>O107-N107</x:f>
        <x:v>0</x:v>
      </x:c>
      <x:c r="Q107" s="47" t="n">
        <x:f>IF(SUMIFS('County annual'!$D$6:$D$179,'County annual'!$C$6:$C$179,$C107,'County annual'!$A$6:$A$179,$A107)=D107,0,1)+IF(SUMIFS('County annual'!$E$6:$E$179,'County annual'!$C$6:$C$179,$C107,'County annual'!$A$6:$A$179,$A107)=E107,0,1)+IF(SUMIFS('County annual'!$F$6:$F$179,'County annual'!$C$6:$C$179,$C107,'County annual'!$A$6:$A$179,$A107)=F107,0,1)+IF(SUMIFS('County annual'!$G$6:$G$179,'County annual'!$C$6:$C$179,$C107,'County annual'!$A$6:$A$179,$A107)=G107,0,1)</x:f>
        <x:v>0</x:v>
      </x:c>
      <x:c r="R107" s="30" t="str">
        <x:f>IF(AND(J107=0,M107=0,P107=0,Q107=0),"Match","Mismatch")</x:f>
        <x:v>Match</x:v>
      </x:c>
      <x:c r="S107" s="30" t="str">
        <x:v>BPS-CO-2023</x:v>
      </x:c>
      <x:c r="T107" s="30" t="str">
        <x:v>raw/county/co2023a.txt</x:v>
      </x:c>
      <x:c r="U107" s="56" t="n">
        <x:v>2684</x:v>
      </x:c>
    </x:row>
    <x:row r="108" ht="21" customHeight="1">
      <x:c r="A108" s="56" t="n">
        <x:v>2023</x:v>
      </x:c>
      <x:c r="B108" s="30" t="str">
        <x:v>Piute County</x:v>
      </x:c>
      <x:c r="C108" s="58" t="str">
        <x:v>49031</x:v>
      </x:c>
      <x:c r="D108" s="47" t="n">
        <x:v>25</x:v>
      </x:c>
      <x:c r="E108" s="47" t="n">
        <x:v>0</x:v>
      </x:c>
      <x:c r="F108" s="47" t="n">
        <x:v>0</x:v>
      </x:c>
      <x:c r="G108" s="47" t="n">
        <x:v>0</x:v>
      </x:c>
      <x:c r="H108" s="47" t="n">
        <x:f>SUM(D108:G108)</x:f>
        <x:v>25</x:v>
      </x:c>
      <x:c r="I108" s="47" t="n">
        <x:f>SUMIFS('County annual'!$H$6:$H$179,'County annual'!$C$6:$C$179,$C108,'County annual'!$A$6:$A$179,$A108)</x:f>
        <x:v>25</x:v>
      </x:c>
      <x:c r="J108" s="47" t="n">
        <x:f>I108-H108</x:f>
        <x:v>0</x:v>
      </x:c>
      <x:c r="K108" s="62" t="n">
        <x:v>3956100</x:v>
      </x:c>
      <x:c r="L108" s="62" t="n">
        <x:f>SUMIFS('County annual'!$J$6:$J$179,'County annual'!$C$6:$C$179,$C108,'County annual'!$A$6:$A$179,$A108)</x:f>
        <x:v>3956100</x:v>
      </x:c>
      <x:c r="M108" s="62" t="n">
        <x:f>L108-K108</x:f>
        <x:v>0</x:v>
      </x:c>
      <x:c r="N108" s="47" t="n">
        <x:v>1</x:v>
      </x:c>
      <x:c r="O108" s="47" t="n">
        <x:f>SUMIFS('County annual'!$K$6:$K$179,'County annual'!$C$6:$C$179,$C108,'County annual'!$A$6:$A$179,$A108)</x:f>
        <x:v>1</x:v>
      </x:c>
      <x:c r="P108" s="47" t="n">
        <x:f>O108-N108</x:f>
        <x:v>0</x:v>
      </x:c>
      <x:c r="Q108" s="47" t="n">
        <x:f>IF(SUMIFS('County annual'!$D$6:$D$179,'County annual'!$C$6:$C$179,$C108,'County annual'!$A$6:$A$179,$A108)=D108,0,1)+IF(SUMIFS('County annual'!$E$6:$E$179,'County annual'!$C$6:$C$179,$C108,'County annual'!$A$6:$A$179,$A108)=E108,0,1)+IF(SUMIFS('County annual'!$F$6:$F$179,'County annual'!$C$6:$C$179,$C108,'County annual'!$A$6:$A$179,$A108)=F108,0,1)+IF(SUMIFS('County annual'!$G$6:$G$179,'County annual'!$C$6:$C$179,$C108,'County annual'!$A$6:$A$179,$A108)=G108,0,1)</x:f>
        <x:v>0</x:v>
      </x:c>
      <x:c r="R108" s="30" t="str">
        <x:f>IF(AND(J108=0,M108=0,P108=0,Q108=0),"Match","Mismatch")</x:f>
        <x:v>Match</x:v>
      </x:c>
      <x:c r="S108" s="30" t="str">
        <x:v>BPS-CO-2023</x:v>
      </x:c>
      <x:c r="T108" s="30" t="str">
        <x:v>raw/county/co2023a.txt</x:v>
      </x:c>
      <x:c r="U108" s="56" t="n">
        <x:v>2685</x:v>
      </x:c>
    </x:row>
    <x:row r="109" ht="21" customHeight="1">
      <x:c r="A109" s="56" t="n">
        <x:v>2023</x:v>
      </x:c>
      <x:c r="B109" s="30" t="str">
        <x:v>Rich County</x:v>
      </x:c>
      <x:c r="C109" s="58" t="str">
        <x:v>49033</x:v>
      </x:c>
      <x:c r="D109" s="47" t="n">
        <x:v>53</x:v>
      </x:c>
      <x:c r="E109" s="47" t="n">
        <x:v>0</x:v>
      </x:c>
      <x:c r="F109" s="47" t="n">
        <x:v>0</x:v>
      </x:c>
      <x:c r="G109" s="47" t="n">
        <x:v>0</x:v>
      </x:c>
      <x:c r="H109" s="47" t="n">
        <x:f>SUM(D109:G109)</x:f>
        <x:v>53</x:v>
      </x:c>
      <x:c r="I109" s="47" t="n">
        <x:f>SUMIFS('County annual'!$H$6:$H$179,'County annual'!$C$6:$C$179,$C109,'County annual'!$A$6:$A$179,$A109)</x:f>
        <x:v>53</x:v>
      </x:c>
      <x:c r="J109" s="47" t="n">
        <x:f>I109-H109</x:f>
        <x:v>0</x:v>
      </x:c>
      <x:c r="K109" s="62" t="n">
        <x:v>22822120</x:v>
      </x:c>
      <x:c r="L109" s="62" t="n">
        <x:f>SUMIFS('County annual'!$J$6:$J$179,'County annual'!$C$6:$C$179,$C109,'County annual'!$A$6:$A$179,$A109)</x:f>
        <x:v>22822120</x:v>
      </x:c>
      <x:c r="M109" s="62" t="n">
        <x:f>L109-K109</x:f>
        <x:v>0</x:v>
      </x:c>
      <x:c r="N109" s="47" t="n">
        <x:v>15</x:v>
      </x:c>
      <x:c r="O109" s="47" t="n">
        <x:f>SUMIFS('County annual'!$K$6:$K$179,'County annual'!$C$6:$C$179,$C109,'County annual'!$A$6:$A$179,$A109)</x:f>
        <x:v>15</x:v>
      </x:c>
      <x:c r="P109" s="47" t="n">
        <x:f>O109-N109</x:f>
        <x:v>0</x:v>
      </x:c>
      <x:c r="Q109" s="47" t="n">
        <x:f>IF(SUMIFS('County annual'!$D$6:$D$179,'County annual'!$C$6:$C$179,$C109,'County annual'!$A$6:$A$179,$A109)=D109,0,1)+IF(SUMIFS('County annual'!$E$6:$E$179,'County annual'!$C$6:$C$179,$C109,'County annual'!$A$6:$A$179,$A109)=E109,0,1)+IF(SUMIFS('County annual'!$F$6:$F$179,'County annual'!$C$6:$C$179,$C109,'County annual'!$A$6:$A$179,$A109)=F109,0,1)+IF(SUMIFS('County annual'!$G$6:$G$179,'County annual'!$C$6:$C$179,$C109,'County annual'!$A$6:$A$179,$A109)=G109,0,1)</x:f>
        <x:v>0</x:v>
      </x:c>
      <x:c r="R109" s="30" t="str">
        <x:f>IF(AND(J109=0,M109=0,P109=0,Q109=0),"Match","Mismatch")</x:f>
        <x:v>Match</x:v>
      </x:c>
      <x:c r="S109" s="30" t="str">
        <x:v>BPS-CO-2023</x:v>
      </x:c>
      <x:c r="T109" s="30" t="str">
        <x:v>raw/county/co2023a.txt</x:v>
      </x:c>
      <x:c r="U109" s="56" t="n">
        <x:v>2686</x:v>
      </x:c>
    </x:row>
    <x:row r="110" ht="21" customHeight="1">
      <x:c r="A110" s="56" t="n">
        <x:v>2023</x:v>
      </x:c>
      <x:c r="B110" s="30" t="str">
        <x:v>Salt Lake County</x:v>
      </x:c>
      <x:c r="C110" s="58" t="str">
        <x:v>49035</x:v>
      </x:c>
      <x:c r="D110" s="47" t="n">
        <x:v>2572</x:v>
      </x:c>
      <x:c r="E110" s="47" t="n">
        <x:v>70</x:v>
      </x:c>
      <x:c r="F110" s="47" t="n">
        <x:v>236</x:v>
      </x:c>
      <x:c r="G110" s="47" t="n">
        <x:v>5437</x:v>
      </x:c>
      <x:c r="H110" s="47" t="n">
        <x:f>SUM(D110:G110)</x:f>
        <x:v>8315</x:v>
      </x:c>
      <x:c r="I110" s="47" t="n">
        <x:f>SUMIFS('County annual'!$H$6:$H$179,'County annual'!$C$6:$C$179,$C110,'County annual'!$A$6:$A$179,$A110)</x:f>
        <x:v>8315</x:v>
      </x:c>
      <x:c r="J110" s="47" t="n">
        <x:f>I110-H110</x:f>
        <x:v>0</x:v>
      </x:c>
      <x:c r="K110" s="62" t="n">
        <x:v>1969574680</x:v>
      </x:c>
      <x:c r="L110" s="62" t="n">
        <x:f>SUMIFS('County annual'!$J$6:$J$179,'County annual'!$C$6:$C$179,$C110,'County annual'!$A$6:$A$179,$A110)</x:f>
        <x:v>1969574680</x:v>
      </x:c>
      <x:c r="M110" s="62" t="n">
        <x:f>L110-K110</x:f>
        <x:v>0</x:v>
      </x:c>
      <x:c r="N110" s="47" t="n">
        <x:v>5358</x:v>
      </x:c>
      <x:c r="O110" s="47" t="n">
        <x:f>SUMIFS('County annual'!$K$6:$K$179,'County annual'!$C$6:$C$179,$C110,'County annual'!$A$6:$A$179,$A110)</x:f>
        <x:v>5358</x:v>
      </x:c>
      <x:c r="P110" s="47" t="n">
        <x:f>O110-N110</x:f>
        <x:v>0</x:v>
      </x:c>
      <x:c r="Q110" s="47" t="n">
        <x:f>IF(SUMIFS('County annual'!$D$6:$D$179,'County annual'!$C$6:$C$179,$C110,'County annual'!$A$6:$A$179,$A110)=D110,0,1)+IF(SUMIFS('County annual'!$E$6:$E$179,'County annual'!$C$6:$C$179,$C110,'County annual'!$A$6:$A$179,$A110)=E110,0,1)+IF(SUMIFS('County annual'!$F$6:$F$179,'County annual'!$C$6:$C$179,$C110,'County annual'!$A$6:$A$179,$A110)=F110,0,1)+IF(SUMIFS('County annual'!$G$6:$G$179,'County annual'!$C$6:$C$179,$C110,'County annual'!$A$6:$A$179,$A110)=G110,0,1)</x:f>
        <x:v>0</x:v>
      </x:c>
      <x:c r="R110" s="30" t="str">
        <x:f>IF(AND(J110=0,M110=0,P110=0,Q110=0),"Match","Mismatch")</x:f>
        <x:v>Match</x:v>
      </x:c>
      <x:c r="S110" s="30" t="str">
        <x:v>BPS-CO-2023</x:v>
      </x:c>
      <x:c r="T110" s="30" t="str">
        <x:v>raw/county/co2023a.txt</x:v>
      </x:c>
      <x:c r="U110" s="56" t="n">
        <x:v>2687</x:v>
      </x:c>
    </x:row>
    <x:row r="111" ht="21" customHeight="1">
      <x:c r="A111" s="56" t="n">
        <x:v>2023</x:v>
      </x:c>
      <x:c r="B111" s="30" t="str">
        <x:v>San Juan County</x:v>
      </x:c>
      <x:c r="C111" s="58" t="str">
        <x:v>49037</x:v>
      </x:c>
      <x:c r="D111" s="47" t="n">
        <x:v>65</x:v>
      </x:c>
      <x:c r="E111" s="47" t="n">
        <x:v>0</x:v>
      </x:c>
      <x:c r="F111" s="47" t="n">
        <x:v>0</x:v>
      </x:c>
      <x:c r="G111" s="47" t="n">
        <x:v>0</x:v>
      </x:c>
      <x:c r="H111" s="47" t="n">
        <x:f>SUM(D111:G111)</x:f>
        <x:v>65</x:v>
      </x:c>
      <x:c r="I111" s="47" t="n">
        <x:f>SUMIFS('County annual'!$H$6:$H$179,'County annual'!$C$6:$C$179,$C111,'County annual'!$A$6:$A$179,$A111)</x:f>
        <x:v>65</x:v>
      </x:c>
      <x:c r="J111" s="47" t="n">
        <x:f>I111-H111</x:f>
        <x:v>0</x:v>
      </x:c>
      <x:c r="K111" s="62" t="n">
        <x:v>22079241</x:v>
      </x:c>
      <x:c r="L111" s="62" t="n">
        <x:f>SUMIFS('County annual'!$J$6:$J$179,'County annual'!$C$6:$C$179,$C111,'County annual'!$A$6:$A$179,$A111)</x:f>
        <x:v>22079241</x:v>
      </x:c>
      <x:c r="M111" s="62" t="n">
        <x:f>L111-K111</x:f>
        <x:v>0</x:v>
      </x:c>
      <x:c r="N111" s="47" t="n">
        <x:v>25</x:v>
      </x:c>
      <x:c r="O111" s="47" t="n">
        <x:f>SUMIFS('County annual'!$K$6:$K$179,'County annual'!$C$6:$C$179,$C111,'County annual'!$A$6:$A$179,$A111)</x:f>
        <x:v>25</x:v>
      </x:c>
      <x:c r="P111" s="47" t="n">
        <x:f>O111-N111</x:f>
        <x:v>0</x:v>
      </x:c>
      <x:c r="Q111" s="47" t="n">
        <x:f>IF(SUMIFS('County annual'!$D$6:$D$179,'County annual'!$C$6:$C$179,$C111,'County annual'!$A$6:$A$179,$A111)=D111,0,1)+IF(SUMIFS('County annual'!$E$6:$E$179,'County annual'!$C$6:$C$179,$C111,'County annual'!$A$6:$A$179,$A111)=E111,0,1)+IF(SUMIFS('County annual'!$F$6:$F$179,'County annual'!$C$6:$C$179,$C111,'County annual'!$A$6:$A$179,$A111)=F111,0,1)+IF(SUMIFS('County annual'!$G$6:$G$179,'County annual'!$C$6:$C$179,$C111,'County annual'!$A$6:$A$179,$A111)=G111,0,1)</x:f>
        <x:v>0</x:v>
      </x:c>
      <x:c r="R111" s="30" t="str">
        <x:f>IF(AND(J111=0,M111=0,P111=0,Q111=0),"Match","Mismatch")</x:f>
        <x:v>Match</x:v>
      </x:c>
      <x:c r="S111" s="30" t="str">
        <x:v>BPS-CO-2023</x:v>
      </x:c>
      <x:c r="T111" s="30" t="str">
        <x:v>raw/county/co2023a.txt</x:v>
      </x:c>
      <x:c r="U111" s="56" t="n">
        <x:v>2688</x:v>
      </x:c>
    </x:row>
    <x:row r="112" ht="21" customHeight="1">
      <x:c r="A112" s="56" t="n">
        <x:v>2023</x:v>
      </x:c>
      <x:c r="B112" s="30" t="str">
        <x:v>Sanpete County</x:v>
      </x:c>
      <x:c r="C112" s="58" t="str">
        <x:v>49039</x:v>
      </x:c>
      <x:c r="D112" s="47" t="n">
        <x:v>200</x:v>
      </x:c>
      <x:c r="E112" s="47" t="n">
        <x:v>26</x:v>
      </x:c>
      <x:c r="F112" s="47" t="n">
        <x:v>12</x:v>
      </x:c>
      <x:c r="G112" s="47" t="n">
        <x:v>0</x:v>
      </x:c>
      <x:c r="H112" s="47" t="n">
        <x:f>SUM(D112:G112)</x:f>
        <x:v>238</x:v>
      </x:c>
      <x:c r="I112" s="47" t="n">
        <x:f>SUMIFS('County annual'!$H$6:$H$179,'County annual'!$C$6:$C$179,$C112,'County annual'!$A$6:$A$179,$A112)</x:f>
        <x:v>238</x:v>
      </x:c>
      <x:c r="J112" s="47" t="n">
        <x:f>I112-H112</x:f>
        <x:v>0</x:v>
      </x:c>
      <x:c r="K112" s="62" t="n">
        <x:v>36225306</x:v>
      </x:c>
      <x:c r="L112" s="62" t="n">
        <x:f>SUMIFS('County annual'!$J$6:$J$179,'County annual'!$C$6:$C$179,$C112,'County annual'!$A$6:$A$179,$A112)</x:f>
        <x:v>36225306</x:v>
      </x:c>
      <x:c r="M112" s="62" t="n">
        <x:f>L112-K112</x:f>
        <x:v>0</x:v>
      </x:c>
      <x:c r="N112" s="47" t="n">
        <x:v>238</x:v>
      </x:c>
      <x:c r="O112" s="47" t="n">
        <x:f>SUMIFS('County annual'!$K$6:$K$179,'County annual'!$C$6:$C$179,$C112,'County annual'!$A$6:$A$179,$A112)</x:f>
        <x:v>238</x:v>
      </x:c>
      <x:c r="P112" s="47" t="n">
        <x:f>O112-N112</x:f>
        <x:v>0</x:v>
      </x:c>
      <x:c r="Q112" s="47" t="n">
        <x:f>IF(SUMIFS('County annual'!$D$6:$D$179,'County annual'!$C$6:$C$179,$C112,'County annual'!$A$6:$A$179,$A112)=D112,0,1)+IF(SUMIFS('County annual'!$E$6:$E$179,'County annual'!$C$6:$C$179,$C112,'County annual'!$A$6:$A$179,$A112)=E112,0,1)+IF(SUMIFS('County annual'!$F$6:$F$179,'County annual'!$C$6:$C$179,$C112,'County annual'!$A$6:$A$179,$A112)=F112,0,1)+IF(SUMIFS('County annual'!$G$6:$G$179,'County annual'!$C$6:$C$179,$C112,'County annual'!$A$6:$A$179,$A112)=G112,0,1)</x:f>
        <x:v>0</x:v>
      </x:c>
      <x:c r="R112" s="30" t="str">
        <x:f>IF(AND(J112=0,M112=0,P112=0,Q112=0),"Match","Mismatch")</x:f>
        <x:v>Match</x:v>
      </x:c>
      <x:c r="S112" s="30" t="str">
        <x:v>BPS-CO-2023</x:v>
      </x:c>
      <x:c r="T112" s="30" t="str">
        <x:v>raw/county/co2023a.txt</x:v>
      </x:c>
      <x:c r="U112" s="56" t="n">
        <x:v>2689</x:v>
      </x:c>
    </x:row>
    <x:row r="113" ht="21" customHeight="1">
      <x:c r="A113" s="56" t="n">
        <x:v>2023</x:v>
      </x:c>
      <x:c r="B113" s="30" t="str">
        <x:v>Sevier County</x:v>
      </x:c>
      <x:c r="C113" s="58" t="str">
        <x:v>49041</x:v>
      </x:c>
      <x:c r="D113" s="47" t="n">
        <x:v>82</x:v>
      </x:c>
      <x:c r="E113" s="47" t="n">
        <x:v>10</x:v>
      </x:c>
      <x:c r="F113" s="47" t="n">
        <x:v>4</x:v>
      </x:c>
      <x:c r="G113" s="47" t="n">
        <x:v>44</x:v>
      </x:c>
      <x:c r="H113" s="47" t="n">
        <x:f>SUM(D113:G113)</x:f>
        <x:v>140</x:v>
      </x:c>
      <x:c r="I113" s="47" t="n">
        <x:f>SUMIFS('County annual'!$H$6:$H$179,'County annual'!$C$6:$C$179,$C113,'County annual'!$A$6:$A$179,$A113)</x:f>
        <x:v>140</x:v>
      </x:c>
      <x:c r="J113" s="47" t="n">
        <x:f>I113-H113</x:f>
        <x:v>0</x:v>
      </x:c>
      <x:c r="K113" s="62" t="n">
        <x:v>32795469</x:v>
      </x:c>
      <x:c r="L113" s="62" t="n">
        <x:f>SUMIFS('County annual'!$J$6:$J$179,'County annual'!$C$6:$C$179,$C113,'County annual'!$A$6:$A$179,$A113)</x:f>
        <x:v>32795469</x:v>
      </x:c>
      <x:c r="M113" s="62" t="n">
        <x:f>L113-K113</x:f>
        <x:v>0</x:v>
      </x:c>
      <x:c r="N113" s="47" t="n">
        <x:v>140</x:v>
      </x:c>
      <x:c r="O113" s="47" t="n">
        <x:f>SUMIFS('County annual'!$K$6:$K$179,'County annual'!$C$6:$C$179,$C113,'County annual'!$A$6:$A$179,$A113)</x:f>
        <x:v>140</x:v>
      </x:c>
      <x:c r="P113" s="47" t="n">
        <x:f>O113-N113</x:f>
        <x:v>0</x:v>
      </x:c>
      <x:c r="Q113" s="47" t="n">
        <x:f>IF(SUMIFS('County annual'!$D$6:$D$179,'County annual'!$C$6:$C$179,$C113,'County annual'!$A$6:$A$179,$A113)=D113,0,1)+IF(SUMIFS('County annual'!$E$6:$E$179,'County annual'!$C$6:$C$179,$C113,'County annual'!$A$6:$A$179,$A113)=E113,0,1)+IF(SUMIFS('County annual'!$F$6:$F$179,'County annual'!$C$6:$C$179,$C113,'County annual'!$A$6:$A$179,$A113)=F113,0,1)+IF(SUMIFS('County annual'!$G$6:$G$179,'County annual'!$C$6:$C$179,$C113,'County annual'!$A$6:$A$179,$A113)=G113,0,1)</x:f>
        <x:v>0</x:v>
      </x:c>
      <x:c r="R113" s="30" t="str">
        <x:f>IF(AND(J113=0,M113=0,P113=0,Q113=0),"Match","Mismatch")</x:f>
        <x:v>Match</x:v>
      </x:c>
      <x:c r="S113" s="30" t="str">
        <x:v>BPS-CO-2023</x:v>
      </x:c>
      <x:c r="T113" s="30" t="str">
        <x:v>raw/county/co2023a.txt</x:v>
      </x:c>
      <x:c r="U113" s="56" t="n">
        <x:v>2690</x:v>
      </x:c>
    </x:row>
    <x:row r="114" ht="21" customHeight="1">
      <x:c r="A114" s="56" t="n">
        <x:v>2023</x:v>
      </x:c>
      <x:c r="B114" s="30" t="str">
        <x:v>Summit County</x:v>
      </x:c>
      <x:c r="C114" s="58" t="str">
        <x:v>49043</x:v>
      </x:c>
      <x:c r="D114" s="47" t="n">
        <x:v>270</x:v>
      </x:c>
      <x:c r="E114" s="47" t="n">
        <x:v>2</x:v>
      </x:c>
      <x:c r="F114" s="47" t="n">
        <x:v>4</x:v>
      </x:c>
      <x:c r="G114" s="47" t="n">
        <x:v>57</x:v>
      </x:c>
      <x:c r="H114" s="47" t="n">
        <x:f>SUM(D114:G114)</x:f>
        <x:v>333</x:v>
      </x:c>
      <x:c r="I114" s="47" t="n">
        <x:f>SUMIFS('County annual'!$H$6:$H$179,'County annual'!$C$6:$C$179,$C114,'County annual'!$A$6:$A$179,$A114)</x:f>
        <x:v>333</x:v>
      </x:c>
      <x:c r="J114" s="47" t="n">
        <x:f>I114-H114</x:f>
        <x:v>0</x:v>
      </x:c>
      <x:c r="K114" s="62" t="n">
        <x:v>308502455</x:v>
      </x:c>
      <x:c r="L114" s="62" t="n">
        <x:f>SUMIFS('County annual'!$J$6:$J$179,'County annual'!$C$6:$C$179,$C114,'County annual'!$A$6:$A$179,$A114)</x:f>
        <x:v>308502455</x:v>
      </x:c>
      <x:c r="M114" s="62" t="n">
        <x:f>L114-K114</x:f>
        <x:v>0</x:v>
      </x:c>
      <x:c r="N114" s="47" t="n">
        <x:v>333</x:v>
      </x:c>
      <x:c r="O114" s="47" t="n">
        <x:f>SUMIFS('County annual'!$K$6:$K$179,'County annual'!$C$6:$C$179,$C114,'County annual'!$A$6:$A$179,$A114)</x:f>
        <x:v>333</x:v>
      </x:c>
      <x:c r="P114" s="47" t="n">
        <x:f>O114-N114</x:f>
        <x:v>0</x:v>
      </x:c>
      <x:c r="Q114" s="47" t="n">
        <x:f>IF(SUMIFS('County annual'!$D$6:$D$179,'County annual'!$C$6:$C$179,$C114,'County annual'!$A$6:$A$179,$A114)=D114,0,1)+IF(SUMIFS('County annual'!$E$6:$E$179,'County annual'!$C$6:$C$179,$C114,'County annual'!$A$6:$A$179,$A114)=E114,0,1)+IF(SUMIFS('County annual'!$F$6:$F$179,'County annual'!$C$6:$C$179,$C114,'County annual'!$A$6:$A$179,$A114)=F114,0,1)+IF(SUMIFS('County annual'!$G$6:$G$179,'County annual'!$C$6:$C$179,$C114,'County annual'!$A$6:$A$179,$A114)=G114,0,1)</x:f>
        <x:v>0</x:v>
      </x:c>
      <x:c r="R114" s="30" t="str">
        <x:f>IF(AND(J114=0,M114=0,P114=0,Q114=0),"Match","Mismatch")</x:f>
        <x:v>Match</x:v>
      </x:c>
      <x:c r="S114" s="30" t="str">
        <x:v>BPS-CO-2023</x:v>
      </x:c>
      <x:c r="T114" s="30" t="str">
        <x:v>raw/county/co2023a.txt</x:v>
      </x:c>
      <x:c r="U114" s="56" t="n">
        <x:v>2691</x:v>
      </x:c>
    </x:row>
    <x:row r="115" ht="21" customHeight="1">
      <x:c r="A115" s="56" t="n">
        <x:v>2023</x:v>
      </x:c>
      <x:c r="B115" s="30" t="str">
        <x:v>Tooele County</x:v>
      </x:c>
      <x:c r="C115" s="58" t="str">
        <x:v>49045</x:v>
      </x:c>
      <x:c r="D115" s="47" t="n">
        <x:v>591</x:v>
      </x:c>
      <x:c r="E115" s="47" t="n">
        <x:v>26</x:v>
      </x:c>
      <x:c r="F115" s="47" t="n">
        <x:v>58</x:v>
      </x:c>
      <x:c r="G115" s="47" t="n">
        <x:v>245</x:v>
      </x:c>
      <x:c r="H115" s="47" t="n">
        <x:f>SUM(D115:G115)</x:f>
        <x:v>920</x:v>
      </x:c>
      <x:c r="I115" s="47" t="n">
        <x:f>SUMIFS('County annual'!$H$6:$H$179,'County annual'!$C$6:$C$179,$C115,'County annual'!$A$6:$A$179,$A115)</x:f>
        <x:v>920</x:v>
      </x:c>
      <x:c r="J115" s="47" t="n">
        <x:f>I115-H115</x:f>
        <x:v>0</x:v>
      </x:c>
      <x:c r="K115" s="62" t="n">
        <x:v>226051002</x:v>
      </x:c>
      <x:c r="L115" s="62" t="n">
        <x:f>SUMIFS('County annual'!$J$6:$J$179,'County annual'!$C$6:$C$179,$C115,'County annual'!$A$6:$A$179,$A115)</x:f>
        <x:v>226051002</x:v>
      </x:c>
      <x:c r="M115" s="62" t="n">
        <x:f>L115-K115</x:f>
        <x:v>0</x:v>
      </x:c>
      <x:c r="N115" s="47" t="n">
        <x:v>920</x:v>
      </x:c>
      <x:c r="O115" s="47" t="n">
        <x:f>SUMIFS('County annual'!$K$6:$K$179,'County annual'!$C$6:$C$179,$C115,'County annual'!$A$6:$A$179,$A115)</x:f>
        <x:v>920</x:v>
      </x:c>
      <x:c r="P115" s="47" t="n">
        <x:f>O115-N115</x:f>
        <x:v>0</x:v>
      </x:c>
      <x:c r="Q115" s="47" t="n">
        <x:f>IF(SUMIFS('County annual'!$D$6:$D$179,'County annual'!$C$6:$C$179,$C115,'County annual'!$A$6:$A$179,$A115)=D115,0,1)+IF(SUMIFS('County annual'!$E$6:$E$179,'County annual'!$C$6:$C$179,$C115,'County annual'!$A$6:$A$179,$A115)=E115,0,1)+IF(SUMIFS('County annual'!$F$6:$F$179,'County annual'!$C$6:$C$179,$C115,'County annual'!$A$6:$A$179,$A115)=F115,0,1)+IF(SUMIFS('County annual'!$G$6:$G$179,'County annual'!$C$6:$C$179,$C115,'County annual'!$A$6:$A$179,$A115)=G115,0,1)</x:f>
        <x:v>0</x:v>
      </x:c>
      <x:c r="R115" s="30" t="str">
        <x:f>IF(AND(J115=0,M115=0,P115=0,Q115=0),"Match","Mismatch")</x:f>
        <x:v>Match</x:v>
      </x:c>
      <x:c r="S115" s="30" t="str">
        <x:v>BPS-CO-2023</x:v>
      </x:c>
      <x:c r="T115" s="30" t="str">
        <x:v>raw/county/co2023a.txt</x:v>
      </x:c>
      <x:c r="U115" s="56" t="n">
        <x:v>2692</x:v>
      </x:c>
    </x:row>
    <x:row r="116" ht="21" customHeight="1">
      <x:c r="A116" s="56" t="n">
        <x:v>2023</x:v>
      </x:c>
      <x:c r="B116" s="30" t="str">
        <x:v>Uintah County</x:v>
      </x:c>
      <x:c r="C116" s="58" t="str">
        <x:v>49047</x:v>
      </x:c>
      <x:c r="D116" s="47" t="n">
        <x:v>70</x:v>
      </x:c>
      <x:c r="E116" s="47" t="n">
        <x:v>8</x:v>
      </x:c>
      <x:c r="F116" s="47" t="n">
        <x:v>8</x:v>
      </x:c>
      <x:c r="G116" s="47" t="n">
        <x:v>0</x:v>
      </x:c>
      <x:c r="H116" s="47" t="n">
        <x:f>SUM(D116:G116)</x:f>
        <x:v>86</x:v>
      </x:c>
      <x:c r="I116" s="47" t="n">
        <x:f>SUMIFS('County annual'!$H$6:$H$179,'County annual'!$C$6:$C$179,$C116,'County annual'!$A$6:$A$179,$A116)</x:f>
        <x:v>86</x:v>
      </x:c>
      <x:c r="J116" s="47" t="n">
        <x:f>I116-H116</x:f>
        <x:v>0</x:v>
      </x:c>
      <x:c r="K116" s="62" t="n">
        <x:v>30476226</x:v>
      </x:c>
      <x:c r="L116" s="62" t="n">
        <x:f>SUMIFS('County annual'!$J$6:$J$179,'County annual'!$C$6:$C$179,$C116,'County annual'!$A$6:$A$179,$A116)</x:f>
        <x:v>30476226</x:v>
      </x:c>
      <x:c r="M116" s="62" t="n">
        <x:f>L116-K116</x:f>
        <x:v>0</x:v>
      </x:c>
      <x:c r="N116" s="47" t="n">
        <x:v>86</x:v>
      </x:c>
      <x:c r="O116" s="47" t="n">
        <x:f>SUMIFS('County annual'!$K$6:$K$179,'County annual'!$C$6:$C$179,$C116,'County annual'!$A$6:$A$179,$A116)</x:f>
        <x:v>86</x:v>
      </x:c>
      <x:c r="P116" s="47" t="n">
        <x:f>O116-N116</x:f>
        <x:v>0</x:v>
      </x:c>
      <x:c r="Q116" s="47" t="n">
        <x:f>IF(SUMIFS('County annual'!$D$6:$D$179,'County annual'!$C$6:$C$179,$C116,'County annual'!$A$6:$A$179,$A116)=D116,0,1)+IF(SUMIFS('County annual'!$E$6:$E$179,'County annual'!$C$6:$C$179,$C116,'County annual'!$A$6:$A$179,$A116)=E116,0,1)+IF(SUMIFS('County annual'!$F$6:$F$179,'County annual'!$C$6:$C$179,$C116,'County annual'!$A$6:$A$179,$A116)=F116,0,1)+IF(SUMIFS('County annual'!$G$6:$G$179,'County annual'!$C$6:$C$179,$C116,'County annual'!$A$6:$A$179,$A116)=G116,0,1)</x:f>
        <x:v>0</x:v>
      </x:c>
      <x:c r="R116" s="30" t="str">
        <x:f>IF(AND(J116=0,M116=0,P116=0,Q116=0),"Match","Mismatch")</x:f>
        <x:v>Match</x:v>
      </x:c>
      <x:c r="S116" s="30" t="str">
        <x:v>BPS-CO-2023</x:v>
      </x:c>
      <x:c r="T116" s="30" t="str">
        <x:v>raw/county/co2023a.txt</x:v>
      </x:c>
      <x:c r="U116" s="56" t="n">
        <x:v>2693</x:v>
      </x:c>
    </x:row>
    <x:row r="117" ht="21" customHeight="1">
      <x:c r="A117" s="56" t="n">
        <x:v>2023</x:v>
      </x:c>
      <x:c r="B117" s="30" t="str">
        <x:v>Utah County</x:v>
      </x:c>
      <x:c r="C117" s="58" t="str">
        <x:v>49049</x:v>
      </x:c>
      <x:c r="D117" s="47" t="n">
        <x:v>4575</x:v>
      </x:c>
      <x:c r="E117" s="47" t="n">
        <x:v>38</x:v>
      </x:c>
      <x:c r="F117" s="47" t="n">
        <x:v>108</x:v>
      </x:c>
      <x:c r="G117" s="47" t="n">
        <x:v>1315</x:v>
      </x:c>
      <x:c r="H117" s="47" t="n">
        <x:f>SUM(D117:G117)</x:f>
        <x:v>6036</x:v>
      </x:c>
      <x:c r="I117" s="47" t="n">
        <x:f>SUMIFS('County annual'!$H$6:$H$179,'County annual'!$C$6:$C$179,$C117,'County annual'!$A$6:$A$179,$A117)</x:f>
        <x:v>6036</x:v>
      </x:c>
      <x:c r="J117" s="47" t="n">
        <x:f>I117-H117</x:f>
        <x:v>0</x:v>
      </x:c>
      <x:c r="K117" s="62" t="n">
        <x:v>1771557277</x:v>
      </x:c>
      <x:c r="L117" s="62" t="n">
        <x:f>SUMIFS('County annual'!$J$6:$J$179,'County annual'!$C$6:$C$179,$C117,'County annual'!$A$6:$A$179,$A117)</x:f>
        <x:v>1771557277</x:v>
      </x:c>
      <x:c r="M117" s="62" t="n">
        <x:f>L117-K117</x:f>
        <x:v>0</x:v>
      </x:c>
      <x:c r="N117" s="47" t="n">
        <x:v>5988</x:v>
      </x:c>
      <x:c r="O117" s="47" t="n">
        <x:f>SUMIFS('County annual'!$K$6:$K$179,'County annual'!$C$6:$C$179,$C117,'County annual'!$A$6:$A$179,$A117)</x:f>
        <x:v>5988</x:v>
      </x:c>
      <x:c r="P117" s="47" t="n">
        <x:f>O117-N117</x:f>
        <x:v>0</x:v>
      </x:c>
      <x:c r="Q117" s="47" t="n">
        <x:f>IF(SUMIFS('County annual'!$D$6:$D$179,'County annual'!$C$6:$C$179,$C117,'County annual'!$A$6:$A$179,$A117)=D117,0,1)+IF(SUMIFS('County annual'!$E$6:$E$179,'County annual'!$C$6:$C$179,$C117,'County annual'!$A$6:$A$179,$A117)=E117,0,1)+IF(SUMIFS('County annual'!$F$6:$F$179,'County annual'!$C$6:$C$179,$C117,'County annual'!$A$6:$A$179,$A117)=F117,0,1)+IF(SUMIFS('County annual'!$G$6:$G$179,'County annual'!$C$6:$C$179,$C117,'County annual'!$A$6:$A$179,$A117)=G117,0,1)</x:f>
        <x:v>0</x:v>
      </x:c>
      <x:c r="R117" s="30" t="str">
        <x:f>IF(AND(J117=0,M117=0,P117=0,Q117=0),"Match","Mismatch")</x:f>
        <x:v>Match</x:v>
      </x:c>
      <x:c r="S117" s="30" t="str">
        <x:v>BPS-CO-2023</x:v>
      </x:c>
      <x:c r="T117" s="30" t="str">
        <x:v>raw/county/co2023a.txt</x:v>
      </x:c>
      <x:c r="U117" s="56" t="n">
        <x:v>2694</x:v>
      </x:c>
    </x:row>
    <x:row r="118" ht="21" customHeight="1">
      <x:c r="A118" s="56" t="n">
        <x:v>2023</x:v>
      </x:c>
      <x:c r="B118" s="30" t="str">
        <x:v>Wasatch County</x:v>
      </x:c>
      <x:c r="C118" s="58" t="str">
        <x:v>49051</x:v>
      </x:c>
      <x:c r="D118" s="47" t="n">
        <x:v>669</x:v>
      </x:c>
      <x:c r="E118" s="47" t="n">
        <x:v>6</x:v>
      </x:c>
      <x:c r="F118" s="47" t="n">
        <x:v>25</x:v>
      </x:c>
      <x:c r="G118" s="47" t="n">
        <x:v>0</x:v>
      </x:c>
      <x:c r="H118" s="47" t="n">
        <x:f>SUM(D118:G118)</x:f>
        <x:v>700</x:v>
      </x:c>
      <x:c r="I118" s="47" t="n">
        <x:f>SUMIFS('County annual'!$H$6:$H$179,'County annual'!$C$6:$C$179,$C118,'County annual'!$A$6:$A$179,$A118)</x:f>
        <x:v>700</x:v>
      </x:c>
      <x:c r="J118" s="47" t="n">
        <x:f>I118-H118</x:f>
        <x:v>0</x:v>
      </x:c>
      <x:c r="K118" s="62" t="n">
        <x:v>525638125</x:v>
      </x:c>
      <x:c r="L118" s="62" t="n">
        <x:f>SUMIFS('County annual'!$J$6:$J$179,'County annual'!$C$6:$C$179,$C118,'County annual'!$A$6:$A$179,$A118)</x:f>
        <x:v>525638125</x:v>
      </x:c>
      <x:c r="M118" s="62" t="n">
        <x:f>L118-K118</x:f>
        <x:v>0</x:v>
      </x:c>
      <x:c r="N118" s="47" t="n">
        <x:v>700</x:v>
      </x:c>
      <x:c r="O118" s="47" t="n">
        <x:f>SUMIFS('County annual'!$K$6:$K$179,'County annual'!$C$6:$C$179,$C118,'County annual'!$A$6:$A$179,$A118)</x:f>
        <x:v>700</x:v>
      </x:c>
      <x:c r="P118" s="47" t="n">
        <x:f>O118-N118</x:f>
        <x:v>0</x:v>
      </x:c>
      <x:c r="Q118" s="47" t="n">
        <x:f>IF(SUMIFS('County annual'!$D$6:$D$179,'County annual'!$C$6:$C$179,$C118,'County annual'!$A$6:$A$179,$A118)=D118,0,1)+IF(SUMIFS('County annual'!$E$6:$E$179,'County annual'!$C$6:$C$179,$C118,'County annual'!$A$6:$A$179,$A118)=E118,0,1)+IF(SUMIFS('County annual'!$F$6:$F$179,'County annual'!$C$6:$C$179,$C118,'County annual'!$A$6:$A$179,$A118)=F118,0,1)+IF(SUMIFS('County annual'!$G$6:$G$179,'County annual'!$C$6:$C$179,$C118,'County annual'!$A$6:$A$179,$A118)=G118,0,1)</x:f>
        <x:v>0</x:v>
      </x:c>
      <x:c r="R118" s="30" t="str">
        <x:f>IF(AND(J118=0,M118=0,P118=0,Q118=0),"Match","Mismatch")</x:f>
        <x:v>Match</x:v>
      </x:c>
      <x:c r="S118" s="30" t="str">
        <x:v>BPS-CO-2023</x:v>
      </x:c>
      <x:c r="T118" s="30" t="str">
        <x:v>raw/county/co2023a.txt</x:v>
      </x:c>
      <x:c r="U118" s="56" t="n">
        <x:v>2695</x:v>
      </x:c>
    </x:row>
    <x:row r="119" ht="21" customHeight="1">
      <x:c r="A119" s="56" t="n">
        <x:v>2023</x:v>
      </x:c>
      <x:c r="B119" s="30" t="str">
        <x:v>Washington County</x:v>
      </x:c>
      <x:c r="C119" s="58" t="str">
        <x:v>49053</x:v>
      </x:c>
      <x:c r="D119" s="47" t="n">
        <x:v>2134</x:v>
      </x:c>
      <x:c r="E119" s="47" t="n">
        <x:v>10</x:v>
      </x:c>
      <x:c r="F119" s="47" t="n">
        <x:v>38</x:v>
      </x:c>
      <x:c r="G119" s="47" t="n">
        <x:v>638</x:v>
      </x:c>
      <x:c r="H119" s="47" t="n">
        <x:f>SUM(D119:G119)</x:f>
        <x:v>2820</x:v>
      </x:c>
      <x:c r="I119" s="47" t="n">
        <x:f>SUMIFS('County annual'!$H$6:$H$179,'County annual'!$C$6:$C$179,$C119,'County annual'!$A$6:$A$179,$A119)</x:f>
        <x:v>2820</x:v>
      </x:c>
      <x:c r="J119" s="47" t="n">
        <x:f>I119-H119</x:f>
        <x:v>0</x:v>
      </x:c>
      <x:c r="K119" s="62" t="n">
        <x:v>542244248</x:v>
      </x:c>
      <x:c r="L119" s="62" t="n">
        <x:f>SUMIFS('County annual'!$J$6:$J$179,'County annual'!$C$6:$C$179,$C119,'County annual'!$A$6:$A$179,$A119)</x:f>
        <x:v>542244248</x:v>
      </x:c>
      <x:c r="M119" s="62" t="n">
        <x:f>L119-K119</x:f>
        <x:v>0</x:v>
      </x:c>
      <x:c r="N119" s="47" t="n">
        <x:v>2791</x:v>
      </x:c>
      <x:c r="O119" s="47" t="n">
        <x:f>SUMIFS('County annual'!$K$6:$K$179,'County annual'!$C$6:$C$179,$C119,'County annual'!$A$6:$A$179,$A119)</x:f>
        <x:v>2791</x:v>
      </x:c>
      <x:c r="P119" s="47" t="n">
        <x:f>O119-N119</x:f>
        <x:v>0</x:v>
      </x:c>
      <x:c r="Q119" s="47" t="n">
        <x:f>IF(SUMIFS('County annual'!$D$6:$D$179,'County annual'!$C$6:$C$179,$C119,'County annual'!$A$6:$A$179,$A119)=D119,0,1)+IF(SUMIFS('County annual'!$E$6:$E$179,'County annual'!$C$6:$C$179,$C119,'County annual'!$A$6:$A$179,$A119)=E119,0,1)+IF(SUMIFS('County annual'!$F$6:$F$179,'County annual'!$C$6:$C$179,$C119,'County annual'!$A$6:$A$179,$A119)=F119,0,1)+IF(SUMIFS('County annual'!$G$6:$G$179,'County annual'!$C$6:$C$179,$C119,'County annual'!$A$6:$A$179,$A119)=G119,0,1)</x:f>
        <x:v>0</x:v>
      </x:c>
      <x:c r="R119" s="30" t="str">
        <x:f>IF(AND(J119=0,M119=0,P119=0,Q119=0),"Match","Mismatch")</x:f>
        <x:v>Match</x:v>
      </x:c>
      <x:c r="S119" s="30" t="str">
        <x:v>BPS-CO-2023</x:v>
      </x:c>
      <x:c r="T119" s="30" t="str">
        <x:v>raw/county/co2023a.txt</x:v>
      </x:c>
      <x:c r="U119" s="56" t="n">
        <x:v>2696</x:v>
      </x:c>
    </x:row>
    <x:row r="120" ht="21" customHeight="1">
      <x:c r="A120" s="56" t="n">
        <x:v>2023</x:v>
      </x:c>
      <x:c r="B120" s="30" t="str">
        <x:v>Wayne County</x:v>
      </x:c>
      <x:c r="C120" s="58" t="str">
        <x:v>49055</x:v>
      </x:c>
      <x:c r="D120" s="47" t="n">
        <x:v>20</x:v>
      </x:c>
      <x:c r="E120" s="47" t="n">
        <x:v>0</x:v>
      </x:c>
      <x:c r="F120" s="47" t="n">
        <x:v>0</x:v>
      </x:c>
      <x:c r="G120" s="47" t="n">
        <x:v>0</x:v>
      </x:c>
      <x:c r="H120" s="47" t="n">
        <x:f>SUM(D120:G120)</x:f>
        <x:v>20</x:v>
      </x:c>
      <x:c r="I120" s="47" t="n">
        <x:f>SUMIFS('County annual'!$H$6:$H$179,'County annual'!$C$6:$C$179,$C120,'County annual'!$A$6:$A$179,$A120)</x:f>
        <x:v>20</x:v>
      </x:c>
      <x:c r="J120" s="47" t="n">
        <x:f>I120-H120</x:f>
        <x:v>0</x:v>
      </x:c>
      <x:c r="K120" s="62" t="n">
        <x:v>6920969</x:v>
      </x:c>
      <x:c r="L120" s="62" t="n">
        <x:f>SUMIFS('County annual'!$J$6:$J$179,'County annual'!$C$6:$C$179,$C120,'County annual'!$A$6:$A$179,$A120)</x:f>
        <x:v>6920969</x:v>
      </x:c>
      <x:c r="M120" s="62" t="n">
        <x:f>L120-K120</x:f>
        <x:v>0</x:v>
      </x:c>
      <x:c r="N120" s="47" t="n">
        <x:v>20</x:v>
      </x:c>
      <x:c r="O120" s="47" t="n">
        <x:f>SUMIFS('County annual'!$K$6:$K$179,'County annual'!$C$6:$C$179,$C120,'County annual'!$A$6:$A$179,$A120)</x:f>
        <x:v>20</x:v>
      </x:c>
      <x:c r="P120" s="47" t="n">
        <x:f>O120-N120</x:f>
        <x:v>0</x:v>
      </x:c>
      <x:c r="Q120" s="47" t="n">
        <x:f>IF(SUMIFS('County annual'!$D$6:$D$179,'County annual'!$C$6:$C$179,$C120,'County annual'!$A$6:$A$179,$A120)=D120,0,1)+IF(SUMIFS('County annual'!$E$6:$E$179,'County annual'!$C$6:$C$179,$C120,'County annual'!$A$6:$A$179,$A120)=E120,0,1)+IF(SUMIFS('County annual'!$F$6:$F$179,'County annual'!$C$6:$C$179,$C120,'County annual'!$A$6:$A$179,$A120)=F120,0,1)+IF(SUMIFS('County annual'!$G$6:$G$179,'County annual'!$C$6:$C$179,$C120,'County annual'!$A$6:$A$179,$A120)=G120,0,1)</x:f>
        <x:v>0</x:v>
      </x:c>
      <x:c r="R120" s="30" t="str">
        <x:f>IF(AND(J120=0,M120=0,P120=0,Q120=0),"Match","Mismatch")</x:f>
        <x:v>Match</x:v>
      </x:c>
      <x:c r="S120" s="30" t="str">
        <x:v>BPS-CO-2023</x:v>
      </x:c>
      <x:c r="T120" s="30" t="str">
        <x:v>raw/county/co2023a.txt</x:v>
      </x:c>
      <x:c r="U120" s="56" t="n">
        <x:v>2697</x:v>
      </x:c>
    </x:row>
    <x:row r="121" ht="21" customHeight="1">
      <x:c r="A121" s="56" t="n">
        <x:v>2023</x:v>
      </x:c>
      <x:c r="B121" s="30" t="str">
        <x:v>Weber County</x:v>
      </x:c>
      <x:c r="C121" s="58" t="str">
        <x:v>49057</x:v>
      </x:c>
      <x:c r="D121" s="47" t="n">
        <x:v>876</x:v>
      </x:c>
      <x:c r="E121" s="47" t="n">
        <x:v>2</x:v>
      </x:c>
      <x:c r="F121" s="47" t="n">
        <x:v>80</x:v>
      </x:c>
      <x:c r="G121" s="47" t="n">
        <x:v>482</x:v>
      </x:c>
      <x:c r="H121" s="47" t="n">
        <x:f>SUM(D121:G121)</x:f>
        <x:v>1440</x:v>
      </x:c>
      <x:c r="I121" s="47" t="n">
        <x:f>SUMIFS('County annual'!$H$6:$H$179,'County annual'!$C$6:$C$179,$C121,'County annual'!$A$6:$A$179,$A121)</x:f>
        <x:v>1440</x:v>
      </x:c>
      <x:c r="J121" s="47" t="n">
        <x:f>I121-H121</x:f>
        <x:v>0</x:v>
      </x:c>
      <x:c r="K121" s="62" t="n">
        <x:v>361975364</x:v>
      </x:c>
      <x:c r="L121" s="62" t="n">
        <x:f>SUMIFS('County annual'!$J$6:$J$179,'County annual'!$C$6:$C$179,$C121,'County annual'!$A$6:$A$179,$A121)</x:f>
        <x:v>361975364</x:v>
      </x:c>
      <x:c r="M121" s="62" t="n">
        <x:f>L121-K121</x:f>
        <x:v>0</x:v>
      </x:c>
      <x:c r="N121" s="47" t="n">
        <x:v>513</x:v>
      </x:c>
      <x:c r="O121" s="47" t="n">
        <x:f>SUMIFS('County annual'!$K$6:$K$179,'County annual'!$C$6:$C$179,$C121,'County annual'!$A$6:$A$179,$A121)</x:f>
        <x:v>513</x:v>
      </x:c>
      <x:c r="P121" s="47" t="n">
        <x:f>O121-N121</x:f>
        <x:v>0</x:v>
      </x:c>
      <x:c r="Q121" s="47" t="n">
        <x:f>IF(SUMIFS('County annual'!$D$6:$D$179,'County annual'!$C$6:$C$179,$C121,'County annual'!$A$6:$A$179,$A121)=D121,0,1)+IF(SUMIFS('County annual'!$E$6:$E$179,'County annual'!$C$6:$C$179,$C121,'County annual'!$A$6:$A$179,$A121)=E121,0,1)+IF(SUMIFS('County annual'!$F$6:$F$179,'County annual'!$C$6:$C$179,$C121,'County annual'!$A$6:$A$179,$A121)=F121,0,1)+IF(SUMIFS('County annual'!$G$6:$G$179,'County annual'!$C$6:$C$179,$C121,'County annual'!$A$6:$A$179,$A121)=G121,0,1)</x:f>
        <x:v>0</x:v>
      </x:c>
      <x:c r="R121" s="30" t="str">
        <x:f>IF(AND(J121=0,M121=0,P121=0,Q121=0),"Match","Mismatch")</x:f>
        <x:v>Match</x:v>
      </x:c>
      <x:c r="S121" s="30" t="str">
        <x:v>BPS-CO-2023</x:v>
      </x:c>
      <x:c r="T121" s="30" t="str">
        <x:v>raw/county/co2023a.txt</x:v>
      </x:c>
      <x:c r="U121" s="56" t="n">
        <x:v>2698</x:v>
      </x:c>
    </x:row>
    <x:row r="122" ht="21" customHeight="1">
      <x:c r="A122" s="56" t="n">
        <x:v>2024</x:v>
      </x:c>
      <x:c r="B122" s="30" t="str">
        <x:v>Beaver County</x:v>
      </x:c>
      <x:c r="C122" s="58" t="str">
        <x:v>49001</x:v>
      </x:c>
      <x:c r="D122" s="47" t="n">
        <x:v>39</x:v>
      </x:c>
      <x:c r="E122" s="47" t="n">
        <x:v>0</x:v>
      </x:c>
      <x:c r="F122" s="47" t="n">
        <x:v>0</x:v>
      </x:c>
      <x:c r="G122" s="47" t="n">
        <x:v>0</x:v>
      </x:c>
      <x:c r="H122" s="47" t="n">
        <x:f>SUM(D122:G122)</x:f>
        <x:v>39</x:v>
      </x:c>
      <x:c r="I122" s="47" t="n">
        <x:f>SUMIFS('County annual'!$H$6:$H$179,'County annual'!$C$6:$C$179,$C122,'County annual'!$A$6:$A$179,$A122)</x:f>
        <x:v>39</x:v>
      </x:c>
      <x:c r="J122" s="47" t="n">
        <x:f>I122-H122</x:f>
        <x:v>0</x:v>
      </x:c>
      <x:c r="K122" s="62" t="n">
        <x:v>14086117</x:v>
      </x:c>
      <x:c r="L122" s="62" t="n">
        <x:f>SUMIFS('County annual'!$J$6:$J$179,'County annual'!$C$6:$C$179,$C122,'County annual'!$A$6:$A$179,$A122)</x:f>
        <x:v>14086117</x:v>
      </x:c>
      <x:c r="M122" s="62" t="n">
        <x:f>L122-K122</x:f>
        <x:v>0</x:v>
      </x:c>
      <x:c r="N122" s="47" t="n">
        <x:v>39</x:v>
      </x:c>
      <x:c r="O122" s="47" t="n">
        <x:f>SUMIFS('County annual'!$K$6:$K$179,'County annual'!$C$6:$C$179,$C122,'County annual'!$A$6:$A$179,$A122)</x:f>
        <x:v>39</x:v>
      </x:c>
      <x:c r="P122" s="47" t="n">
        <x:f>O122-N122</x:f>
        <x:v>0</x:v>
      </x:c>
      <x:c r="Q122" s="47" t="n">
        <x:f>IF(SUMIFS('County annual'!$D$6:$D$179,'County annual'!$C$6:$C$179,$C122,'County annual'!$A$6:$A$179,$A122)=D122,0,1)+IF(SUMIFS('County annual'!$E$6:$E$179,'County annual'!$C$6:$C$179,$C122,'County annual'!$A$6:$A$179,$A122)=E122,0,1)+IF(SUMIFS('County annual'!$F$6:$F$179,'County annual'!$C$6:$C$179,$C122,'County annual'!$A$6:$A$179,$A122)=F122,0,1)+IF(SUMIFS('County annual'!$G$6:$G$179,'County annual'!$C$6:$C$179,$C122,'County annual'!$A$6:$A$179,$A122)=G122,0,1)</x:f>
        <x:v>0</x:v>
      </x:c>
      <x:c r="R122" s="30" t="str">
        <x:f>IF(AND(J122=0,M122=0,P122=0,Q122=0),"Match","Mismatch")</x:f>
        <x:v>Match</x:v>
      </x:c>
      <x:c r="S122" s="30" t="str">
        <x:v>BPS-CO-2024</x:v>
      </x:c>
      <x:c r="T122" s="30" t="str">
        <x:v>raw/county/co2024a.txt</x:v>
      </x:c>
      <x:c r="U122" s="56" t="n">
        <x:v>2669</x:v>
      </x:c>
    </x:row>
    <x:row r="123" ht="21" customHeight="1">
      <x:c r="A123" s="56" t="n">
        <x:v>2024</x:v>
      </x:c>
      <x:c r="B123" s="30" t="str">
        <x:v>Box Elder County</x:v>
      </x:c>
      <x:c r="C123" s="58" t="str">
        <x:v>49003</x:v>
      </x:c>
      <x:c r="D123" s="47" t="n">
        <x:v>397</x:v>
      </x:c>
      <x:c r="E123" s="47" t="n">
        <x:v>0</x:v>
      </x:c>
      <x:c r="F123" s="47" t="n">
        <x:v>8</x:v>
      </x:c>
      <x:c r="G123" s="47" t="n">
        <x:v>74</x:v>
      </x:c>
      <x:c r="H123" s="47" t="n">
        <x:f>SUM(D123:G123)</x:f>
        <x:v>479</x:v>
      </x:c>
      <x:c r="I123" s="47" t="n">
        <x:f>SUMIFS('County annual'!$H$6:$H$179,'County annual'!$C$6:$C$179,$C123,'County annual'!$A$6:$A$179,$A123)</x:f>
        <x:v>479</x:v>
      </x:c>
      <x:c r="J123" s="47" t="n">
        <x:f>I123-H123</x:f>
        <x:v>0</x:v>
      </x:c>
      <x:c r="K123" s="62" t="n">
        <x:v>140592132</x:v>
      </x:c>
      <x:c r="L123" s="62" t="n">
        <x:f>SUMIFS('County annual'!$J$6:$J$179,'County annual'!$C$6:$C$179,$C123,'County annual'!$A$6:$A$179,$A123)</x:f>
        <x:v>140592132</x:v>
      </x:c>
      <x:c r="M123" s="62" t="n">
        <x:f>L123-K123</x:f>
        <x:v>0</x:v>
      </x:c>
      <x:c r="N123" s="47" t="n">
        <x:v>429</x:v>
      </x:c>
      <x:c r="O123" s="47" t="n">
        <x:f>SUMIFS('County annual'!$K$6:$K$179,'County annual'!$C$6:$C$179,$C123,'County annual'!$A$6:$A$179,$A123)</x:f>
        <x:v>429</x:v>
      </x:c>
      <x:c r="P123" s="47" t="n">
        <x:f>O123-N123</x:f>
        <x:v>0</x:v>
      </x:c>
      <x:c r="Q123" s="47" t="n">
        <x:f>IF(SUMIFS('County annual'!$D$6:$D$179,'County annual'!$C$6:$C$179,$C123,'County annual'!$A$6:$A$179,$A123)=D123,0,1)+IF(SUMIFS('County annual'!$E$6:$E$179,'County annual'!$C$6:$C$179,$C123,'County annual'!$A$6:$A$179,$A123)=E123,0,1)+IF(SUMIFS('County annual'!$F$6:$F$179,'County annual'!$C$6:$C$179,$C123,'County annual'!$A$6:$A$179,$A123)=F123,0,1)+IF(SUMIFS('County annual'!$G$6:$G$179,'County annual'!$C$6:$C$179,$C123,'County annual'!$A$6:$A$179,$A123)=G123,0,1)</x:f>
        <x:v>0</x:v>
      </x:c>
      <x:c r="R123" s="30" t="str">
        <x:f>IF(AND(J123=0,M123=0,P123=0,Q123=0),"Match","Mismatch")</x:f>
        <x:v>Match</x:v>
      </x:c>
      <x:c r="S123" s="30" t="str">
        <x:v>BPS-CO-2024</x:v>
      </x:c>
      <x:c r="T123" s="30" t="str">
        <x:v>raw/county/co2024a.txt</x:v>
      </x:c>
      <x:c r="U123" s="56" t="n">
        <x:v>2670</x:v>
      </x:c>
    </x:row>
    <x:row r="124" ht="21" customHeight="1">
      <x:c r="A124" s="56" t="n">
        <x:v>2024</x:v>
      </x:c>
      <x:c r="B124" s="30" t="str">
        <x:v>Cache County</x:v>
      </x:c>
      <x:c r="C124" s="58" t="str">
        <x:v>49005</x:v>
      </x:c>
      <x:c r="D124" s="47" t="n">
        <x:v>871</x:v>
      </x:c>
      <x:c r="E124" s="47" t="n">
        <x:v>4</x:v>
      </x:c>
      <x:c r="F124" s="47" t="n">
        <x:v>0</x:v>
      </x:c>
      <x:c r="G124" s="47" t="n">
        <x:v>146</x:v>
      </x:c>
      <x:c r="H124" s="47" t="n">
        <x:f>SUM(D124:G124)</x:f>
        <x:v>1021</x:v>
      </x:c>
      <x:c r="I124" s="47" t="n">
        <x:f>SUMIFS('County annual'!$H$6:$H$179,'County annual'!$C$6:$C$179,$C124,'County annual'!$A$6:$A$179,$A124)</x:f>
        <x:v>1021</x:v>
      </x:c>
      <x:c r="J124" s="47" t="n">
        <x:f>I124-H124</x:f>
        <x:v>0</x:v>
      </x:c>
      <x:c r="K124" s="62" t="n">
        <x:v>344154492</x:v>
      </x:c>
      <x:c r="L124" s="62" t="n">
        <x:f>SUMIFS('County annual'!$J$6:$J$179,'County annual'!$C$6:$C$179,$C124,'County annual'!$A$6:$A$179,$A124)</x:f>
        <x:v>344154492</x:v>
      </x:c>
      <x:c r="M124" s="62" t="n">
        <x:f>L124-K124</x:f>
        <x:v>0</x:v>
      </x:c>
      <x:c r="N124" s="47" t="n">
        <x:v>1021</x:v>
      </x:c>
      <x:c r="O124" s="47" t="n">
        <x:f>SUMIFS('County annual'!$K$6:$K$179,'County annual'!$C$6:$C$179,$C124,'County annual'!$A$6:$A$179,$A124)</x:f>
        <x:v>1021</x:v>
      </x:c>
      <x:c r="P124" s="47" t="n">
        <x:f>O124-N124</x:f>
        <x:v>0</x:v>
      </x:c>
      <x:c r="Q124" s="47" t="n">
        <x:f>IF(SUMIFS('County annual'!$D$6:$D$179,'County annual'!$C$6:$C$179,$C124,'County annual'!$A$6:$A$179,$A124)=D124,0,1)+IF(SUMIFS('County annual'!$E$6:$E$179,'County annual'!$C$6:$C$179,$C124,'County annual'!$A$6:$A$179,$A124)=E124,0,1)+IF(SUMIFS('County annual'!$F$6:$F$179,'County annual'!$C$6:$C$179,$C124,'County annual'!$A$6:$A$179,$A124)=F124,0,1)+IF(SUMIFS('County annual'!$G$6:$G$179,'County annual'!$C$6:$C$179,$C124,'County annual'!$A$6:$A$179,$A124)=G124,0,1)</x:f>
        <x:v>0</x:v>
      </x:c>
      <x:c r="R124" s="30" t="str">
        <x:f>IF(AND(J124=0,M124=0,P124=0,Q124=0),"Match","Mismatch")</x:f>
        <x:v>Match</x:v>
      </x:c>
      <x:c r="S124" s="30" t="str">
        <x:v>BPS-CO-2024</x:v>
      </x:c>
      <x:c r="T124" s="30" t="str">
        <x:v>raw/county/co2024a.txt</x:v>
      </x:c>
      <x:c r="U124" s="56" t="n">
        <x:v>2671</x:v>
      </x:c>
    </x:row>
    <x:row r="125" ht="21" customHeight="1">
      <x:c r="A125" s="56" t="n">
        <x:v>2024</x:v>
      </x:c>
      <x:c r="B125" s="30" t="str">
        <x:v>Carbon County</x:v>
      </x:c>
      <x:c r="C125" s="58" t="str">
        <x:v>49007</x:v>
      </x:c>
      <x:c r="D125" s="47" t="n">
        <x:v>28</x:v>
      </x:c>
      <x:c r="E125" s="47" t="n">
        <x:v>0</x:v>
      </x:c>
      <x:c r="F125" s="47" t="n">
        <x:v>0</x:v>
      </x:c>
      <x:c r="G125" s="47" t="n">
        <x:v>168</x:v>
      </x:c>
      <x:c r="H125" s="47" t="n">
        <x:f>SUM(D125:G125)</x:f>
        <x:v>196</x:v>
      </x:c>
      <x:c r="I125" s="47" t="n">
        <x:f>SUMIFS('County annual'!$H$6:$H$179,'County annual'!$C$6:$C$179,$C125,'County annual'!$A$6:$A$179,$A125)</x:f>
        <x:v>196</x:v>
      </x:c>
      <x:c r="J125" s="47" t="n">
        <x:f>I125-H125</x:f>
        <x:v>0</x:v>
      </x:c>
      <x:c r="K125" s="62" t="n">
        <x:v>39741904</x:v>
      </x:c>
      <x:c r="L125" s="62" t="n">
        <x:f>SUMIFS('County annual'!$J$6:$J$179,'County annual'!$C$6:$C$179,$C125,'County annual'!$A$6:$A$179,$A125)</x:f>
        <x:v>39741904</x:v>
      </x:c>
      <x:c r="M125" s="62" t="n">
        <x:f>L125-K125</x:f>
        <x:v>0</x:v>
      </x:c>
      <x:c r="N125" s="47" t="n">
        <x:v>196</x:v>
      </x:c>
      <x:c r="O125" s="47" t="n">
        <x:f>SUMIFS('County annual'!$K$6:$K$179,'County annual'!$C$6:$C$179,$C125,'County annual'!$A$6:$A$179,$A125)</x:f>
        <x:v>196</x:v>
      </x:c>
      <x:c r="P125" s="47" t="n">
        <x:f>O125-N125</x:f>
        <x:v>0</x:v>
      </x:c>
      <x:c r="Q125" s="47" t="n">
        <x:f>IF(SUMIFS('County annual'!$D$6:$D$179,'County annual'!$C$6:$C$179,$C125,'County annual'!$A$6:$A$179,$A125)=D125,0,1)+IF(SUMIFS('County annual'!$E$6:$E$179,'County annual'!$C$6:$C$179,$C125,'County annual'!$A$6:$A$179,$A125)=E125,0,1)+IF(SUMIFS('County annual'!$F$6:$F$179,'County annual'!$C$6:$C$179,$C125,'County annual'!$A$6:$A$179,$A125)=F125,0,1)+IF(SUMIFS('County annual'!$G$6:$G$179,'County annual'!$C$6:$C$179,$C125,'County annual'!$A$6:$A$179,$A125)=G125,0,1)</x:f>
        <x:v>0</x:v>
      </x:c>
      <x:c r="R125" s="30" t="str">
        <x:f>IF(AND(J125=0,M125=0,P125=0,Q125=0),"Match","Mismatch")</x:f>
        <x:v>Match</x:v>
      </x:c>
      <x:c r="S125" s="30" t="str">
        <x:v>BPS-CO-2024</x:v>
      </x:c>
      <x:c r="T125" s="30" t="str">
        <x:v>raw/county/co2024a.txt</x:v>
      </x:c>
      <x:c r="U125" s="56" t="n">
        <x:v>2672</x:v>
      </x:c>
    </x:row>
    <x:row r="126" ht="21" customHeight="1">
      <x:c r="A126" s="56" t="n">
        <x:v>2024</x:v>
      </x:c>
      <x:c r="B126" s="30" t="str">
        <x:v>Daggett County</x:v>
      </x:c>
      <x:c r="C126" s="58" t="str">
        <x:v>49009</x:v>
      </x:c>
      <x:c r="D126" s="47" t="n">
        <x:v>10</x:v>
      </x:c>
      <x:c r="E126" s="47" t="n">
        <x:v>0</x:v>
      </x:c>
      <x:c r="F126" s="47" t="n">
        <x:v>0</x:v>
      </x:c>
      <x:c r="G126" s="47" t="n">
        <x:v>0</x:v>
      </x:c>
      <x:c r="H126" s="47" t="n">
        <x:f>SUM(D126:G126)</x:f>
        <x:v>10</x:v>
      </x:c>
      <x:c r="I126" s="47" t="n">
        <x:f>SUMIFS('County annual'!$H$6:$H$179,'County annual'!$C$6:$C$179,$C126,'County annual'!$A$6:$A$179,$A126)</x:f>
        <x:v>10</x:v>
      </x:c>
      <x:c r="J126" s="47" t="n">
        <x:f>I126-H126</x:f>
        <x:v>0</x:v>
      </x:c>
      <x:c r="K126" s="62" t="n">
        <x:v>3566205</x:v>
      </x:c>
      <x:c r="L126" s="62" t="n">
        <x:f>SUMIFS('County annual'!$J$6:$J$179,'County annual'!$C$6:$C$179,$C126,'County annual'!$A$6:$A$179,$A126)</x:f>
        <x:v>3566205</x:v>
      </x:c>
      <x:c r="M126" s="62" t="n">
        <x:f>L126-K126</x:f>
        <x:v>0</x:v>
      </x:c>
      <x:c r="N126" s="47" t="n">
        <x:v>10</x:v>
      </x:c>
      <x:c r="O126" s="47" t="n">
        <x:f>SUMIFS('County annual'!$K$6:$K$179,'County annual'!$C$6:$C$179,$C126,'County annual'!$A$6:$A$179,$A126)</x:f>
        <x:v>10</x:v>
      </x:c>
      <x:c r="P126" s="47" t="n">
        <x:f>O126-N126</x:f>
        <x:v>0</x:v>
      </x:c>
      <x:c r="Q126" s="47" t="n">
        <x:f>IF(SUMIFS('County annual'!$D$6:$D$179,'County annual'!$C$6:$C$179,$C126,'County annual'!$A$6:$A$179,$A126)=D126,0,1)+IF(SUMIFS('County annual'!$E$6:$E$179,'County annual'!$C$6:$C$179,$C126,'County annual'!$A$6:$A$179,$A126)=E126,0,1)+IF(SUMIFS('County annual'!$F$6:$F$179,'County annual'!$C$6:$C$179,$C126,'County annual'!$A$6:$A$179,$A126)=F126,0,1)+IF(SUMIFS('County annual'!$G$6:$G$179,'County annual'!$C$6:$C$179,$C126,'County annual'!$A$6:$A$179,$A126)=G126,0,1)</x:f>
        <x:v>0</x:v>
      </x:c>
      <x:c r="R126" s="30" t="str">
        <x:f>IF(AND(J126=0,M126=0,P126=0,Q126=0),"Match","Mismatch")</x:f>
        <x:v>Match</x:v>
      </x:c>
      <x:c r="S126" s="30" t="str">
        <x:v>BPS-CO-2024</x:v>
      </x:c>
      <x:c r="T126" s="30" t="str">
        <x:v>raw/county/co2024a.txt</x:v>
      </x:c>
      <x:c r="U126" s="56" t="n">
        <x:v>2673</x:v>
      </x:c>
    </x:row>
    <x:row r="127" ht="21" customHeight="1">
      <x:c r="A127" s="56" t="n">
        <x:v>2024</x:v>
      </x:c>
      <x:c r="B127" s="30" t="str">
        <x:v>Davis County</x:v>
      </x:c>
      <x:c r="C127" s="58" t="str">
        <x:v>49011</x:v>
      </x:c>
      <x:c r="D127" s="47" t="n">
        <x:v>920</x:v>
      </x:c>
      <x:c r="E127" s="47" t="n">
        <x:v>2</x:v>
      </x:c>
      <x:c r="F127" s="47" t="n">
        <x:v>38</x:v>
      </x:c>
      <x:c r="G127" s="47" t="n">
        <x:v>508</x:v>
      </x:c>
      <x:c r="H127" s="47" t="n">
        <x:f>SUM(D127:G127)</x:f>
        <x:v>1468</x:v>
      </x:c>
      <x:c r="I127" s="47" t="n">
        <x:f>SUMIFS('County annual'!$H$6:$H$179,'County annual'!$C$6:$C$179,$C127,'County annual'!$A$6:$A$179,$A127)</x:f>
        <x:v>1468</x:v>
      </x:c>
      <x:c r="J127" s="47" t="n">
        <x:f>I127-H127</x:f>
        <x:v>0</x:v>
      </x:c>
      <x:c r="K127" s="62" t="n">
        <x:v>423279162</x:v>
      </x:c>
      <x:c r="L127" s="62" t="n">
        <x:f>SUMIFS('County annual'!$J$6:$J$179,'County annual'!$C$6:$C$179,$C127,'County annual'!$A$6:$A$179,$A127)</x:f>
        <x:v>423279162</x:v>
      </x:c>
      <x:c r="M127" s="62" t="n">
        <x:f>L127-K127</x:f>
        <x:v>0</x:v>
      </x:c>
      <x:c r="N127" s="47" t="n">
        <x:v>1468</x:v>
      </x:c>
      <x:c r="O127" s="47" t="n">
        <x:f>SUMIFS('County annual'!$K$6:$K$179,'County annual'!$C$6:$C$179,$C127,'County annual'!$A$6:$A$179,$A127)</x:f>
        <x:v>1468</x:v>
      </x:c>
      <x:c r="P127" s="47" t="n">
        <x:f>O127-N127</x:f>
        <x:v>0</x:v>
      </x:c>
      <x:c r="Q127" s="47" t="n">
        <x:f>IF(SUMIFS('County annual'!$D$6:$D$179,'County annual'!$C$6:$C$179,$C127,'County annual'!$A$6:$A$179,$A127)=D127,0,1)+IF(SUMIFS('County annual'!$E$6:$E$179,'County annual'!$C$6:$C$179,$C127,'County annual'!$A$6:$A$179,$A127)=E127,0,1)+IF(SUMIFS('County annual'!$F$6:$F$179,'County annual'!$C$6:$C$179,$C127,'County annual'!$A$6:$A$179,$A127)=F127,0,1)+IF(SUMIFS('County annual'!$G$6:$G$179,'County annual'!$C$6:$C$179,$C127,'County annual'!$A$6:$A$179,$A127)=G127,0,1)</x:f>
        <x:v>0</x:v>
      </x:c>
      <x:c r="R127" s="30" t="str">
        <x:f>IF(AND(J127=0,M127=0,P127=0,Q127=0),"Match","Mismatch")</x:f>
        <x:v>Match</x:v>
      </x:c>
      <x:c r="S127" s="30" t="str">
        <x:v>BPS-CO-2024</x:v>
      </x:c>
      <x:c r="T127" s="30" t="str">
        <x:v>raw/county/co2024a.txt</x:v>
      </x:c>
      <x:c r="U127" s="56" t="n">
        <x:v>2674</x:v>
      </x:c>
    </x:row>
    <x:row r="128" ht="21" customHeight="1">
      <x:c r="A128" s="56" t="n">
        <x:v>2024</x:v>
      </x:c>
      <x:c r="B128" s="30" t="str">
        <x:v>Duchesne County</x:v>
      </x:c>
      <x:c r="C128" s="58" t="str">
        <x:v>49013</x:v>
      </x:c>
      <x:c r="D128" s="47" t="n">
        <x:v>123</x:v>
      </x:c>
      <x:c r="E128" s="47" t="n">
        <x:v>0</x:v>
      </x:c>
      <x:c r="F128" s="47" t="n">
        <x:v>0</x:v>
      </x:c>
      <x:c r="G128" s="47" t="n">
        <x:v>0</x:v>
      </x:c>
      <x:c r="H128" s="47" t="n">
        <x:f>SUM(D128:G128)</x:f>
        <x:v>123</x:v>
      </x:c>
      <x:c r="I128" s="47" t="n">
        <x:f>SUMIFS('County annual'!$H$6:$H$179,'County annual'!$C$6:$C$179,$C128,'County annual'!$A$6:$A$179,$A128)</x:f>
        <x:v>123</x:v>
      </x:c>
      <x:c r="J128" s="47" t="n">
        <x:f>I128-H128</x:f>
        <x:v>0</x:v>
      </x:c>
      <x:c r="K128" s="62" t="n">
        <x:v>41080142</x:v>
      </x:c>
      <x:c r="L128" s="62" t="n">
        <x:f>SUMIFS('County annual'!$J$6:$J$179,'County annual'!$C$6:$C$179,$C128,'County annual'!$A$6:$A$179,$A128)</x:f>
        <x:v>41080142</x:v>
      </x:c>
      <x:c r="M128" s="62" t="n">
        <x:f>L128-K128</x:f>
        <x:v>0</x:v>
      </x:c>
      <x:c r="N128" s="47" t="n">
        <x:v>70</x:v>
      </x:c>
      <x:c r="O128" s="47" t="n">
        <x:f>SUMIFS('County annual'!$K$6:$K$179,'County annual'!$C$6:$C$179,$C128,'County annual'!$A$6:$A$179,$A128)</x:f>
        <x:v>70</x:v>
      </x:c>
      <x:c r="P128" s="47" t="n">
        <x:f>O128-N128</x:f>
        <x:v>0</x:v>
      </x:c>
      <x:c r="Q128" s="47" t="n">
        <x:f>IF(SUMIFS('County annual'!$D$6:$D$179,'County annual'!$C$6:$C$179,$C128,'County annual'!$A$6:$A$179,$A128)=D128,0,1)+IF(SUMIFS('County annual'!$E$6:$E$179,'County annual'!$C$6:$C$179,$C128,'County annual'!$A$6:$A$179,$A128)=E128,0,1)+IF(SUMIFS('County annual'!$F$6:$F$179,'County annual'!$C$6:$C$179,$C128,'County annual'!$A$6:$A$179,$A128)=F128,0,1)+IF(SUMIFS('County annual'!$G$6:$G$179,'County annual'!$C$6:$C$179,$C128,'County annual'!$A$6:$A$179,$A128)=G128,0,1)</x:f>
        <x:v>0</x:v>
      </x:c>
      <x:c r="R128" s="30" t="str">
        <x:f>IF(AND(J128=0,M128=0,P128=0,Q128=0),"Match","Mismatch")</x:f>
        <x:v>Match</x:v>
      </x:c>
      <x:c r="S128" s="30" t="str">
        <x:v>BPS-CO-2024</x:v>
      </x:c>
      <x:c r="T128" s="30" t="str">
        <x:v>raw/county/co2024a.txt</x:v>
      </x:c>
      <x:c r="U128" s="56" t="n">
        <x:v>2675</x:v>
      </x:c>
    </x:row>
    <x:row r="129" ht="21" customHeight="1">
      <x:c r="A129" s="56" t="n">
        <x:v>2024</x:v>
      </x:c>
      <x:c r="B129" s="30" t="str">
        <x:v>Emery County</x:v>
      </x:c>
      <x:c r="C129" s="58" t="str">
        <x:v>49015</x:v>
      </x:c>
      <x:c r="D129" s="47" t="n">
        <x:v>55</x:v>
      </x:c>
      <x:c r="E129" s="47" t="n">
        <x:v>0</x:v>
      </x:c>
      <x:c r="F129" s="47" t="n">
        <x:v>0</x:v>
      </x:c>
      <x:c r="G129" s="47" t="n">
        <x:v>0</x:v>
      </x:c>
      <x:c r="H129" s="47" t="n">
        <x:f>SUM(D129:G129)</x:f>
        <x:v>55</x:v>
      </x:c>
      <x:c r="I129" s="47" t="n">
        <x:f>SUMIFS('County annual'!$H$6:$H$179,'County annual'!$C$6:$C$179,$C129,'County annual'!$A$6:$A$179,$A129)</x:f>
        <x:v>55</x:v>
      </x:c>
      <x:c r="J129" s="47" t="n">
        <x:f>I129-H129</x:f>
        <x:v>0</x:v>
      </x:c>
      <x:c r="K129" s="62" t="n">
        <x:v>6092325</x:v>
      </x:c>
      <x:c r="L129" s="62" t="n">
        <x:f>SUMIFS('County annual'!$J$6:$J$179,'County annual'!$C$6:$C$179,$C129,'County annual'!$A$6:$A$179,$A129)</x:f>
        <x:v>6092325</x:v>
      </x:c>
      <x:c r="M129" s="62" t="n">
        <x:f>L129-K129</x:f>
        <x:v>0</x:v>
      </x:c>
      <x:c r="N129" s="47" t="n">
        <x:v>55</x:v>
      </x:c>
      <x:c r="O129" s="47" t="n">
        <x:f>SUMIFS('County annual'!$K$6:$K$179,'County annual'!$C$6:$C$179,$C129,'County annual'!$A$6:$A$179,$A129)</x:f>
        <x:v>55</x:v>
      </x:c>
      <x:c r="P129" s="47" t="n">
        <x:f>O129-N129</x:f>
        <x:v>0</x:v>
      </x:c>
      <x:c r="Q129" s="47" t="n">
        <x:f>IF(SUMIFS('County annual'!$D$6:$D$179,'County annual'!$C$6:$C$179,$C129,'County annual'!$A$6:$A$179,$A129)=D129,0,1)+IF(SUMIFS('County annual'!$E$6:$E$179,'County annual'!$C$6:$C$179,$C129,'County annual'!$A$6:$A$179,$A129)=E129,0,1)+IF(SUMIFS('County annual'!$F$6:$F$179,'County annual'!$C$6:$C$179,$C129,'County annual'!$A$6:$A$179,$A129)=F129,0,1)+IF(SUMIFS('County annual'!$G$6:$G$179,'County annual'!$C$6:$C$179,$C129,'County annual'!$A$6:$A$179,$A129)=G129,0,1)</x:f>
        <x:v>0</x:v>
      </x:c>
      <x:c r="R129" s="30" t="str">
        <x:f>IF(AND(J129=0,M129=0,P129=0,Q129=0),"Match","Mismatch")</x:f>
        <x:v>Match</x:v>
      </x:c>
      <x:c r="S129" s="30" t="str">
        <x:v>BPS-CO-2024</x:v>
      </x:c>
      <x:c r="T129" s="30" t="str">
        <x:v>raw/county/co2024a.txt</x:v>
      </x:c>
      <x:c r="U129" s="56" t="n">
        <x:v>2676</x:v>
      </x:c>
    </x:row>
    <x:row r="130" ht="21" customHeight="1">
      <x:c r="A130" s="56" t="n">
        <x:v>2024</x:v>
      </x:c>
      <x:c r="B130" s="30" t="str">
        <x:v>Garfield County</x:v>
      </x:c>
      <x:c r="C130" s="58" t="str">
        <x:v>49017</x:v>
      </x:c>
      <x:c r="D130" s="47" t="n">
        <x:v>57</x:v>
      </x:c>
      <x:c r="E130" s="47" t="n">
        <x:v>0</x:v>
      </x:c>
      <x:c r="F130" s="47" t="n">
        <x:v>0</x:v>
      </x:c>
      <x:c r="G130" s="47" t="n">
        <x:v>0</x:v>
      </x:c>
      <x:c r="H130" s="47" t="n">
        <x:f>SUM(D130:G130)</x:f>
        <x:v>57</x:v>
      </x:c>
      <x:c r="I130" s="47" t="n">
        <x:f>SUMIFS('County annual'!$H$6:$H$179,'County annual'!$C$6:$C$179,$C130,'County annual'!$A$6:$A$179,$A130)</x:f>
        <x:v>57</x:v>
      </x:c>
      <x:c r="J130" s="47" t="n">
        <x:f>I130-H130</x:f>
        <x:v>0</x:v>
      </x:c>
      <x:c r="K130" s="62" t="n">
        <x:v>17217025</x:v>
      </x:c>
      <x:c r="L130" s="62" t="n">
        <x:f>SUMIFS('County annual'!$J$6:$J$179,'County annual'!$C$6:$C$179,$C130,'County annual'!$A$6:$A$179,$A130)</x:f>
        <x:v>17217025</x:v>
      </x:c>
      <x:c r="M130" s="62" t="n">
        <x:f>L130-K130</x:f>
        <x:v>0</x:v>
      </x:c>
      <x:c r="N130" s="47" t="n">
        <x:v>57</x:v>
      </x:c>
      <x:c r="O130" s="47" t="n">
        <x:f>SUMIFS('County annual'!$K$6:$K$179,'County annual'!$C$6:$C$179,$C130,'County annual'!$A$6:$A$179,$A130)</x:f>
        <x:v>57</x:v>
      </x:c>
      <x:c r="P130" s="47" t="n">
        <x:f>O130-N130</x:f>
        <x:v>0</x:v>
      </x:c>
      <x:c r="Q130" s="47" t="n">
        <x:f>IF(SUMIFS('County annual'!$D$6:$D$179,'County annual'!$C$6:$C$179,$C130,'County annual'!$A$6:$A$179,$A130)=D130,0,1)+IF(SUMIFS('County annual'!$E$6:$E$179,'County annual'!$C$6:$C$179,$C130,'County annual'!$A$6:$A$179,$A130)=E130,0,1)+IF(SUMIFS('County annual'!$F$6:$F$179,'County annual'!$C$6:$C$179,$C130,'County annual'!$A$6:$A$179,$A130)=F130,0,1)+IF(SUMIFS('County annual'!$G$6:$G$179,'County annual'!$C$6:$C$179,$C130,'County annual'!$A$6:$A$179,$A130)=G130,0,1)</x:f>
        <x:v>0</x:v>
      </x:c>
      <x:c r="R130" s="30" t="str">
        <x:f>IF(AND(J130=0,M130=0,P130=0,Q130=0),"Match","Mismatch")</x:f>
        <x:v>Match</x:v>
      </x:c>
      <x:c r="S130" s="30" t="str">
        <x:v>BPS-CO-2024</x:v>
      </x:c>
      <x:c r="T130" s="30" t="str">
        <x:v>raw/county/co2024a.txt</x:v>
      </x:c>
      <x:c r="U130" s="56" t="n">
        <x:v>2677</x:v>
      </x:c>
    </x:row>
    <x:row r="131" ht="21" customHeight="1">
      <x:c r="A131" s="56" t="n">
        <x:v>2024</x:v>
      </x:c>
      <x:c r="B131" s="30" t="str">
        <x:v>Grand County</x:v>
      </x:c>
      <x:c r="C131" s="58" t="str">
        <x:v>49019</x:v>
      </x:c>
      <x:c r="D131" s="47" t="n">
        <x:v>120</x:v>
      </x:c>
      <x:c r="E131" s="47" t="n">
        <x:v>18</x:v>
      </x:c>
      <x:c r="F131" s="47" t="n">
        <x:v>0</x:v>
      </x:c>
      <x:c r="G131" s="47" t="n">
        <x:v>100</x:v>
      </x:c>
      <x:c r="H131" s="47" t="n">
        <x:f>SUM(D131:G131)</x:f>
        <x:v>238</x:v>
      </x:c>
      <x:c r="I131" s="47" t="n">
        <x:f>SUMIFS('County annual'!$H$6:$H$179,'County annual'!$C$6:$C$179,$C131,'County annual'!$A$6:$A$179,$A131)</x:f>
        <x:v>238</x:v>
      </x:c>
      <x:c r="J131" s="47" t="n">
        <x:f>I131-H131</x:f>
        <x:v>0</x:v>
      </x:c>
      <x:c r="K131" s="62" t="n">
        <x:v>41784486</x:v>
      </x:c>
      <x:c r="L131" s="62" t="n">
        <x:f>SUMIFS('County annual'!$J$6:$J$179,'County annual'!$C$6:$C$179,$C131,'County annual'!$A$6:$A$179,$A131)</x:f>
        <x:v>41784486</x:v>
      </x:c>
      <x:c r="M131" s="62" t="n">
        <x:f>L131-K131</x:f>
        <x:v>0</x:v>
      </x:c>
      <x:c r="N131" s="47" t="n">
        <x:v>238</x:v>
      </x:c>
      <x:c r="O131" s="47" t="n">
        <x:f>SUMIFS('County annual'!$K$6:$K$179,'County annual'!$C$6:$C$179,$C131,'County annual'!$A$6:$A$179,$A131)</x:f>
        <x:v>238</x:v>
      </x:c>
      <x:c r="P131" s="47" t="n">
        <x:f>O131-N131</x:f>
        <x:v>0</x:v>
      </x:c>
      <x:c r="Q131" s="47" t="n">
        <x:f>IF(SUMIFS('County annual'!$D$6:$D$179,'County annual'!$C$6:$C$179,$C131,'County annual'!$A$6:$A$179,$A131)=D131,0,1)+IF(SUMIFS('County annual'!$E$6:$E$179,'County annual'!$C$6:$C$179,$C131,'County annual'!$A$6:$A$179,$A131)=E131,0,1)+IF(SUMIFS('County annual'!$F$6:$F$179,'County annual'!$C$6:$C$179,$C131,'County annual'!$A$6:$A$179,$A131)=F131,0,1)+IF(SUMIFS('County annual'!$G$6:$G$179,'County annual'!$C$6:$C$179,$C131,'County annual'!$A$6:$A$179,$A131)=G131,0,1)</x:f>
        <x:v>0</x:v>
      </x:c>
      <x:c r="R131" s="30" t="str">
        <x:f>IF(AND(J131=0,M131=0,P131=0,Q131=0),"Match","Mismatch")</x:f>
        <x:v>Match</x:v>
      </x:c>
      <x:c r="S131" s="30" t="str">
        <x:v>BPS-CO-2024</x:v>
      </x:c>
      <x:c r="T131" s="30" t="str">
        <x:v>raw/county/co2024a.txt</x:v>
      </x:c>
      <x:c r="U131" s="56" t="n">
        <x:v>2678</x:v>
      </x:c>
    </x:row>
    <x:row r="132" ht="21" customHeight="1">
      <x:c r="A132" s="56" t="n">
        <x:v>2024</x:v>
      </x:c>
      <x:c r="B132" s="30" t="str">
        <x:v>Iron County</x:v>
      </x:c>
      <x:c r="C132" s="58" t="str">
        <x:v>49021</x:v>
      </x:c>
      <x:c r="D132" s="47" t="n">
        <x:v>655</x:v>
      </x:c>
      <x:c r="E132" s="47" t="n">
        <x:v>0</x:v>
      </x:c>
      <x:c r="F132" s="47" t="n">
        <x:v>0</x:v>
      </x:c>
      <x:c r="G132" s="47" t="n">
        <x:v>0</x:v>
      </x:c>
      <x:c r="H132" s="47" t="n">
        <x:f>SUM(D132:G132)</x:f>
        <x:v>655</x:v>
      </x:c>
      <x:c r="I132" s="47" t="n">
        <x:f>SUMIFS('County annual'!$H$6:$H$179,'County annual'!$C$6:$C$179,$C132,'County annual'!$A$6:$A$179,$A132)</x:f>
        <x:v>655</x:v>
      </x:c>
      <x:c r="J132" s="47" t="n">
        <x:f>I132-H132</x:f>
        <x:v>0</x:v>
      </x:c>
      <x:c r="K132" s="62" t="n">
        <x:v>202538802</x:v>
      </x:c>
      <x:c r="L132" s="62" t="n">
        <x:f>SUMIFS('County annual'!$J$6:$J$179,'County annual'!$C$6:$C$179,$C132,'County annual'!$A$6:$A$179,$A132)</x:f>
        <x:v>202538802</x:v>
      </x:c>
      <x:c r="M132" s="62" t="n">
        <x:f>L132-K132</x:f>
        <x:v>0</x:v>
      </x:c>
      <x:c r="N132" s="47" t="n">
        <x:v>655</x:v>
      </x:c>
      <x:c r="O132" s="47" t="n">
        <x:f>SUMIFS('County annual'!$K$6:$K$179,'County annual'!$C$6:$C$179,$C132,'County annual'!$A$6:$A$179,$A132)</x:f>
        <x:v>655</x:v>
      </x:c>
      <x:c r="P132" s="47" t="n">
        <x:f>O132-N132</x:f>
        <x:v>0</x:v>
      </x:c>
      <x:c r="Q132" s="47" t="n">
        <x:f>IF(SUMIFS('County annual'!$D$6:$D$179,'County annual'!$C$6:$C$179,$C132,'County annual'!$A$6:$A$179,$A132)=D132,0,1)+IF(SUMIFS('County annual'!$E$6:$E$179,'County annual'!$C$6:$C$179,$C132,'County annual'!$A$6:$A$179,$A132)=E132,0,1)+IF(SUMIFS('County annual'!$F$6:$F$179,'County annual'!$C$6:$C$179,$C132,'County annual'!$A$6:$A$179,$A132)=F132,0,1)+IF(SUMIFS('County annual'!$G$6:$G$179,'County annual'!$C$6:$C$179,$C132,'County annual'!$A$6:$A$179,$A132)=G132,0,1)</x:f>
        <x:v>0</x:v>
      </x:c>
      <x:c r="R132" s="30" t="str">
        <x:f>IF(AND(J132=0,M132=0,P132=0,Q132=0),"Match","Mismatch")</x:f>
        <x:v>Match</x:v>
      </x:c>
      <x:c r="S132" s="30" t="str">
        <x:v>BPS-CO-2024</x:v>
      </x:c>
      <x:c r="T132" s="30" t="str">
        <x:v>raw/county/co2024a.txt</x:v>
      </x:c>
      <x:c r="U132" s="56" t="n">
        <x:v>2679</x:v>
      </x:c>
    </x:row>
    <x:row r="133" ht="21" customHeight="1">
      <x:c r="A133" s="56" t="n">
        <x:v>2024</x:v>
      </x:c>
      <x:c r="B133" s="30" t="str">
        <x:v>Juab County</x:v>
      </x:c>
      <x:c r="C133" s="58" t="str">
        <x:v>49023</x:v>
      </x:c>
      <x:c r="D133" s="47" t="n">
        <x:v>72</x:v>
      </x:c>
      <x:c r="E133" s="47" t="n">
        <x:v>6</x:v>
      </x:c>
      <x:c r="F133" s="47" t="n">
        <x:v>22</x:v>
      </x:c>
      <x:c r="G133" s="47" t="n">
        <x:v>7</x:v>
      </x:c>
      <x:c r="H133" s="47" t="n">
        <x:f>SUM(D133:G133)</x:f>
        <x:v>107</x:v>
      </x:c>
      <x:c r="I133" s="47" t="n">
        <x:f>SUMIFS('County annual'!$H$6:$H$179,'County annual'!$C$6:$C$179,$C133,'County annual'!$A$6:$A$179,$A133)</x:f>
        <x:v>107</x:v>
      </x:c>
      <x:c r="J133" s="47" t="n">
        <x:f>I133-H133</x:f>
        <x:v>0</x:v>
      </x:c>
      <x:c r="K133" s="62" t="n">
        <x:v>35437625</x:v>
      </x:c>
      <x:c r="L133" s="62" t="n">
        <x:f>SUMIFS('County annual'!$J$6:$J$179,'County annual'!$C$6:$C$179,$C133,'County annual'!$A$6:$A$179,$A133)</x:f>
        <x:v>35437625</x:v>
      </x:c>
      <x:c r="M133" s="62" t="n">
        <x:f>L133-K133</x:f>
        <x:v>0</x:v>
      </x:c>
      <x:c r="N133" s="47" t="n">
        <x:v>107</x:v>
      </x:c>
      <x:c r="O133" s="47" t="n">
        <x:f>SUMIFS('County annual'!$K$6:$K$179,'County annual'!$C$6:$C$179,$C133,'County annual'!$A$6:$A$179,$A133)</x:f>
        <x:v>107</x:v>
      </x:c>
      <x:c r="P133" s="47" t="n">
        <x:f>O133-N133</x:f>
        <x:v>0</x:v>
      </x:c>
      <x:c r="Q133" s="47" t="n">
        <x:f>IF(SUMIFS('County annual'!$D$6:$D$179,'County annual'!$C$6:$C$179,$C133,'County annual'!$A$6:$A$179,$A133)=D133,0,1)+IF(SUMIFS('County annual'!$E$6:$E$179,'County annual'!$C$6:$C$179,$C133,'County annual'!$A$6:$A$179,$A133)=E133,0,1)+IF(SUMIFS('County annual'!$F$6:$F$179,'County annual'!$C$6:$C$179,$C133,'County annual'!$A$6:$A$179,$A133)=F133,0,1)+IF(SUMIFS('County annual'!$G$6:$G$179,'County annual'!$C$6:$C$179,$C133,'County annual'!$A$6:$A$179,$A133)=G133,0,1)</x:f>
        <x:v>0</x:v>
      </x:c>
      <x:c r="R133" s="30" t="str">
        <x:f>IF(AND(J133=0,M133=0,P133=0,Q133=0),"Match","Mismatch")</x:f>
        <x:v>Match</x:v>
      </x:c>
      <x:c r="S133" s="30" t="str">
        <x:v>BPS-CO-2024</x:v>
      </x:c>
      <x:c r="T133" s="30" t="str">
        <x:v>raw/county/co2024a.txt</x:v>
      </x:c>
      <x:c r="U133" s="56" t="n">
        <x:v>2680</x:v>
      </x:c>
    </x:row>
    <x:row r="134" ht="21" customHeight="1">
      <x:c r="A134" s="56" t="n">
        <x:v>2024</x:v>
      </x:c>
      <x:c r="B134" s="30" t="str">
        <x:v>Kane County</x:v>
      </x:c>
      <x:c r="C134" s="58" t="str">
        <x:v>49025</x:v>
      </x:c>
      <x:c r="D134" s="47" t="n">
        <x:v>196</x:v>
      </x:c>
      <x:c r="E134" s="47" t="n">
        <x:v>2</x:v>
      </x:c>
      <x:c r="F134" s="47" t="n">
        <x:v>4</x:v>
      </x:c>
      <x:c r="G134" s="47" t="n">
        <x:v>0</x:v>
      </x:c>
      <x:c r="H134" s="47" t="n">
        <x:f>SUM(D134:G134)</x:f>
        <x:v>202</x:v>
      </x:c>
      <x:c r="I134" s="47" t="n">
        <x:f>SUMIFS('County annual'!$H$6:$H$179,'County annual'!$C$6:$C$179,$C134,'County annual'!$A$6:$A$179,$A134)</x:f>
        <x:v>202</x:v>
      </x:c>
      <x:c r="J134" s="47" t="n">
        <x:f>I134-H134</x:f>
        <x:v>0</x:v>
      </x:c>
      <x:c r="K134" s="62" t="n">
        <x:v>71005717</x:v>
      </x:c>
      <x:c r="L134" s="62" t="n">
        <x:f>SUMIFS('County annual'!$J$6:$J$179,'County annual'!$C$6:$C$179,$C134,'County annual'!$A$6:$A$179,$A134)</x:f>
        <x:v>71005717</x:v>
      </x:c>
      <x:c r="M134" s="62" t="n">
        <x:f>L134-K134</x:f>
        <x:v>0</x:v>
      </x:c>
      <x:c r="N134" s="47" t="n">
        <x:v>171</x:v>
      </x:c>
      <x:c r="O134" s="47" t="n">
        <x:f>SUMIFS('County annual'!$K$6:$K$179,'County annual'!$C$6:$C$179,$C134,'County annual'!$A$6:$A$179,$A134)</x:f>
        <x:v>171</x:v>
      </x:c>
      <x:c r="P134" s="47" t="n">
        <x:f>O134-N134</x:f>
        <x:v>0</x:v>
      </x:c>
      <x:c r="Q134" s="47" t="n">
        <x:f>IF(SUMIFS('County annual'!$D$6:$D$179,'County annual'!$C$6:$C$179,$C134,'County annual'!$A$6:$A$179,$A134)=D134,0,1)+IF(SUMIFS('County annual'!$E$6:$E$179,'County annual'!$C$6:$C$179,$C134,'County annual'!$A$6:$A$179,$A134)=E134,0,1)+IF(SUMIFS('County annual'!$F$6:$F$179,'County annual'!$C$6:$C$179,$C134,'County annual'!$A$6:$A$179,$A134)=F134,0,1)+IF(SUMIFS('County annual'!$G$6:$G$179,'County annual'!$C$6:$C$179,$C134,'County annual'!$A$6:$A$179,$A134)=G134,0,1)</x:f>
        <x:v>0</x:v>
      </x:c>
      <x:c r="R134" s="30" t="str">
        <x:f>IF(AND(J134=0,M134=0,P134=0,Q134=0),"Match","Mismatch")</x:f>
        <x:v>Match</x:v>
      </x:c>
      <x:c r="S134" s="30" t="str">
        <x:v>BPS-CO-2024</x:v>
      </x:c>
      <x:c r="T134" s="30" t="str">
        <x:v>raw/county/co2024a.txt</x:v>
      </x:c>
      <x:c r="U134" s="56" t="n">
        <x:v>2681</x:v>
      </x:c>
    </x:row>
    <x:row r="135" ht="21" customHeight="1">
      <x:c r="A135" s="56" t="n">
        <x:v>2024</x:v>
      </x:c>
      <x:c r="B135" s="30" t="str">
        <x:v>Millard County</x:v>
      </x:c>
      <x:c r="C135" s="58" t="str">
        <x:v>49027</x:v>
      </x:c>
      <x:c r="D135" s="47" t="n">
        <x:v>76</x:v>
      </x:c>
      <x:c r="E135" s="47" t="n">
        <x:v>2</x:v>
      </x:c>
      <x:c r="F135" s="47" t="n">
        <x:v>15</x:v>
      </x:c>
      <x:c r="G135" s="47" t="n">
        <x:v>0</x:v>
      </x:c>
      <x:c r="H135" s="47" t="n">
        <x:f>SUM(D135:G135)</x:f>
        <x:v>93</x:v>
      </x:c>
      <x:c r="I135" s="47" t="n">
        <x:f>SUMIFS('County annual'!$H$6:$H$179,'County annual'!$C$6:$C$179,$C135,'County annual'!$A$6:$A$179,$A135)</x:f>
        <x:v>93</x:v>
      </x:c>
      <x:c r="J135" s="47" t="n">
        <x:f>I135-H135</x:f>
        <x:v>0</x:v>
      </x:c>
      <x:c r="K135" s="62" t="n">
        <x:v>18437512</x:v>
      </x:c>
      <x:c r="L135" s="62" t="n">
        <x:f>SUMIFS('County annual'!$J$6:$J$179,'County annual'!$C$6:$C$179,$C135,'County annual'!$A$6:$A$179,$A135)</x:f>
        <x:v>18437512</x:v>
      </x:c>
      <x:c r="M135" s="62" t="n">
        <x:f>L135-K135</x:f>
        <x:v>0</x:v>
      </x:c>
      <x:c r="N135" s="47" t="n">
        <x:v>91</x:v>
      </x:c>
      <x:c r="O135" s="47" t="n">
        <x:f>SUMIFS('County annual'!$K$6:$K$179,'County annual'!$C$6:$C$179,$C135,'County annual'!$A$6:$A$179,$A135)</x:f>
        <x:v>91</x:v>
      </x:c>
      <x:c r="P135" s="47" t="n">
        <x:f>O135-N135</x:f>
        <x:v>0</x:v>
      </x:c>
      <x:c r="Q135" s="47" t="n">
        <x:f>IF(SUMIFS('County annual'!$D$6:$D$179,'County annual'!$C$6:$C$179,$C135,'County annual'!$A$6:$A$179,$A135)=D135,0,1)+IF(SUMIFS('County annual'!$E$6:$E$179,'County annual'!$C$6:$C$179,$C135,'County annual'!$A$6:$A$179,$A135)=E135,0,1)+IF(SUMIFS('County annual'!$F$6:$F$179,'County annual'!$C$6:$C$179,$C135,'County annual'!$A$6:$A$179,$A135)=F135,0,1)+IF(SUMIFS('County annual'!$G$6:$G$179,'County annual'!$C$6:$C$179,$C135,'County annual'!$A$6:$A$179,$A135)=G135,0,1)</x:f>
        <x:v>0</x:v>
      </x:c>
      <x:c r="R135" s="30" t="str">
        <x:f>IF(AND(J135=0,M135=0,P135=0,Q135=0),"Match","Mismatch")</x:f>
        <x:v>Match</x:v>
      </x:c>
      <x:c r="S135" s="30" t="str">
        <x:v>BPS-CO-2024</x:v>
      </x:c>
      <x:c r="T135" s="30" t="str">
        <x:v>raw/county/co2024a.txt</x:v>
      </x:c>
      <x:c r="U135" s="56" t="n">
        <x:v>2682</x:v>
      </x:c>
    </x:row>
    <x:row r="136" ht="21" customHeight="1">
      <x:c r="A136" s="56" t="n">
        <x:v>2024</x:v>
      </x:c>
      <x:c r="B136" s="30" t="str">
        <x:v>Morgan County</x:v>
      </x:c>
      <x:c r="C136" s="58" t="str">
        <x:v>49029</x:v>
      </x:c>
      <x:c r="D136" s="47" t="n">
        <x:v>132</x:v>
      </x:c>
      <x:c r="E136" s="47" t="n">
        <x:v>16</x:v>
      </x:c>
      <x:c r="F136" s="47" t="n">
        <x:v>19</x:v>
      </x:c>
      <x:c r="G136" s="47" t="n">
        <x:v>29</x:v>
      </x:c>
      <x:c r="H136" s="47" t="n">
        <x:f>SUM(D136:G136)</x:f>
        <x:v>196</x:v>
      </x:c>
      <x:c r="I136" s="47" t="n">
        <x:f>SUMIFS('County annual'!$H$6:$H$179,'County annual'!$C$6:$C$179,$C136,'County annual'!$A$6:$A$179,$A136)</x:f>
        <x:v>196</x:v>
      </x:c>
      <x:c r="J136" s="47" t="n">
        <x:f>I136-H136</x:f>
        <x:v>0</x:v>
      </x:c>
      <x:c r="K136" s="62" t="n">
        <x:v>71782319</x:v>
      </x:c>
      <x:c r="L136" s="62" t="n">
        <x:f>SUMIFS('County annual'!$J$6:$J$179,'County annual'!$C$6:$C$179,$C136,'County annual'!$A$6:$A$179,$A136)</x:f>
        <x:v>71782319</x:v>
      </x:c>
      <x:c r="M136" s="62" t="n">
        <x:f>L136-K136</x:f>
        <x:v>0</x:v>
      </x:c>
      <x:c r="N136" s="47" t="n">
        <x:v>196</x:v>
      </x:c>
      <x:c r="O136" s="47" t="n">
        <x:f>SUMIFS('County annual'!$K$6:$K$179,'County annual'!$C$6:$C$179,$C136,'County annual'!$A$6:$A$179,$A136)</x:f>
        <x:v>196</x:v>
      </x:c>
      <x:c r="P136" s="47" t="n">
        <x:f>O136-N136</x:f>
        <x:v>0</x:v>
      </x:c>
      <x:c r="Q136" s="47" t="n">
        <x:f>IF(SUMIFS('County annual'!$D$6:$D$179,'County annual'!$C$6:$C$179,$C136,'County annual'!$A$6:$A$179,$A136)=D136,0,1)+IF(SUMIFS('County annual'!$E$6:$E$179,'County annual'!$C$6:$C$179,$C136,'County annual'!$A$6:$A$179,$A136)=E136,0,1)+IF(SUMIFS('County annual'!$F$6:$F$179,'County annual'!$C$6:$C$179,$C136,'County annual'!$A$6:$A$179,$A136)=F136,0,1)+IF(SUMIFS('County annual'!$G$6:$G$179,'County annual'!$C$6:$C$179,$C136,'County annual'!$A$6:$A$179,$A136)=G136,0,1)</x:f>
        <x:v>0</x:v>
      </x:c>
      <x:c r="R136" s="30" t="str">
        <x:f>IF(AND(J136=0,M136=0,P136=0,Q136=0),"Match","Mismatch")</x:f>
        <x:v>Match</x:v>
      </x:c>
      <x:c r="S136" s="30" t="str">
        <x:v>BPS-CO-2024</x:v>
      </x:c>
      <x:c r="T136" s="30" t="str">
        <x:v>raw/county/co2024a.txt</x:v>
      </x:c>
      <x:c r="U136" s="56" t="n">
        <x:v>2683</x:v>
      </x:c>
    </x:row>
    <x:row r="137" ht="21" customHeight="1">
      <x:c r="A137" s="56" t="n">
        <x:v>2024</x:v>
      </x:c>
      <x:c r="B137" s="30" t="str">
        <x:v>Piute County</x:v>
      </x:c>
      <x:c r="C137" s="58" t="str">
        <x:v>49031</x:v>
      </x:c>
      <x:c r="D137" s="47" t="n">
        <x:v>25</x:v>
      </x:c>
      <x:c r="E137" s="47" t="n">
        <x:v>0</x:v>
      </x:c>
      <x:c r="F137" s="47" t="n">
        <x:v>0</x:v>
      </x:c>
      <x:c r="G137" s="47" t="n">
        <x:v>0</x:v>
      </x:c>
      <x:c r="H137" s="47" t="n">
        <x:f>SUM(D137:G137)</x:f>
        <x:v>25</x:v>
      </x:c>
      <x:c r="I137" s="47" t="n">
        <x:f>SUMIFS('County annual'!$H$6:$H$179,'County annual'!$C$6:$C$179,$C137,'County annual'!$A$6:$A$179,$A137)</x:f>
        <x:v>25</x:v>
      </x:c>
      <x:c r="J137" s="47" t="n">
        <x:f>I137-H137</x:f>
        <x:v>0</x:v>
      </x:c>
      <x:c r="K137" s="62" t="n">
        <x:v>3847375</x:v>
      </x:c>
      <x:c r="L137" s="62" t="n">
        <x:f>SUMIFS('County annual'!$J$6:$J$179,'County annual'!$C$6:$C$179,$C137,'County annual'!$A$6:$A$179,$A137)</x:f>
        <x:v>3847375</x:v>
      </x:c>
      <x:c r="M137" s="62" t="n">
        <x:f>L137-K137</x:f>
        <x:v>0</x:v>
      </x:c>
      <x:c r="N137" s="47" t="n">
        <x:v>1</x:v>
      </x:c>
      <x:c r="O137" s="47" t="n">
        <x:f>SUMIFS('County annual'!$K$6:$K$179,'County annual'!$C$6:$C$179,$C137,'County annual'!$A$6:$A$179,$A137)</x:f>
        <x:v>1</x:v>
      </x:c>
      <x:c r="P137" s="47" t="n">
        <x:f>O137-N137</x:f>
        <x:v>0</x:v>
      </x:c>
      <x:c r="Q137" s="47" t="n">
        <x:f>IF(SUMIFS('County annual'!$D$6:$D$179,'County annual'!$C$6:$C$179,$C137,'County annual'!$A$6:$A$179,$A137)=D137,0,1)+IF(SUMIFS('County annual'!$E$6:$E$179,'County annual'!$C$6:$C$179,$C137,'County annual'!$A$6:$A$179,$A137)=E137,0,1)+IF(SUMIFS('County annual'!$F$6:$F$179,'County annual'!$C$6:$C$179,$C137,'County annual'!$A$6:$A$179,$A137)=F137,0,1)+IF(SUMIFS('County annual'!$G$6:$G$179,'County annual'!$C$6:$C$179,$C137,'County annual'!$A$6:$A$179,$A137)=G137,0,1)</x:f>
        <x:v>0</x:v>
      </x:c>
      <x:c r="R137" s="30" t="str">
        <x:f>IF(AND(J137=0,M137=0,P137=0,Q137=0),"Match","Mismatch")</x:f>
        <x:v>Match</x:v>
      </x:c>
      <x:c r="S137" s="30" t="str">
        <x:v>BPS-CO-2024</x:v>
      </x:c>
      <x:c r="T137" s="30" t="str">
        <x:v>raw/county/co2024a.txt</x:v>
      </x:c>
      <x:c r="U137" s="56" t="n">
        <x:v>2684</x:v>
      </x:c>
    </x:row>
    <x:row r="138" ht="21" customHeight="1">
      <x:c r="A138" s="56" t="n">
        <x:v>2024</x:v>
      </x:c>
      <x:c r="B138" s="30" t="str">
        <x:v>Rich County</x:v>
      </x:c>
      <x:c r="C138" s="58" t="str">
        <x:v>49033</x:v>
      </x:c>
      <x:c r="D138" s="47" t="n">
        <x:v>72</x:v>
      </x:c>
      <x:c r="E138" s="47" t="n">
        <x:v>2</x:v>
      </x:c>
      <x:c r="F138" s="47" t="n">
        <x:v>4</x:v>
      </x:c>
      <x:c r="G138" s="47" t="n">
        <x:v>19</x:v>
      </x:c>
      <x:c r="H138" s="47" t="n">
        <x:f>SUM(D138:G138)</x:f>
        <x:v>97</x:v>
      </x:c>
      <x:c r="I138" s="47" t="n">
        <x:f>SUMIFS('County annual'!$H$6:$H$179,'County annual'!$C$6:$C$179,$C138,'County annual'!$A$6:$A$179,$A138)</x:f>
        <x:v>97</x:v>
      </x:c>
      <x:c r="J138" s="47" t="n">
        <x:f>I138-H138</x:f>
        <x:v>0</x:v>
      </x:c>
      <x:c r="K138" s="62" t="n">
        <x:v>48118316</x:v>
      </x:c>
      <x:c r="L138" s="62" t="n">
        <x:f>SUMIFS('County annual'!$J$6:$J$179,'County annual'!$C$6:$C$179,$C138,'County annual'!$A$6:$A$179,$A138)</x:f>
        <x:v>48118316</x:v>
      </x:c>
      <x:c r="M138" s="62" t="n">
        <x:f>L138-K138</x:f>
        <x:v>0</x:v>
      </x:c>
      <x:c r="N138" s="47" t="n">
        <x:v>54</x:v>
      </x:c>
      <x:c r="O138" s="47" t="n">
        <x:f>SUMIFS('County annual'!$K$6:$K$179,'County annual'!$C$6:$C$179,$C138,'County annual'!$A$6:$A$179,$A138)</x:f>
        <x:v>54</x:v>
      </x:c>
      <x:c r="P138" s="47" t="n">
        <x:f>O138-N138</x:f>
        <x:v>0</x:v>
      </x:c>
      <x:c r="Q138" s="47" t="n">
        <x:f>IF(SUMIFS('County annual'!$D$6:$D$179,'County annual'!$C$6:$C$179,$C138,'County annual'!$A$6:$A$179,$A138)=D138,0,1)+IF(SUMIFS('County annual'!$E$6:$E$179,'County annual'!$C$6:$C$179,$C138,'County annual'!$A$6:$A$179,$A138)=E138,0,1)+IF(SUMIFS('County annual'!$F$6:$F$179,'County annual'!$C$6:$C$179,$C138,'County annual'!$A$6:$A$179,$A138)=F138,0,1)+IF(SUMIFS('County annual'!$G$6:$G$179,'County annual'!$C$6:$C$179,$C138,'County annual'!$A$6:$A$179,$A138)=G138,0,1)</x:f>
        <x:v>0</x:v>
      </x:c>
      <x:c r="R138" s="30" t="str">
        <x:f>IF(AND(J138=0,M138=0,P138=0,Q138=0),"Match","Mismatch")</x:f>
        <x:v>Match</x:v>
      </x:c>
      <x:c r="S138" s="30" t="str">
        <x:v>BPS-CO-2024</x:v>
      </x:c>
      <x:c r="T138" s="30" t="str">
        <x:v>raw/county/co2024a.txt</x:v>
      </x:c>
      <x:c r="U138" s="56" t="n">
        <x:v>2685</x:v>
      </x:c>
    </x:row>
    <x:row r="139" ht="21" customHeight="1">
      <x:c r="A139" s="56" t="n">
        <x:v>2024</x:v>
      </x:c>
      <x:c r="B139" s="30" t="str">
        <x:v>Salt Lake County</x:v>
      </x:c>
      <x:c r="C139" s="58" t="str">
        <x:v>49035</x:v>
      </x:c>
      <x:c r="D139" s="47" t="n">
        <x:v>2848</x:v>
      </x:c>
      <x:c r="E139" s="47" t="n">
        <x:v>30</x:v>
      </x:c>
      <x:c r="F139" s="47" t="n">
        <x:v>93</x:v>
      </x:c>
      <x:c r="G139" s="47" t="n">
        <x:v>1579</x:v>
      </x:c>
      <x:c r="H139" s="47" t="n">
        <x:f>SUM(D139:G139)</x:f>
        <x:v>4550</x:v>
      </x:c>
      <x:c r="I139" s="47" t="n">
        <x:f>SUMIFS('County annual'!$H$6:$H$179,'County annual'!$C$6:$C$179,$C139,'County annual'!$A$6:$A$179,$A139)</x:f>
        <x:v>4550</x:v>
      </x:c>
      <x:c r="J139" s="47" t="n">
        <x:f>I139-H139</x:f>
        <x:v>0</x:v>
      </x:c>
      <x:c r="K139" s="62" t="n">
        <x:v>1285207139</x:v>
      </x:c>
      <x:c r="L139" s="62" t="n">
        <x:f>SUMIFS('County annual'!$J$6:$J$179,'County annual'!$C$6:$C$179,$C139,'County annual'!$A$6:$A$179,$A139)</x:f>
        <x:v>1285207139</x:v>
      </x:c>
      <x:c r="M139" s="62" t="n">
        <x:f>L139-K139</x:f>
        <x:v>0</x:v>
      </x:c>
      <x:c r="N139" s="47" t="n">
        <x:v>4522</x:v>
      </x:c>
      <x:c r="O139" s="47" t="n">
        <x:f>SUMIFS('County annual'!$K$6:$K$179,'County annual'!$C$6:$C$179,$C139,'County annual'!$A$6:$A$179,$A139)</x:f>
        <x:v>4522</x:v>
      </x:c>
      <x:c r="P139" s="47" t="n">
        <x:f>O139-N139</x:f>
        <x:v>0</x:v>
      </x:c>
      <x:c r="Q139" s="47" t="n">
        <x:f>IF(SUMIFS('County annual'!$D$6:$D$179,'County annual'!$C$6:$C$179,$C139,'County annual'!$A$6:$A$179,$A139)=D139,0,1)+IF(SUMIFS('County annual'!$E$6:$E$179,'County annual'!$C$6:$C$179,$C139,'County annual'!$A$6:$A$179,$A139)=E139,0,1)+IF(SUMIFS('County annual'!$F$6:$F$179,'County annual'!$C$6:$C$179,$C139,'County annual'!$A$6:$A$179,$A139)=F139,0,1)+IF(SUMIFS('County annual'!$G$6:$G$179,'County annual'!$C$6:$C$179,$C139,'County annual'!$A$6:$A$179,$A139)=G139,0,1)</x:f>
        <x:v>0</x:v>
      </x:c>
      <x:c r="R139" s="30" t="str">
        <x:f>IF(AND(J139=0,M139=0,P139=0,Q139=0),"Match","Mismatch")</x:f>
        <x:v>Match</x:v>
      </x:c>
      <x:c r="S139" s="30" t="str">
        <x:v>BPS-CO-2024</x:v>
      </x:c>
      <x:c r="T139" s="30" t="str">
        <x:v>raw/county/co2024a.txt</x:v>
      </x:c>
      <x:c r="U139" s="56" t="n">
        <x:v>2686</x:v>
      </x:c>
    </x:row>
    <x:row r="140" ht="21" customHeight="1">
      <x:c r="A140" s="56" t="n">
        <x:v>2024</x:v>
      </x:c>
      <x:c r="B140" s="30" t="str">
        <x:v>San Juan County</x:v>
      </x:c>
      <x:c r="C140" s="58" t="str">
        <x:v>49037</x:v>
      </x:c>
      <x:c r="D140" s="47" t="n">
        <x:v>48</x:v>
      </x:c>
      <x:c r="E140" s="47" t="n">
        <x:v>4</x:v>
      </x:c>
      <x:c r="F140" s="47" t="n">
        <x:v>0</x:v>
      </x:c>
      <x:c r="G140" s="47" t="n">
        <x:v>0</x:v>
      </x:c>
      <x:c r="H140" s="47" t="n">
        <x:f>SUM(D140:G140)</x:f>
        <x:v>52</x:v>
      </x:c>
      <x:c r="I140" s="47" t="n">
        <x:f>SUMIFS('County annual'!$H$6:$H$179,'County annual'!$C$6:$C$179,$C140,'County annual'!$A$6:$A$179,$A140)</x:f>
        <x:v>52</x:v>
      </x:c>
      <x:c r="J140" s="47" t="n">
        <x:f>I140-H140</x:f>
        <x:v>0</x:v>
      </x:c>
      <x:c r="K140" s="62" t="n">
        <x:v>19769187</x:v>
      </x:c>
      <x:c r="L140" s="62" t="n">
        <x:f>SUMIFS('County annual'!$J$6:$J$179,'County annual'!$C$6:$C$179,$C140,'County annual'!$A$6:$A$179,$A140)</x:f>
        <x:v>19769187</x:v>
      </x:c>
      <x:c r="M140" s="62" t="n">
        <x:f>L140-K140</x:f>
        <x:v>0</x:v>
      </x:c>
      <x:c r="N140" s="47" t="n">
        <x:v>52</x:v>
      </x:c>
      <x:c r="O140" s="47" t="n">
        <x:f>SUMIFS('County annual'!$K$6:$K$179,'County annual'!$C$6:$C$179,$C140,'County annual'!$A$6:$A$179,$A140)</x:f>
        <x:v>52</x:v>
      </x:c>
      <x:c r="P140" s="47" t="n">
        <x:f>O140-N140</x:f>
        <x:v>0</x:v>
      </x:c>
      <x:c r="Q140" s="47" t="n">
        <x:f>IF(SUMIFS('County annual'!$D$6:$D$179,'County annual'!$C$6:$C$179,$C140,'County annual'!$A$6:$A$179,$A140)=D140,0,1)+IF(SUMIFS('County annual'!$E$6:$E$179,'County annual'!$C$6:$C$179,$C140,'County annual'!$A$6:$A$179,$A140)=E140,0,1)+IF(SUMIFS('County annual'!$F$6:$F$179,'County annual'!$C$6:$C$179,$C140,'County annual'!$A$6:$A$179,$A140)=F140,0,1)+IF(SUMIFS('County annual'!$G$6:$G$179,'County annual'!$C$6:$C$179,$C140,'County annual'!$A$6:$A$179,$A140)=G140,0,1)</x:f>
        <x:v>0</x:v>
      </x:c>
      <x:c r="R140" s="30" t="str">
        <x:f>IF(AND(J140=0,M140=0,P140=0,Q140=0),"Match","Mismatch")</x:f>
        <x:v>Match</x:v>
      </x:c>
      <x:c r="S140" s="30" t="str">
        <x:v>BPS-CO-2024</x:v>
      </x:c>
      <x:c r="T140" s="30" t="str">
        <x:v>raw/county/co2024a.txt</x:v>
      </x:c>
      <x:c r="U140" s="56" t="n">
        <x:v>2687</x:v>
      </x:c>
    </x:row>
    <x:row r="141" ht="21" customHeight="1">
      <x:c r="A141" s="56" t="n">
        <x:v>2024</x:v>
      </x:c>
      <x:c r="B141" s="30" t="str">
        <x:v>Sanpete County</x:v>
      </x:c>
      <x:c r="C141" s="58" t="str">
        <x:v>49039</x:v>
      </x:c>
      <x:c r="D141" s="47" t="n">
        <x:v>210</x:v>
      </x:c>
      <x:c r="E141" s="47" t="n">
        <x:v>8</x:v>
      </x:c>
      <x:c r="F141" s="47" t="n">
        <x:v>4</x:v>
      </x:c>
      <x:c r="G141" s="47" t="n">
        <x:v>44</x:v>
      </x:c>
      <x:c r="H141" s="47" t="n">
        <x:f>SUM(D141:G141)</x:f>
        <x:v>266</x:v>
      </x:c>
      <x:c r="I141" s="47" t="n">
        <x:f>SUMIFS('County annual'!$H$6:$H$179,'County annual'!$C$6:$C$179,$C141,'County annual'!$A$6:$A$179,$A141)</x:f>
        <x:v>266</x:v>
      </x:c>
      <x:c r="J141" s="47" t="n">
        <x:f>I141-H141</x:f>
        <x:v>0</x:v>
      </x:c>
      <x:c r="K141" s="62" t="n">
        <x:v>97186991</x:v>
      </x:c>
      <x:c r="L141" s="62" t="n">
        <x:f>SUMIFS('County annual'!$J$6:$J$179,'County annual'!$C$6:$C$179,$C141,'County annual'!$A$6:$A$179,$A141)</x:f>
        <x:v>97186991</x:v>
      </x:c>
      <x:c r="M141" s="62" t="n">
        <x:f>L141-K141</x:f>
        <x:v>0</x:v>
      </x:c>
      <x:c r="N141" s="47" t="n">
        <x:v>266</x:v>
      </x:c>
      <x:c r="O141" s="47" t="n">
        <x:f>SUMIFS('County annual'!$K$6:$K$179,'County annual'!$C$6:$C$179,$C141,'County annual'!$A$6:$A$179,$A141)</x:f>
        <x:v>266</x:v>
      </x:c>
      <x:c r="P141" s="47" t="n">
        <x:f>O141-N141</x:f>
        <x:v>0</x:v>
      </x:c>
      <x:c r="Q141" s="47" t="n">
        <x:f>IF(SUMIFS('County annual'!$D$6:$D$179,'County annual'!$C$6:$C$179,$C141,'County annual'!$A$6:$A$179,$A141)=D141,0,1)+IF(SUMIFS('County annual'!$E$6:$E$179,'County annual'!$C$6:$C$179,$C141,'County annual'!$A$6:$A$179,$A141)=E141,0,1)+IF(SUMIFS('County annual'!$F$6:$F$179,'County annual'!$C$6:$C$179,$C141,'County annual'!$A$6:$A$179,$A141)=F141,0,1)+IF(SUMIFS('County annual'!$G$6:$G$179,'County annual'!$C$6:$C$179,$C141,'County annual'!$A$6:$A$179,$A141)=G141,0,1)</x:f>
        <x:v>0</x:v>
      </x:c>
      <x:c r="R141" s="30" t="str">
        <x:f>IF(AND(J141=0,M141=0,P141=0,Q141=0),"Match","Mismatch")</x:f>
        <x:v>Match</x:v>
      </x:c>
      <x:c r="S141" s="30" t="str">
        <x:v>BPS-CO-2024</x:v>
      </x:c>
      <x:c r="T141" s="30" t="str">
        <x:v>raw/county/co2024a.txt</x:v>
      </x:c>
      <x:c r="U141" s="56" t="n">
        <x:v>2688</x:v>
      </x:c>
    </x:row>
    <x:row r="142" ht="21" customHeight="1">
      <x:c r="A142" s="56" t="n">
        <x:v>2024</x:v>
      </x:c>
      <x:c r="B142" s="30" t="str">
        <x:v>Sevier County</x:v>
      </x:c>
      <x:c r="C142" s="58" t="str">
        <x:v>49041</x:v>
      </x:c>
      <x:c r="D142" s="47" t="n">
        <x:v>91</x:v>
      </x:c>
      <x:c r="E142" s="47" t="n">
        <x:v>14</x:v>
      </x:c>
      <x:c r="F142" s="47" t="n">
        <x:v>4</x:v>
      </x:c>
      <x:c r="G142" s="47" t="n">
        <x:v>0</x:v>
      </x:c>
      <x:c r="H142" s="47" t="n">
        <x:f>SUM(D142:G142)</x:f>
        <x:v>109</x:v>
      </x:c>
      <x:c r="I142" s="47" t="n">
        <x:f>SUMIFS('County annual'!$H$6:$H$179,'County annual'!$C$6:$C$179,$C142,'County annual'!$A$6:$A$179,$A142)</x:f>
        <x:v>109</x:v>
      </x:c>
      <x:c r="J142" s="47" t="n">
        <x:f>I142-H142</x:f>
        <x:v>0</x:v>
      </x:c>
      <x:c r="K142" s="62" t="n">
        <x:v>36859210</x:v>
      </x:c>
      <x:c r="L142" s="62" t="n">
        <x:f>SUMIFS('County annual'!$J$6:$J$179,'County annual'!$C$6:$C$179,$C142,'County annual'!$A$6:$A$179,$A142)</x:f>
        <x:v>36859210</x:v>
      </x:c>
      <x:c r="M142" s="62" t="n">
        <x:f>L142-K142</x:f>
        <x:v>0</x:v>
      </x:c>
      <x:c r="N142" s="47" t="n">
        <x:v>109</x:v>
      </x:c>
      <x:c r="O142" s="47" t="n">
        <x:f>SUMIFS('County annual'!$K$6:$K$179,'County annual'!$C$6:$C$179,$C142,'County annual'!$A$6:$A$179,$A142)</x:f>
        <x:v>109</x:v>
      </x:c>
      <x:c r="P142" s="47" t="n">
        <x:f>O142-N142</x:f>
        <x:v>0</x:v>
      </x:c>
      <x:c r="Q142" s="47" t="n">
        <x:f>IF(SUMIFS('County annual'!$D$6:$D$179,'County annual'!$C$6:$C$179,$C142,'County annual'!$A$6:$A$179,$A142)=D142,0,1)+IF(SUMIFS('County annual'!$E$6:$E$179,'County annual'!$C$6:$C$179,$C142,'County annual'!$A$6:$A$179,$A142)=E142,0,1)+IF(SUMIFS('County annual'!$F$6:$F$179,'County annual'!$C$6:$C$179,$C142,'County annual'!$A$6:$A$179,$A142)=F142,0,1)+IF(SUMIFS('County annual'!$G$6:$G$179,'County annual'!$C$6:$C$179,$C142,'County annual'!$A$6:$A$179,$A142)=G142,0,1)</x:f>
        <x:v>0</x:v>
      </x:c>
      <x:c r="R142" s="30" t="str">
        <x:f>IF(AND(J142=0,M142=0,P142=0,Q142=0),"Match","Mismatch")</x:f>
        <x:v>Match</x:v>
      </x:c>
      <x:c r="S142" s="30" t="str">
        <x:v>BPS-CO-2024</x:v>
      </x:c>
      <x:c r="T142" s="30" t="str">
        <x:v>raw/county/co2024a.txt</x:v>
      </x:c>
      <x:c r="U142" s="56" t="n">
        <x:v>2689</x:v>
      </x:c>
    </x:row>
    <x:row r="143" ht="21" customHeight="1">
      <x:c r="A143" s="56" t="n">
        <x:v>2024</x:v>
      </x:c>
      <x:c r="B143" s="30" t="str">
        <x:v>Summit County</x:v>
      </x:c>
      <x:c r="C143" s="58" t="str">
        <x:v>49043</x:v>
      </x:c>
      <x:c r="D143" s="47" t="n">
        <x:v>388</x:v>
      </x:c>
      <x:c r="E143" s="47" t="n">
        <x:v>2</x:v>
      </x:c>
      <x:c r="F143" s="47" t="n">
        <x:v>0</x:v>
      </x:c>
      <x:c r="G143" s="47" t="n">
        <x:v>529</x:v>
      </x:c>
      <x:c r="H143" s="47" t="n">
        <x:f>SUM(D143:G143)</x:f>
        <x:v>919</x:v>
      </x:c>
      <x:c r="I143" s="47" t="n">
        <x:f>SUMIFS('County annual'!$H$6:$H$179,'County annual'!$C$6:$C$179,$C143,'County annual'!$A$6:$A$179,$A143)</x:f>
        <x:v>919</x:v>
      </x:c>
      <x:c r="J143" s="47" t="n">
        <x:f>I143-H143</x:f>
        <x:v>0</x:v>
      </x:c>
      <x:c r="K143" s="62" t="n">
        <x:v>480610500</x:v>
      </x:c>
      <x:c r="L143" s="62" t="n">
        <x:f>SUMIFS('County annual'!$J$6:$J$179,'County annual'!$C$6:$C$179,$C143,'County annual'!$A$6:$A$179,$A143)</x:f>
        <x:v>480610500</x:v>
      </x:c>
      <x:c r="M143" s="62" t="n">
        <x:f>L143-K143</x:f>
        <x:v>0</x:v>
      </x:c>
      <x:c r="N143" s="47" t="n">
        <x:v>919</x:v>
      </x:c>
      <x:c r="O143" s="47" t="n">
        <x:f>SUMIFS('County annual'!$K$6:$K$179,'County annual'!$C$6:$C$179,$C143,'County annual'!$A$6:$A$179,$A143)</x:f>
        <x:v>919</x:v>
      </x:c>
      <x:c r="P143" s="47" t="n">
        <x:f>O143-N143</x:f>
        <x:v>0</x:v>
      </x:c>
      <x:c r="Q143" s="47" t="n">
        <x:f>IF(SUMIFS('County annual'!$D$6:$D$179,'County annual'!$C$6:$C$179,$C143,'County annual'!$A$6:$A$179,$A143)=D143,0,1)+IF(SUMIFS('County annual'!$E$6:$E$179,'County annual'!$C$6:$C$179,$C143,'County annual'!$A$6:$A$179,$A143)=E143,0,1)+IF(SUMIFS('County annual'!$F$6:$F$179,'County annual'!$C$6:$C$179,$C143,'County annual'!$A$6:$A$179,$A143)=F143,0,1)+IF(SUMIFS('County annual'!$G$6:$G$179,'County annual'!$C$6:$C$179,$C143,'County annual'!$A$6:$A$179,$A143)=G143,0,1)</x:f>
        <x:v>0</x:v>
      </x:c>
      <x:c r="R143" s="30" t="str">
        <x:f>IF(AND(J143=0,M143=0,P143=0,Q143=0),"Match","Mismatch")</x:f>
        <x:v>Match</x:v>
      </x:c>
      <x:c r="S143" s="30" t="str">
        <x:v>BPS-CO-2024</x:v>
      </x:c>
      <x:c r="T143" s="30" t="str">
        <x:v>raw/county/co2024a.txt</x:v>
      </x:c>
      <x:c r="U143" s="56" t="n">
        <x:v>2690</x:v>
      </x:c>
    </x:row>
    <x:row r="144" ht="21" customHeight="1">
      <x:c r="A144" s="56" t="n">
        <x:v>2024</x:v>
      </x:c>
      <x:c r="B144" s="30" t="str">
        <x:v>Tooele County</x:v>
      </x:c>
      <x:c r="C144" s="58" t="str">
        <x:v>49045</x:v>
      </x:c>
      <x:c r="D144" s="47" t="n">
        <x:v>677</x:v>
      </x:c>
      <x:c r="E144" s="47" t="n">
        <x:v>50</x:v>
      </x:c>
      <x:c r="F144" s="47" t="n">
        <x:v>83</x:v>
      </x:c>
      <x:c r="G144" s="47" t="n">
        <x:v>87</x:v>
      </x:c>
      <x:c r="H144" s="47" t="n">
        <x:f>SUM(D144:G144)</x:f>
        <x:v>897</x:v>
      </x:c>
      <x:c r="I144" s="47" t="n">
        <x:f>SUMIFS('County annual'!$H$6:$H$179,'County annual'!$C$6:$C$179,$C144,'County annual'!$A$6:$A$179,$A144)</x:f>
        <x:v>897</x:v>
      </x:c>
      <x:c r="J144" s="47" t="n">
        <x:f>I144-H144</x:f>
        <x:v>0</x:v>
      </x:c>
      <x:c r="K144" s="62" t="n">
        <x:v>339058125</x:v>
      </x:c>
      <x:c r="L144" s="62" t="n">
        <x:f>SUMIFS('County annual'!$J$6:$J$179,'County annual'!$C$6:$C$179,$C144,'County annual'!$A$6:$A$179,$A144)</x:f>
        <x:v>339058125</x:v>
      </x:c>
      <x:c r="M144" s="62" t="n">
        <x:f>L144-K144</x:f>
        <x:v>0</x:v>
      </x:c>
      <x:c r="N144" s="47" t="n">
        <x:v>897</x:v>
      </x:c>
      <x:c r="O144" s="47" t="n">
        <x:f>SUMIFS('County annual'!$K$6:$K$179,'County annual'!$C$6:$C$179,$C144,'County annual'!$A$6:$A$179,$A144)</x:f>
        <x:v>897</x:v>
      </x:c>
      <x:c r="P144" s="47" t="n">
        <x:f>O144-N144</x:f>
        <x:v>0</x:v>
      </x:c>
      <x:c r="Q144" s="47" t="n">
        <x:f>IF(SUMIFS('County annual'!$D$6:$D$179,'County annual'!$C$6:$C$179,$C144,'County annual'!$A$6:$A$179,$A144)=D144,0,1)+IF(SUMIFS('County annual'!$E$6:$E$179,'County annual'!$C$6:$C$179,$C144,'County annual'!$A$6:$A$179,$A144)=E144,0,1)+IF(SUMIFS('County annual'!$F$6:$F$179,'County annual'!$C$6:$C$179,$C144,'County annual'!$A$6:$A$179,$A144)=F144,0,1)+IF(SUMIFS('County annual'!$G$6:$G$179,'County annual'!$C$6:$C$179,$C144,'County annual'!$A$6:$A$179,$A144)=G144,0,1)</x:f>
        <x:v>0</x:v>
      </x:c>
      <x:c r="R144" s="30" t="str">
        <x:f>IF(AND(J144=0,M144=0,P144=0,Q144=0),"Match","Mismatch")</x:f>
        <x:v>Match</x:v>
      </x:c>
      <x:c r="S144" s="30" t="str">
        <x:v>BPS-CO-2024</x:v>
      </x:c>
      <x:c r="T144" s="30" t="str">
        <x:v>raw/county/co2024a.txt</x:v>
      </x:c>
      <x:c r="U144" s="56" t="n">
        <x:v>2691</x:v>
      </x:c>
    </x:row>
    <x:row r="145" ht="21" customHeight="1">
      <x:c r="A145" s="56" t="n">
        <x:v>2024</x:v>
      </x:c>
      <x:c r="B145" s="30" t="str">
        <x:v>Uintah County</x:v>
      </x:c>
      <x:c r="C145" s="58" t="str">
        <x:v>49047</x:v>
      </x:c>
      <x:c r="D145" s="47" t="n">
        <x:v>74</x:v>
      </x:c>
      <x:c r="E145" s="47" t="n">
        <x:v>4</x:v>
      </x:c>
      <x:c r="F145" s="47" t="n">
        <x:v>8</x:v>
      </x:c>
      <x:c r="G145" s="47" t="n">
        <x:v>0</x:v>
      </x:c>
      <x:c r="H145" s="47" t="n">
        <x:f>SUM(D145:G145)</x:f>
        <x:v>86</x:v>
      </x:c>
      <x:c r="I145" s="47" t="n">
        <x:f>SUMIFS('County annual'!$H$6:$H$179,'County annual'!$C$6:$C$179,$C145,'County annual'!$A$6:$A$179,$A145)</x:f>
        <x:v>86</x:v>
      </x:c>
      <x:c r="J145" s="47" t="n">
        <x:f>I145-H145</x:f>
        <x:v>0</x:v>
      </x:c>
      <x:c r="K145" s="62" t="n">
        <x:v>29766277</x:v>
      </x:c>
      <x:c r="L145" s="62" t="n">
        <x:f>SUMIFS('County annual'!$J$6:$J$179,'County annual'!$C$6:$C$179,$C145,'County annual'!$A$6:$A$179,$A145)</x:f>
        <x:v>29766277</x:v>
      </x:c>
      <x:c r="M145" s="62" t="n">
        <x:f>L145-K145</x:f>
        <x:v>0</x:v>
      </x:c>
      <x:c r="N145" s="47" t="n">
        <x:v>86</x:v>
      </x:c>
      <x:c r="O145" s="47" t="n">
        <x:f>SUMIFS('County annual'!$K$6:$K$179,'County annual'!$C$6:$C$179,$C145,'County annual'!$A$6:$A$179,$A145)</x:f>
        <x:v>86</x:v>
      </x:c>
      <x:c r="P145" s="47" t="n">
        <x:f>O145-N145</x:f>
        <x:v>0</x:v>
      </x:c>
      <x:c r="Q145" s="47" t="n">
        <x:f>IF(SUMIFS('County annual'!$D$6:$D$179,'County annual'!$C$6:$C$179,$C145,'County annual'!$A$6:$A$179,$A145)=D145,0,1)+IF(SUMIFS('County annual'!$E$6:$E$179,'County annual'!$C$6:$C$179,$C145,'County annual'!$A$6:$A$179,$A145)=E145,0,1)+IF(SUMIFS('County annual'!$F$6:$F$179,'County annual'!$C$6:$C$179,$C145,'County annual'!$A$6:$A$179,$A145)=F145,0,1)+IF(SUMIFS('County annual'!$G$6:$G$179,'County annual'!$C$6:$C$179,$C145,'County annual'!$A$6:$A$179,$A145)=G145,0,1)</x:f>
        <x:v>0</x:v>
      </x:c>
      <x:c r="R145" s="30" t="str">
        <x:f>IF(AND(J145=0,M145=0,P145=0,Q145=0),"Match","Mismatch")</x:f>
        <x:v>Match</x:v>
      </x:c>
      <x:c r="S145" s="30" t="str">
        <x:v>BPS-CO-2024</x:v>
      </x:c>
      <x:c r="T145" s="30" t="str">
        <x:v>raw/county/co2024a.txt</x:v>
      </x:c>
      <x:c r="U145" s="56" t="n">
        <x:v>2692</x:v>
      </x:c>
    </x:row>
    <x:row r="146" ht="21" customHeight="1">
      <x:c r="A146" s="56" t="n">
        <x:v>2024</x:v>
      </x:c>
      <x:c r="B146" s="30" t="str">
        <x:v>Utah County</x:v>
      </x:c>
      <x:c r="C146" s="58" t="str">
        <x:v>49049</x:v>
      </x:c>
      <x:c r="D146" s="47" t="n">
        <x:v>5174</x:v>
      </x:c>
      <x:c r="E146" s="47" t="n">
        <x:v>10</x:v>
      </x:c>
      <x:c r="F146" s="47" t="n">
        <x:v>97</x:v>
      </x:c>
      <x:c r="G146" s="47" t="n">
        <x:v>1040</x:v>
      </x:c>
      <x:c r="H146" s="47" t="n">
        <x:f>SUM(D146:G146)</x:f>
        <x:v>6321</x:v>
      </x:c>
      <x:c r="I146" s="47" t="n">
        <x:f>SUMIFS('County annual'!$H$6:$H$179,'County annual'!$C$6:$C$179,$C146,'County annual'!$A$6:$A$179,$A146)</x:f>
        <x:v>6321</x:v>
      </x:c>
      <x:c r="J146" s="47" t="n">
        <x:f>I146-H146</x:f>
        <x:v>0</x:v>
      </x:c>
      <x:c r="K146" s="62" t="n">
        <x:v>1932970837</x:v>
      </x:c>
      <x:c r="L146" s="62" t="n">
        <x:f>SUMIFS('County annual'!$J$6:$J$179,'County annual'!$C$6:$C$179,$C146,'County annual'!$A$6:$A$179,$A146)</x:f>
        <x:v>1932970837</x:v>
      </x:c>
      <x:c r="M146" s="62" t="n">
        <x:f>L146-K146</x:f>
        <x:v>0</x:v>
      </x:c>
      <x:c r="N146" s="47" t="n">
        <x:v>6160</x:v>
      </x:c>
      <x:c r="O146" s="47" t="n">
        <x:f>SUMIFS('County annual'!$K$6:$K$179,'County annual'!$C$6:$C$179,$C146,'County annual'!$A$6:$A$179,$A146)</x:f>
        <x:v>6160</x:v>
      </x:c>
      <x:c r="P146" s="47" t="n">
        <x:f>O146-N146</x:f>
        <x:v>0</x:v>
      </x:c>
      <x:c r="Q146" s="47" t="n">
        <x:f>IF(SUMIFS('County annual'!$D$6:$D$179,'County annual'!$C$6:$C$179,$C146,'County annual'!$A$6:$A$179,$A146)=D146,0,1)+IF(SUMIFS('County annual'!$E$6:$E$179,'County annual'!$C$6:$C$179,$C146,'County annual'!$A$6:$A$179,$A146)=E146,0,1)+IF(SUMIFS('County annual'!$F$6:$F$179,'County annual'!$C$6:$C$179,$C146,'County annual'!$A$6:$A$179,$A146)=F146,0,1)+IF(SUMIFS('County annual'!$G$6:$G$179,'County annual'!$C$6:$C$179,$C146,'County annual'!$A$6:$A$179,$A146)=G146,0,1)</x:f>
        <x:v>0</x:v>
      </x:c>
      <x:c r="R146" s="30" t="str">
        <x:f>IF(AND(J146=0,M146=0,P146=0,Q146=0),"Match","Mismatch")</x:f>
        <x:v>Match</x:v>
      </x:c>
      <x:c r="S146" s="30" t="str">
        <x:v>BPS-CO-2024</x:v>
      </x:c>
      <x:c r="T146" s="30" t="str">
        <x:v>raw/county/co2024a.txt</x:v>
      </x:c>
      <x:c r="U146" s="56" t="n">
        <x:v>2693</x:v>
      </x:c>
    </x:row>
    <x:row r="147" ht="21" customHeight="1">
      <x:c r="A147" s="56" t="n">
        <x:v>2024</x:v>
      </x:c>
      <x:c r="B147" s="30" t="str">
        <x:v>Wasatch County</x:v>
      </x:c>
      <x:c r="C147" s="58" t="str">
        <x:v>49051</x:v>
      </x:c>
      <x:c r="D147" s="47" t="n">
        <x:v>784</x:v>
      </x:c>
      <x:c r="E147" s="47" t="n">
        <x:v>0</x:v>
      </x:c>
      <x:c r="F147" s="47" t="n">
        <x:v>29</x:v>
      </x:c>
      <x:c r="G147" s="47" t="n">
        <x:v>22</x:v>
      </x:c>
      <x:c r="H147" s="47" t="n">
        <x:f>SUM(D147:G147)</x:f>
        <x:v>835</x:v>
      </x:c>
      <x:c r="I147" s="47" t="n">
        <x:f>SUMIFS('County annual'!$H$6:$H$179,'County annual'!$C$6:$C$179,$C147,'County annual'!$A$6:$A$179,$A147)</x:f>
        <x:v>835</x:v>
      </x:c>
      <x:c r="J147" s="47" t="n">
        <x:f>I147-H147</x:f>
        <x:v>0</x:v>
      </x:c>
      <x:c r="K147" s="62" t="n">
        <x:v>568265148</x:v>
      </x:c>
      <x:c r="L147" s="62" t="n">
        <x:f>SUMIFS('County annual'!$J$6:$J$179,'County annual'!$C$6:$C$179,$C147,'County annual'!$A$6:$A$179,$A147)</x:f>
        <x:v>568265148</x:v>
      </x:c>
      <x:c r="M147" s="62" t="n">
        <x:f>L147-K147</x:f>
        <x:v>0</x:v>
      </x:c>
      <x:c r="N147" s="47" t="n">
        <x:v>834</x:v>
      </x:c>
      <x:c r="O147" s="47" t="n">
        <x:f>SUMIFS('County annual'!$K$6:$K$179,'County annual'!$C$6:$C$179,$C147,'County annual'!$A$6:$A$179,$A147)</x:f>
        <x:v>834</x:v>
      </x:c>
      <x:c r="P147" s="47" t="n">
        <x:f>O147-N147</x:f>
        <x:v>0</x:v>
      </x:c>
      <x:c r="Q147" s="47" t="n">
        <x:f>IF(SUMIFS('County annual'!$D$6:$D$179,'County annual'!$C$6:$C$179,$C147,'County annual'!$A$6:$A$179,$A147)=D147,0,1)+IF(SUMIFS('County annual'!$E$6:$E$179,'County annual'!$C$6:$C$179,$C147,'County annual'!$A$6:$A$179,$A147)=E147,0,1)+IF(SUMIFS('County annual'!$F$6:$F$179,'County annual'!$C$6:$C$179,$C147,'County annual'!$A$6:$A$179,$A147)=F147,0,1)+IF(SUMIFS('County annual'!$G$6:$G$179,'County annual'!$C$6:$C$179,$C147,'County annual'!$A$6:$A$179,$A147)=G147,0,1)</x:f>
        <x:v>0</x:v>
      </x:c>
      <x:c r="R147" s="30" t="str">
        <x:f>IF(AND(J147=0,M147=0,P147=0,Q147=0),"Match","Mismatch")</x:f>
        <x:v>Match</x:v>
      </x:c>
      <x:c r="S147" s="30" t="str">
        <x:v>BPS-CO-2024</x:v>
      </x:c>
      <x:c r="T147" s="30" t="str">
        <x:v>raw/county/co2024a.txt</x:v>
      </x:c>
      <x:c r="U147" s="56" t="n">
        <x:v>2694</x:v>
      </x:c>
    </x:row>
    <x:row r="148" ht="21" customHeight="1">
      <x:c r="A148" s="56" t="n">
        <x:v>2024</x:v>
      </x:c>
      <x:c r="B148" s="30" t="str">
        <x:v>Washington County</x:v>
      </x:c>
      <x:c r="C148" s="58" t="str">
        <x:v>49053</x:v>
      </x:c>
      <x:c r="D148" s="47" t="n">
        <x:v>2467</x:v>
      </x:c>
      <x:c r="E148" s="47" t="n">
        <x:v>0</x:v>
      </x:c>
      <x:c r="F148" s="47" t="n">
        <x:v>35</x:v>
      </x:c>
      <x:c r="G148" s="47" t="n">
        <x:v>650</x:v>
      </x:c>
      <x:c r="H148" s="47" t="n">
        <x:f>SUM(D148:G148)</x:f>
        <x:v>3152</x:v>
      </x:c>
      <x:c r="I148" s="47" t="n">
        <x:f>SUMIFS('County annual'!$H$6:$H$179,'County annual'!$C$6:$C$179,$C148,'County annual'!$A$6:$A$179,$A148)</x:f>
        <x:v>3152</x:v>
      </x:c>
      <x:c r="J148" s="47" t="n">
        <x:f>I148-H148</x:f>
        <x:v>0</x:v>
      </x:c>
      <x:c r="K148" s="62" t="n">
        <x:v>613877835</x:v>
      </x:c>
      <x:c r="L148" s="62" t="n">
        <x:f>SUMIFS('County annual'!$J$6:$J$179,'County annual'!$C$6:$C$179,$C148,'County annual'!$A$6:$A$179,$A148)</x:f>
        <x:v>613877835</x:v>
      </x:c>
      <x:c r="M148" s="62" t="n">
        <x:f>L148-K148</x:f>
        <x:v>0</x:v>
      </x:c>
      <x:c r="N148" s="47" t="n">
        <x:v>3065</x:v>
      </x:c>
      <x:c r="O148" s="47" t="n">
        <x:f>SUMIFS('County annual'!$K$6:$K$179,'County annual'!$C$6:$C$179,$C148,'County annual'!$A$6:$A$179,$A148)</x:f>
        <x:v>3065</x:v>
      </x:c>
      <x:c r="P148" s="47" t="n">
        <x:f>O148-N148</x:f>
        <x:v>0</x:v>
      </x:c>
      <x:c r="Q148" s="47" t="n">
        <x:f>IF(SUMIFS('County annual'!$D$6:$D$179,'County annual'!$C$6:$C$179,$C148,'County annual'!$A$6:$A$179,$A148)=D148,0,1)+IF(SUMIFS('County annual'!$E$6:$E$179,'County annual'!$C$6:$C$179,$C148,'County annual'!$A$6:$A$179,$A148)=E148,0,1)+IF(SUMIFS('County annual'!$F$6:$F$179,'County annual'!$C$6:$C$179,$C148,'County annual'!$A$6:$A$179,$A148)=F148,0,1)+IF(SUMIFS('County annual'!$G$6:$G$179,'County annual'!$C$6:$C$179,$C148,'County annual'!$A$6:$A$179,$A148)=G148,0,1)</x:f>
        <x:v>0</x:v>
      </x:c>
      <x:c r="R148" s="30" t="str">
        <x:f>IF(AND(J148=0,M148=0,P148=0,Q148=0),"Match","Mismatch")</x:f>
        <x:v>Match</x:v>
      </x:c>
      <x:c r="S148" s="30" t="str">
        <x:v>BPS-CO-2024</x:v>
      </x:c>
      <x:c r="T148" s="30" t="str">
        <x:v>raw/county/co2024a.txt</x:v>
      </x:c>
      <x:c r="U148" s="56" t="n">
        <x:v>2695</x:v>
      </x:c>
    </x:row>
    <x:row r="149" ht="21" customHeight="1">
      <x:c r="A149" s="56" t="n">
        <x:v>2024</x:v>
      </x:c>
      <x:c r="B149" s="30" t="str">
        <x:v>Wayne County</x:v>
      </x:c>
      <x:c r="C149" s="58" t="str">
        <x:v>49055</x:v>
      </x:c>
      <x:c r="D149" s="47" t="n">
        <x:v>21</x:v>
      </x:c>
      <x:c r="E149" s="47" t="n">
        <x:v>0</x:v>
      </x:c>
      <x:c r="F149" s="47" t="n">
        <x:v>3</x:v>
      </x:c>
      <x:c r="G149" s="47" t="n">
        <x:v>0</x:v>
      </x:c>
      <x:c r="H149" s="47" t="n">
        <x:f>SUM(D149:G149)</x:f>
        <x:v>24</x:v>
      </x:c>
      <x:c r="I149" s="47" t="n">
        <x:f>SUMIFS('County annual'!$H$6:$H$179,'County annual'!$C$6:$C$179,$C149,'County annual'!$A$6:$A$179,$A149)</x:f>
        <x:v>24</x:v>
      </x:c>
      <x:c r="J149" s="47" t="n">
        <x:f>I149-H149</x:f>
        <x:v>0</x:v>
      </x:c>
      <x:c r="K149" s="62" t="n">
        <x:v>7673057</x:v>
      </x:c>
      <x:c r="L149" s="62" t="n">
        <x:f>SUMIFS('County annual'!$J$6:$J$179,'County annual'!$C$6:$C$179,$C149,'County annual'!$A$6:$A$179,$A149)</x:f>
        <x:v>7673057</x:v>
      </x:c>
      <x:c r="M149" s="62" t="n">
        <x:f>L149-K149</x:f>
        <x:v>0</x:v>
      </x:c>
      <x:c r="N149" s="47" t="n">
        <x:v>24</x:v>
      </x:c>
      <x:c r="O149" s="47" t="n">
        <x:f>SUMIFS('County annual'!$K$6:$K$179,'County annual'!$C$6:$C$179,$C149,'County annual'!$A$6:$A$179,$A149)</x:f>
        <x:v>24</x:v>
      </x:c>
      <x:c r="P149" s="47" t="n">
        <x:f>O149-N149</x:f>
        <x:v>0</x:v>
      </x:c>
      <x:c r="Q149" s="47" t="n">
        <x:f>IF(SUMIFS('County annual'!$D$6:$D$179,'County annual'!$C$6:$C$179,$C149,'County annual'!$A$6:$A$179,$A149)=D149,0,1)+IF(SUMIFS('County annual'!$E$6:$E$179,'County annual'!$C$6:$C$179,$C149,'County annual'!$A$6:$A$179,$A149)=E149,0,1)+IF(SUMIFS('County annual'!$F$6:$F$179,'County annual'!$C$6:$C$179,$C149,'County annual'!$A$6:$A$179,$A149)=F149,0,1)+IF(SUMIFS('County annual'!$G$6:$G$179,'County annual'!$C$6:$C$179,$C149,'County annual'!$A$6:$A$179,$A149)=G149,0,1)</x:f>
        <x:v>0</x:v>
      </x:c>
      <x:c r="R149" s="30" t="str">
        <x:f>IF(AND(J149=0,M149=0,P149=0,Q149=0),"Match","Mismatch")</x:f>
        <x:v>Match</x:v>
      </x:c>
      <x:c r="S149" s="30" t="str">
        <x:v>BPS-CO-2024</x:v>
      </x:c>
      <x:c r="T149" s="30" t="str">
        <x:v>raw/county/co2024a.txt</x:v>
      </x:c>
      <x:c r="U149" s="56" t="n">
        <x:v>2696</x:v>
      </x:c>
    </x:row>
    <x:row r="150" ht="21" customHeight="1">
      <x:c r="A150" s="56" t="n">
        <x:v>2024</x:v>
      </x:c>
      <x:c r="B150" s="30" t="str">
        <x:v>Weber County</x:v>
      </x:c>
      <x:c r="C150" s="58" t="str">
        <x:v>49057</x:v>
      </x:c>
      <x:c r="D150" s="47" t="n">
        <x:v>1044</x:v>
      </x:c>
      <x:c r="E150" s="47" t="n">
        <x:v>10</x:v>
      </x:c>
      <x:c r="F150" s="47" t="n">
        <x:v>55</x:v>
      </x:c>
      <x:c r="G150" s="47" t="n">
        <x:v>521</x:v>
      </x:c>
      <x:c r="H150" s="47" t="n">
        <x:f>SUM(D150:G150)</x:f>
        <x:v>1630</x:v>
      </x:c>
      <x:c r="I150" s="47" t="n">
        <x:f>SUMIFS('County annual'!$H$6:$H$179,'County annual'!$C$6:$C$179,$C150,'County annual'!$A$6:$A$179,$A150)</x:f>
        <x:v>1630</x:v>
      </x:c>
      <x:c r="J150" s="47" t="n">
        <x:f>I150-H150</x:f>
        <x:v>0</x:v>
      </x:c>
      <x:c r="K150" s="62" t="n">
        <x:v>487007915</x:v>
      </x:c>
      <x:c r="L150" s="62" t="n">
        <x:f>SUMIFS('County annual'!$J$6:$J$179,'County annual'!$C$6:$C$179,$C150,'County annual'!$A$6:$A$179,$A150)</x:f>
        <x:v>487007915</x:v>
      </x:c>
      <x:c r="M150" s="62" t="n">
        <x:f>L150-K150</x:f>
        <x:v>0</x:v>
      </x:c>
      <x:c r="N150" s="47" t="n">
        <x:v>884</x:v>
      </x:c>
      <x:c r="O150" s="47" t="n">
        <x:f>SUMIFS('County annual'!$K$6:$K$179,'County annual'!$C$6:$C$179,$C150,'County annual'!$A$6:$A$179,$A150)</x:f>
        <x:v>884</x:v>
      </x:c>
      <x:c r="P150" s="47" t="n">
        <x:f>O150-N150</x:f>
        <x:v>0</x:v>
      </x:c>
      <x:c r="Q150" s="47" t="n">
        <x:f>IF(SUMIFS('County annual'!$D$6:$D$179,'County annual'!$C$6:$C$179,$C150,'County annual'!$A$6:$A$179,$A150)=D150,0,1)+IF(SUMIFS('County annual'!$E$6:$E$179,'County annual'!$C$6:$C$179,$C150,'County annual'!$A$6:$A$179,$A150)=E150,0,1)+IF(SUMIFS('County annual'!$F$6:$F$179,'County annual'!$C$6:$C$179,$C150,'County annual'!$A$6:$A$179,$A150)=F150,0,1)+IF(SUMIFS('County annual'!$G$6:$G$179,'County annual'!$C$6:$C$179,$C150,'County annual'!$A$6:$A$179,$A150)=G150,0,1)</x:f>
        <x:v>0</x:v>
      </x:c>
      <x:c r="R150" s="30" t="str">
        <x:f>IF(AND(J150=0,M150=0,P150=0,Q150=0),"Match","Mismatch")</x:f>
        <x:v>Match</x:v>
      </x:c>
      <x:c r="S150" s="30" t="str">
        <x:v>BPS-CO-2024</x:v>
      </x:c>
      <x:c r="T150" s="30" t="str">
        <x:v>raw/county/co2024a.txt</x:v>
      </x:c>
      <x:c r="U150" s="56" t="n">
        <x:v>2697</x:v>
      </x:c>
    </x:row>
    <x:row r="151" ht="21" customHeight="1">
      <x:c r="A151" s="56" t="n">
        <x:v>2025</x:v>
      </x:c>
      <x:c r="B151" s="30" t="str">
        <x:v>Beaver County</x:v>
      </x:c>
      <x:c r="C151" s="58" t="str">
        <x:v>49001</x:v>
      </x:c>
      <x:c r="D151" s="47" t="n">
        <x:v>38</x:v>
      </x:c>
      <x:c r="E151" s="47" t="n">
        <x:v>0</x:v>
      </x:c>
      <x:c r="F151" s="47" t="n">
        <x:v>0</x:v>
      </x:c>
      <x:c r="G151" s="47" t="n">
        <x:v>10</x:v>
      </x:c>
      <x:c r="H151" s="47" t="n">
        <x:f>SUM(D151:G151)</x:f>
        <x:v>48</x:v>
      </x:c>
      <x:c r="I151" s="47" t="n">
        <x:f>SUMIFS('County annual'!$H$6:$H$179,'County annual'!$C$6:$C$179,$C151,'County annual'!$A$6:$A$179,$A151)</x:f>
        <x:v>48</x:v>
      </x:c>
      <x:c r="J151" s="47" t="n">
        <x:f>I151-H151</x:f>
        <x:v>0</x:v>
      </x:c>
      <x:c r="K151" s="62" t="n">
        <x:v>17700952</x:v>
      </x:c>
      <x:c r="L151" s="62" t="n">
        <x:f>SUMIFS('County annual'!$J$6:$J$179,'County annual'!$C$6:$C$179,$C151,'County annual'!$A$6:$A$179,$A151)</x:f>
        <x:v>17700952</x:v>
      </x:c>
      <x:c r="M151" s="62" t="n">
        <x:f>L151-K151</x:f>
        <x:v>0</x:v>
      </x:c>
      <x:c r="N151" s="47" t="n">
        <x:v>48</x:v>
      </x:c>
      <x:c r="O151" s="47" t="n">
        <x:f>SUMIFS('County annual'!$K$6:$K$179,'County annual'!$C$6:$C$179,$C151,'County annual'!$A$6:$A$179,$A151)</x:f>
        <x:v>48</x:v>
      </x:c>
      <x:c r="P151" s="47" t="n">
        <x:f>O151-N151</x:f>
        <x:v>0</x:v>
      </x:c>
      <x:c r="Q151" s="47" t="n">
        <x:f>IF(SUMIFS('County annual'!$D$6:$D$179,'County annual'!$C$6:$C$179,$C151,'County annual'!$A$6:$A$179,$A151)=D151,0,1)+IF(SUMIFS('County annual'!$E$6:$E$179,'County annual'!$C$6:$C$179,$C151,'County annual'!$A$6:$A$179,$A151)=E151,0,1)+IF(SUMIFS('County annual'!$F$6:$F$179,'County annual'!$C$6:$C$179,$C151,'County annual'!$A$6:$A$179,$A151)=F151,0,1)+IF(SUMIFS('County annual'!$G$6:$G$179,'County annual'!$C$6:$C$179,$C151,'County annual'!$A$6:$A$179,$A151)=G151,0,1)</x:f>
        <x:v>0</x:v>
      </x:c>
      <x:c r="R151" s="30" t="str">
        <x:f>IF(AND(J151=0,M151=0,P151=0,Q151=0),"Match","Mismatch")</x:f>
        <x:v>Match</x:v>
      </x:c>
      <x:c r="S151" s="30" t="str">
        <x:v>BPS-CO-2025</x:v>
      </x:c>
      <x:c r="T151" s="30" t="str">
        <x:v>raw/county/co2025a.txt</x:v>
      </x:c>
      <x:c r="U151" s="56" t="n">
        <x:v>2670</x:v>
      </x:c>
    </x:row>
    <x:row r="152" ht="21" customHeight="1">
      <x:c r="A152" s="56" t="n">
        <x:v>2025</x:v>
      </x:c>
      <x:c r="B152" s="30" t="str">
        <x:v>Box Elder County</x:v>
      </x:c>
      <x:c r="C152" s="58" t="str">
        <x:v>49003</x:v>
      </x:c>
      <x:c r="D152" s="47" t="n">
        <x:v>369</x:v>
      </x:c>
      <x:c r="E152" s="47" t="n">
        <x:v>0</x:v>
      </x:c>
      <x:c r="F152" s="47" t="n">
        <x:v>35</x:v>
      </x:c>
      <x:c r="G152" s="47" t="n">
        <x:v>52</x:v>
      </x:c>
      <x:c r="H152" s="47" t="n">
        <x:f>SUM(D152:G152)</x:f>
        <x:v>456</x:v>
      </x:c>
      <x:c r="I152" s="47" t="n">
        <x:f>SUMIFS('County annual'!$H$6:$H$179,'County annual'!$C$6:$C$179,$C152,'County annual'!$A$6:$A$179,$A152)</x:f>
        <x:v>456</x:v>
      </x:c>
      <x:c r="J152" s="47" t="n">
        <x:f>I152-H152</x:f>
        <x:v>0</x:v>
      </x:c>
      <x:c r="K152" s="62" t="n">
        <x:v>155384290</x:v>
      </x:c>
      <x:c r="L152" s="62" t="n">
        <x:f>SUMIFS('County annual'!$J$6:$J$179,'County annual'!$C$6:$C$179,$C152,'County annual'!$A$6:$A$179,$A152)</x:f>
        <x:v>155384290</x:v>
      </x:c>
      <x:c r="M152" s="62" t="n">
        <x:f>L152-K152</x:f>
        <x:v>0</x:v>
      </x:c>
      <x:c r="N152" s="47" t="n">
        <x:v>432</x:v>
      </x:c>
      <x:c r="O152" s="47" t="n">
        <x:f>SUMIFS('County annual'!$K$6:$K$179,'County annual'!$C$6:$C$179,$C152,'County annual'!$A$6:$A$179,$A152)</x:f>
        <x:v>432</x:v>
      </x:c>
      <x:c r="P152" s="47" t="n">
        <x:f>O152-N152</x:f>
        <x:v>0</x:v>
      </x:c>
      <x:c r="Q152" s="47" t="n">
        <x:f>IF(SUMIFS('County annual'!$D$6:$D$179,'County annual'!$C$6:$C$179,$C152,'County annual'!$A$6:$A$179,$A152)=D152,0,1)+IF(SUMIFS('County annual'!$E$6:$E$179,'County annual'!$C$6:$C$179,$C152,'County annual'!$A$6:$A$179,$A152)=E152,0,1)+IF(SUMIFS('County annual'!$F$6:$F$179,'County annual'!$C$6:$C$179,$C152,'County annual'!$A$6:$A$179,$A152)=F152,0,1)+IF(SUMIFS('County annual'!$G$6:$G$179,'County annual'!$C$6:$C$179,$C152,'County annual'!$A$6:$A$179,$A152)=G152,0,1)</x:f>
        <x:v>0</x:v>
      </x:c>
      <x:c r="R152" s="30" t="str">
        <x:f>IF(AND(J152=0,M152=0,P152=0,Q152=0),"Match","Mismatch")</x:f>
        <x:v>Match</x:v>
      </x:c>
      <x:c r="S152" s="30" t="str">
        <x:v>BPS-CO-2025</x:v>
      </x:c>
      <x:c r="T152" s="30" t="str">
        <x:v>raw/county/co2025a.txt</x:v>
      </x:c>
      <x:c r="U152" s="56" t="n">
        <x:v>2671</x:v>
      </x:c>
    </x:row>
    <x:row r="153" ht="21" customHeight="1">
      <x:c r="A153" s="56" t="n">
        <x:v>2025</x:v>
      </x:c>
      <x:c r="B153" s="30" t="str">
        <x:v>Cache County</x:v>
      </x:c>
      <x:c r="C153" s="58" t="str">
        <x:v>49005</x:v>
      </x:c>
      <x:c r="D153" s="47" t="n">
        <x:v>850</x:v>
      </x:c>
      <x:c r="E153" s="47" t="n">
        <x:v>0</x:v>
      </x:c>
      <x:c r="F153" s="47" t="n">
        <x:v>0</x:v>
      </x:c>
      <x:c r="G153" s="47" t="n">
        <x:v>262</x:v>
      </x:c>
      <x:c r="H153" s="47" t="n">
        <x:f>SUM(D153:G153)</x:f>
        <x:v>1112</x:v>
      </x:c>
      <x:c r="I153" s="47" t="n">
        <x:f>SUMIFS('County annual'!$H$6:$H$179,'County annual'!$C$6:$C$179,$C153,'County annual'!$A$6:$A$179,$A153)</x:f>
        <x:v>1112</x:v>
      </x:c>
      <x:c r="J153" s="47" t="n">
        <x:f>I153-H153</x:f>
        <x:v>0</x:v>
      </x:c>
      <x:c r="K153" s="62" t="n">
        <x:v>355947428</x:v>
      </x:c>
      <x:c r="L153" s="62" t="n">
        <x:f>SUMIFS('County annual'!$J$6:$J$179,'County annual'!$C$6:$C$179,$C153,'County annual'!$A$6:$A$179,$A153)</x:f>
        <x:v>355947428</x:v>
      </x:c>
      <x:c r="M153" s="62" t="n">
        <x:f>L153-K153</x:f>
        <x:v>0</x:v>
      </x:c>
      <x:c r="N153" s="47" t="n">
        <x:v>1112</x:v>
      </x:c>
      <x:c r="O153" s="47" t="n">
        <x:f>SUMIFS('County annual'!$K$6:$K$179,'County annual'!$C$6:$C$179,$C153,'County annual'!$A$6:$A$179,$A153)</x:f>
        <x:v>1112</x:v>
      </x:c>
      <x:c r="P153" s="47" t="n">
        <x:f>O153-N153</x:f>
        <x:v>0</x:v>
      </x:c>
      <x:c r="Q153" s="47" t="n">
        <x:f>IF(SUMIFS('County annual'!$D$6:$D$179,'County annual'!$C$6:$C$179,$C153,'County annual'!$A$6:$A$179,$A153)=D153,0,1)+IF(SUMIFS('County annual'!$E$6:$E$179,'County annual'!$C$6:$C$179,$C153,'County annual'!$A$6:$A$179,$A153)=E153,0,1)+IF(SUMIFS('County annual'!$F$6:$F$179,'County annual'!$C$6:$C$179,$C153,'County annual'!$A$6:$A$179,$A153)=F153,0,1)+IF(SUMIFS('County annual'!$G$6:$G$179,'County annual'!$C$6:$C$179,$C153,'County annual'!$A$6:$A$179,$A153)=G153,0,1)</x:f>
        <x:v>0</x:v>
      </x:c>
      <x:c r="R153" s="30" t="str">
        <x:f>IF(AND(J153=0,M153=0,P153=0,Q153=0),"Match","Mismatch")</x:f>
        <x:v>Match</x:v>
      </x:c>
      <x:c r="S153" s="30" t="str">
        <x:v>BPS-CO-2025</x:v>
      </x:c>
      <x:c r="T153" s="30" t="str">
        <x:v>raw/county/co2025a.txt</x:v>
      </x:c>
      <x:c r="U153" s="56" t="n">
        <x:v>2672</x:v>
      </x:c>
    </x:row>
    <x:row r="154" ht="21" customHeight="1">
      <x:c r="A154" s="56" t="n">
        <x:v>2025</x:v>
      </x:c>
      <x:c r="B154" s="30" t="str">
        <x:v>Carbon County</x:v>
      </x:c>
      <x:c r="C154" s="58" t="str">
        <x:v>49007</x:v>
      </x:c>
      <x:c r="D154" s="47" t="n">
        <x:v>45</x:v>
      </x:c>
      <x:c r="E154" s="47" t="n">
        <x:v>0</x:v>
      </x:c>
      <x:c r="F154" s="47" t="n">
        <x:v>0</x:v>
      </x:c>
      <x:c r="G154" s="47" t="n">
        <x:v>0</x:v>
      </x:c>
      <x:c r="H154" s="47" t="n">
        <x:f>SUM(D154:G154)</x:f>
        <x:v>45</x:v>
      </x:c>
      <x:c r="I154" s="47" t="n">
        <x:f>SUMIFS('County annual'!$H$6:$H$179,'County annual'!$C$6:$C$179,$C154,'County annual'!$A$6:$A$179,$A154)</x:f>
        <x:v>45</x:v>
      </x:c>
      <x:c r="J154" s="47" t="n">
        <x:f>I154-H154</x:f>
        <x:v>0</x:v>
      </x:c>
      <x:c r="K154" s="62" t="n">
        <x:v>19900132</x:v>
      </x:c>
      <x:c r="L154" s="62" t="n">
        <x:f>SUMIFS('County annual'!$J$6:$J$179,'County annual'!$C$6:$C$179,$C154,'County annual'!$A$6:$A$179,$A154)</x:f>
        <x:v>19900132</x:v>
      </x:c>
      <x:c r="M154" s="62" t="n">
        <x:f>L154-K154</x:f>
        <x:v>0</x:v>
      </x:c>
      <x:c r="N154" s="47" t="n">
        <x:v>45</x:v>
      </x:c>
      <x:c r="O154" s="47" t="n">
        <x:f>SUMIFS('County annual'!$K$6:$K$179,'County annual'!$C$6:$C$179,$C154,'County annual'!$A$6:$A$179,$A154)</x:f>
        <x:v>45</x:v>
      </x:c>
      <x:c r="P154" s="47" t="n">
        <x:f>O154-N154</x:f>
        <x:v>0</x:v>
      </x:c>
      <x:c r="Q154" s="47" t="n">
        <x:f>IF(SUMIFS('County annual'!$D$6:$D$179,'County annual'!$C$6:$C$179,$C154,'County annual'!$A$6:$A$179,$A154)=D154,0,1)+IF(SUMIFS('County annual'!$E$6:$E$179,'County annual'!$C$6:$C$179,$C154,'County annual'!$A$6:$A$179,$A154)=E154,0,1)+IF(SUMIFS('County annual'!$F$6:$F$179,'County annual'!$C$6:$C$179,$C154,'County annual'!$A$6:$A$179,$A154)=F154,0,1)+IF(SUMIFS('County annual'!$G$6:$G$179,'County annual'!$C$6:$C$179,$C154,'County annual'!$A$6:$A$179,$A154)=G154,0,1)</x:f>
        <x:v>0</x:v>
      </x:c>
      <x:c r="R154" s="30" t="str">
        <x:f>IF(AND(J154=0,M154=0,P154=0,Q154=0),"Match","Mismatch")</x:f>
        <x:v>Match</x:v>
      </x:c>
      <x:c r="S154" s="30" t="str">
        <x:v>BPS-CO-2025</x:v>
      </x:c>
      <x:c r="T154" s="30" t="str">
        <x:v>raw/county/co2025a.txt</x:v>
      </x:c>
      <x:c r="U154" s="56" t="n">
        <x:v>2673</x:v>
      </x:c>
    </x:row>
    <x:row r="155" ht="21" customHeight="1">
      <x:c r="A155" s="56" t="n">
        <x:v>2025</x:v>
      </x:c>
      <x:c r="B155" s="30" t="str">
        <x:v>Daggett County</x:v>
      </x:c>
      <x:c r="C155" s="58" t="str">
        <x:v>49009</x:v>
      </x:c>
      <x:c r="D155" s="47" t="n">
        <x:v>17</x:v>
      </x:c>
      <x:c r="E155" s="47" t="n">
        <x:v>0</x:v>
      </x:c>
      <x:c r="F155" s="47" t="n">
        <x:v>0</x:v>
      </x:c>
      <x:c r="G155" s="47" t="n">
        <x:v>0</x:v>
      </x:c>
      <x:c r="H155" s="47" t="n">
        <x:f>SUM(D155:G155)</x:f>
        <x:v>17</x:v>
      </x:c>
      <x:c r="I155" s="47" t="n">
        <x:f>SUMIFS('County annual'!$H$6:$H$179,'County annual'!$C$6:$C$179,$C155,'County annual'!$A$6:$A$179,$A155)</x:f>
        <x:v>17</x:v>
      </x:c>
      <x:c r="J155" s="47" t="n">
        <x:f>I155-H155</x:f>
        <x:v>0</x:v>
      </x:c>
      <x:c r="K155" s="62" t="n">
        <x:v>6678405</x:v>
      </x:c>
      <x:c r="L155" s="62" t="n">
        <x:f>SUMIFS('County annual'!$J$6:$J$179,'County annual'!$C$6:$C$179,$C155,'County annual'!$A$6:$A$179,$A155)</x:f>
        <x:v>6678405</x:v>
      </x:c>
      <x:c r="M155" s="62" t="n">
        <x:f>L155-K155</x:f>
        <x:v>0</x:v>
      </x:c>
      <x:c r="N155" s="47" t="n">
        <x:v>17</x:v>
      </x:c>
      <x:c r="O155" s="47" t="n">
        <x:f>SUMIFS('County annual'!$K$6:$K$179,'County annual'!$C$6:$C$179,$C155,'County annual'!$A$6:$A$179,$A155)</x:f>
        <x:v>17</x:v>
      </x:c>
      <x:c r="P155" s="47" t="n">
        <x:f>O155-N155</x:f>
        <x:v>0</x:v>
      </x:c>
      <x:c r="Q155" s="47" t="n">
        <x:f>IF(SUMIFS('County annual'!$D$6:$D$179,'County annual'!$C$6:$C$179,$C155,'County annual'!$A$6:$A$179,$A155)=D155,0,1)+IF(SUMIFS('County annual'!$E$6:$E$179,'County annual'!$C$6:$C$179,$C155,'County annual'!$A$6:$A$179,$A155)=E155,0,1)+IF(SUMIFS('County annual'!$F$6:$F$179,'County annual'!$C$6:$C$179,$C155,'County annual'!$A$6:$A$179,$A155)=F155,0,1)+IF(SUMIFS('County annual'!$G$6:$G$179,'County annual'!$C$6:$C$179,$C155,'County annual'!$A$6:$A$179,$A155)=G155,0,1)</x:f>
        <x:v>0</x:v>
      </x:c>
      <x:c r="R155" s="30" t="str">
        <x:f>IF(AND(J155=0,M155=0,P155=0,Q155=0),"Match","Mismatch")</x:f>
        <x:v>Match</x:v>
      </x:c>
      <x:c r="S155" s="30" t="str">
        <x:v>BPS-CO-2025</x:v>
      </x:c>
      <x:c r="T155" s="30" t="str">
        <x:v>raw/county/co2025a.txt</x:v>
      </x:c>
      <x:c r="U155" s="56" t="n">
        <x:v>2674</x:v>
      </x:c>
    </x:row>
    <x:row r="156" ht="21" customHeight="1">
      <x:c r="A156" s="56" t="n">
        <x:v>2025</x:v>
      </x:c>
      <x:c r="B156" s="30" t="str">
        <x:v>Davis County</x:v>
      </x:c>
      <x:c r="C156" s="58" t="str">
        <x:v>49011</x:v>
      </x:c>
      <x:c r="D156" s="47" t="n">
        <x:v>841</x:v>
      </x:c>
      <x:c r="E156" s="47" t="n">
        <x:v>8</x:v>
      </x:c>
      <x:c r="F156" s="47" t="n">
        <x:v>72</x:v>
      </x:c>
      <x:c r="G156" s="47" t="n">
        <x:v>996</x:v>
      </x:c>
      <x:c r="H156" s="47" t="n">
        <x:f>SUM(D156:G156)</x:f>
        <x:v>1917</x:v>
      </x:c>
      <x:c r="I156" s="47" t="n">
        <x:f>SUMIFS('County annual'!$H$6:$H$179,'County annual'!$C$6:$C$179,$C156,'County annual'!$A$6:$A$179,$A156)</x:f>
        <x:v>1917</x:v>
      </x:c>
      <x:c r="J156" s="47" t="n">
        <x:f>I156-H156</x:f>
        <x:v>0</x:v>
      </x:c>
      <x:c r="K156" s="62" t="n">
        <x:v>489625762</x:v>
      </x:c>
      <x:c r="L156" s="62" t="n">
        <x:f>SUMIFS('County annual'!$J$6:$J$179,'County annual'!$C$6:$C$179,$C156,'County annual'!$A$6:$A$179,$A156)</x:f>
        <x:v>489625762</x:v>
      </x:c>
      <x:c r="M156" s="62" t="n">
        <x:f>L156-K156</x:f>
        <x:v>0</x:v>
      </x:c>
      <x:c r="N156" s="47" t="n">
        <x:v>1917</x:v>
      </x:c>
      <x:c r="O156" s="47" t="n">
        <x:f>SUMIFS('County annual'!$K$6:$K$179,'County annual'!$C$6:$C$179,$C156,'County annual'!$A$6:$A$179,$A156)</x:f>
        <x:v>1917</x:v>
      </x:c>
      <x:c r="P156" s="47" t="n">
        <x:f>O156-N156</x:f>
        <x:v>0</x:v>
      </x:c>
      <x:c r="Q156" s="47" t="n">
        <x:f>IF(SUMIFS('County annual'!$D$6:$D$179,'County annual'!$C$6:$C$179,$C156,'County annual'!$A$6:$A$179,$A156)=D156,0,1)+IF(SUMIFS('County annual'!$E$6:$E$179,'County annual'!$C$6:$C$179,$C156,'County annual'!$A$6:$A$179,$A156)=E156,0,1)+IF(SUMIFS('County annual'!$F$6:$F$179,'County annual'!$C$6:$C$179,$C156,'County annual'!$A$6:$A$179,$A156)=F156,0,1)+IF(SUMIFS('County annual'!$G$6:$G$179,'County annual'!$C$6:$C$179,$C156,'County annual'!$A$6:$A$179,$A156)=G156,0,1)</x:f>
        <x:v>0</x:v>
      </x:c>
      <x:c r="R156" s="30" t="str">
        <x:f>IF(AND(J156=0,M156=0,P156=0,Q156=0),"Match","Mismatch")</x:f>
        <x:v>Match</x:v>
      </x:c>
      <x:c r="S156" s="30" t="str">
        <x:v>BPS-CO-2025</x:v>
      </x:c>
      <x:c r="T156" s="30" t="str">
        <x:v>raw/county/co2025a.txt</x:v>
      </x:c>
      <x:c r="U156" s="56" t="n">
        <x:v>2675</x:v>
      </x:c>
    </x:row>
    <x:row r="157" ht="21" customHeight="1">
      <x:c r="A157" s="56" t="n">
        <x:v>2025</x:v>
      </x:c>
      <x:c r="B157" s="30" t="str">
        <x:v>Duchesne County</x:v>
      </x:c>
      <x:c r="C157" s="58" t="str">
        <x:v>49013</x:v>
      </x:c>
      <x:c r="D157" s="47" t="n">
        <x:v>123</x:v>
      </x:c>
      <x:c r="E157" s="47" t="n">
        <x:v>0</x:v>
      </x:c>
      <x:c r="F157" s="47" t="n">
        <x:v>4</x:v>
      </x:c>
      <x:c r="G157" s="47" t="n">
        <x:v>0</x:v>
      </x:c>
      <x:c r="H157" s="47" t="n">
        <x:f>SUM(D157:G157)</x:f>
        <x:v>127</x:v>
      </x:c>
      <x:c r="I157" s="47" t="n">
        <x:f>SUMIFS('County annual'!$H$6:$H$179,'County annual'!$C$6:$C$179,$C157,'County annual'!$A$6:$A$179,$A157)</x:f>
        <x:v>127</x:v>
      </x:c>
      <x:c r="J157" s="47" t="n">
        <x:f>I157-H157</x:f>
        <x:v>0</x:v>
      </x:c>
      <x:c r="K157" s="62" t="n">
        <x:v>39117176</x:v>
      </x:c>
      <x:c r="L157" s="62" t="n">
        <x:f>SUMIFS('County annual'!$J$6:$J$179,'County annual'!$C$6:$C$179,$C157,'County annual'!$A$6:$A$179,$A157)</x:f>
        <x:v>39117176</x:v>
      </x:c>
      <x:c r="M157" s="62" t="n">
        <x:f>L157-K157</x:f>
        <x:v>0</x:v>
      </x:c>
      <x:c r="N157" s="47" t="n">
        <x:v>66</x:v>
      </x:c>
      <x:c r="O157" s="47" t="n">
        <x:f>SUMIFS('County annual'!$K$6:$K$179,'County annual'!$C$6:$C$179,$C157,'County annual'!$A$6:$A$179,$A157)</x:f>
        <x:v>66</x:v>
      </x:c>
      <x:c r="P157" s="47" t="n">
        <x:f>O157-N157</x:f>
        <x:v>0</x:v>
      </x:c>
      <x:c r="Q157" s="47" t="n">
        <x:f>IF(SUMIFS('County annual'!$D$6:$D$179,'County annual'!$C$6:$C$179,$C157,'County annual'!$A$6:$A$179,$A157)=D157,0,1)+IF(SUMIFS('County annual'!$E$6:$E$179,'County annual'!$C$6:$C$179,$C157,'County annual'!$A$6:$A$179,$A157)=E157,0,1)+IF(SUMIFS('County annual'!$F$6:$F$179,'County annual'!$C$6:$C$179,$C157,'County annual'!$A$6:$A$179,$A157)=F157,0,1)+IF(SUMIFS('County annual'!$G$6:$G$179,'County annual'!$C$6:$C$179,$C157,'County annual'!$A$6:$A$179,$A157)=G157,0,1)</x:f>
        <x:v>0</x:v>
      </x:c>
      <x:c r="R157" s="30" t="str">
        <x:f>IF(AND(J157=0,M157=0,P157=0,Q157=0),"Match","Mismatch")</x:f>
        <x:v>Match</x:v>
      </x:c>
      <x:c r="S157" s="30" t="str">
        <x:v>BPS-CO-2025</x:v>
      </x:c>
      <x:c r="T157" s="30" t="str">
        <x:v>raw/county/co2025a.txt</x:v>
      </x:c>
      <x:c r="U157" s="56" t="n">
        <x:v>2676</x:v>
      </x:c>
    </x:row>
    <x:row r="158" ht="21" customHeight="1">
      <x:c r="A158" s="56" t="n">
        <x:v>2025</x:v>
      </x:c>
      <x:c r="B158" s="30" t="str">
        <x:v>Emery County</x:v>
      </x:c>
      <x:c r="C158" s="58" t="str">
        <x:v>49015</x:v>
      </x:c>
      <x:c r="D158" s="47" t="n">
        <x:v>77</x:v>
      </x:c>
      <x:c r="E158" s="47" t="n">
        <x:v>0</x:v>
      </x:c>
      <x:c r="F158" s="47" t="n">
        <x:v>0</x:v>
      </x:c>
      <x:c r="G158" s="47" t="n">
        <x:v>0</x:v>
      </x:c>
      <x:c r="H158" s="47" t="n">
        <x:f>SUM(D158:G158)</x:f>
        <x:v>77</x:v>
      </x:c>
      <x:c r="I158" s="47" t="n">
        <x:f>SUMIFS('County annual'!$H$6:$H$179,'County annual'!$C$6:$C$179,$C158,'County annual'!$A$6:$A$179,$A158)</x:f>
        <x:v>77</x:v>
      </x:c>
      <x:c r="J158" s="47" t="n">
        <x:f>I158-H158</x:f>
        <x:v>0</x:v>
      </x:c>
      <x:c r="K158" s="62" t="n">
        <x:v>7299770</x:v>
      </x:c>
      <x:c r="L158" s="62" t="n">
        <x:f>SUMIFS('County annual'!$J$6:$J$179,'County annual'!$C$6:$C$179,$C158,'County annual'!$A$6:$A$179,$A158)</x:f>
        <x:v>7299770</x:v>
      </x:c>
      <x:c r="M158" s="62" t="n">
        <x:f>L158-K158</x:f>
        <x:v>0</x:v>
      </x:c>
      <x:c r="N158" s="47" t="n">
        <x:v>77</x:v>
      </x:c>
      <x:c r="O158" s="47" t="n">
        <x:f>SUMIFS('County annual'!$K$6:$K$179,'County annual'!$C$6:$C$179,$C158,'County annual'!$A$6:$A$179,$A158)</x:f>
        <x:v>77</x:v>
      </x:c>
      <x:c r="P158" s="47" t="n">
        <x:f>O158-N158</x:f>
        <x:v>0</x:v>
      </x:c>
      <x:c r="Q158" s="47" t="n">
        <x:f>IF(SUMIFS('County annual'!$D$6:$D$179,'County annual'!$C$6:$C$179,$C158,'County annual'!$A$6:$A$179,$A158)=D158,0,1)+IF(SUMIFS('County annual'!$E$6:$E$179,'County annual'!$C$6:$C$179,$C158,'County annual'!$A$6:$A$179,$A158)=E158,0,1)+IF(SUMIFS('County annual'!$F$6:$F$179,'County annual'!$C$6:$C$179,$C158,'County annual'!$A$6:$A$179,$A158)=F158,0,1)+IF(SUMIFS('County annual'!$G$6:$G$179,'County annual'!$C$6:$C$179,$C158,'County annual'!$A$6:$A$179,$A158)=G158,0,1)</x:f>
        <x:v>0</x:v>
      </x:c>
      <x:c r="R158" s="30" t="str">
        <x:f>IF(AND(J158=0,M158=0,P158=0,Q158=0),"Match","Mismatch")</x:f>
        <x:v>Match</x:v>
      </x:c>
      <x:c r="S158" s="30" t="str">
        <x:v>BPS-CO-2025</x:v>
      </x:c>
      <x:c r="T158" s="30" t="str">
        <x:v>raw/county/co2025a.txt</x:v>
      </x:c>
      <x:c r="U158" s="56" t="n">
        <x:v>2677</x:v>
      </x:c>
    </x:row>
    <x:row r="159" ht="21" customHeight="1">
      <x:c r="A159" s="56" t="n">
        <x:v>2025</x:v>
      </x:c>
      <x:c r="B159" s="30" t="str">
        <x:v>Garfield County</x:v>
      </x:c>
      <x:c r="C159" s="58" t="str">
        <x:v>49017</x:v>
      </x:c>
      <x:c r="D159" s="47" t="n">
        <x:v>27</x:v>
      </x:c>
      <x:c r="E159" s="47" t="n">
        <x:v>0</x:v>
      </x:c>
      <x:c r="F159" s="47" t="n">
        <x:v>0</x:v>
      </x:c>
      <x:c r="G159" s="47" t="n">
        <x:v>0</x:v>
      </x:c>
      <x:c r="H159" s="47" t="n">
        <x:f>SUM(D159:G159)</x:f>
        <x:v>27</x:v>
      </x:c>
      <x:c r="I159" s="47" t="n">
        <x:f>SUMIFS('County annual'!$H$6:$H$179,'County annual'!$C$6:$C$179,$C159,'County annual'!$A$6:$A$179,$A159)</x:f>
        <x:v>27</x:v>
      </x:c>
      <x:c r="J159" s="47" t="n">
        <x:f>I159-H159</x:f>
        <x:v>0</x:v>
      </x:c>
      <x:c r="K159" s="62" t="n">
        <x:v>10535601</x:v>
      </x:c>
      <x:c r="L159" s="62" t="n">
        <x:f>SUMIFS('County annual'!$J$6:$J$179,'County annual'!$C$6:$C$179,$C159,'County annual'!$A$6:$A$179,$A159)</x:f>
        <x:v>10535601</x:v>
      </x:c>
      <x:c r="M159" s="62" t="n">
        <x:f>L159-K159</x:f>
        <x:v>0</x:v>
      </x:c>
      <x:c r="N159" s="47" t="n">
        <x:v>27</x:v>
      </x:c>
      <x:c r="O159" s="47" t="n">
        <x:f>SUMIFS('County annual'!$K$6:$K$179,'County annual'!$C$6:$C$179,$C159,'County annual'!$A$6:$A$179,$A159)</x:f>
        <x:v>27</x:v>
      </x:c>
      <x:c r="P159" s="47" t="n">
        <x:f>O159-N159</x:f>
        <x:v>0</x:v>
      </x:c>
      <x:c r="Q159" s="47" t="n">
        <x:f>IF(SUMIFS('County annual'!$D$6:$D$179,'County annual'!$C$6:$C$179,$C159,'County annual'!$A$6:$A$179,$A159)=D159,0,1)+IF(SUMIFS('County annual'!$E$6:$E$179,'County annual'!$C$6:$C$179,$C159,'County annual'!$A$6:$A$179,$A159)=E159,0,1)+IF(SUMIFS('County annual'!$F$6:$F$179,'County annual'!$C$6:$C$179,$C159,'County annual'!$A$6:$A$179,$A159)=F159,0,1)+IF(SUMIFS('County annual'!$G$6:$G$179,'County annual'!$C$6:$C$179,$C159,'County annual'!$A$6:$A$179,$A159)=G159,0,1)</x:f>
        <x:v>0</x:v>
      </x:c>
      <x:c r="R159" s="30" t="str">
        <x:f>IF(AND(J159=0,M159=0,P159=0,Q159=0),"Match","Mismatch")</x:f>
        <x:v>Match</x:v>
      </x:c>
      <x:c r="S159" s="30" t="str">
        <x:v>BPS-CO-2025</x:v>
      </x:c>
      <x:c r="T159" s="30" t="str">
        <x:v>raw/county/co2025a.txt</x:v>
      </x:c>
      <x:c r="U159" s="56" t="n">
        <x:v>2678</x:v>
      </x:c>
    </x:row>
    <x:row r="160" ht="21" customHeight="1">
      <x:c r="A160" s="56" t="n">
        <x:v>2025</x:v>
      </x:c>
      <x:c r="B160" s="30" t="str">
        <x:v>Grand County</x:v>
      </x:c>
      <x:c r="C160" s="58" t="str">
        <x:v>49019</x:v>
      </x:c>
      <x:c r="D160" s="47" t="n">
        <x:v>42</x:v>
      </x:c>
      <x:c r="E160" s="47" t="n">
        <x:v>6</x:v>
      </x:c>
      <x:c r="F160" s="47" t="n">
        <x:v>0</x:v>
      </x:c>
      <x:c r="G160" s="47" t="n">
        <x:v>76</x:v>
      </x:c>
      <x:c r="H160" s="47" t="n">
        <x:f>SUM(D160:G160)</x:f>
        <x:v>124</x:v>
      </x:c>
      <x:c r="I160" s="47" t="n">
        <x:f>SUMIFS('County annual'!$H$6:$H$179,'County annual'!$C$6:$C$179,$C160,'County annual'!$A$6:$A$179,$A160)</x:f>
        <x:v>124</x:v>
      </x:c>
      <x:c r="J160" s="47" t="n">
        <x:f>I160-H160</x:f>
        <x:v>0</x:v>
      </x:c>
      <x:c r="K160" s="62" t="n">
        <x:v>29569688</x:v>
      </x:c>
      <x:c r="L160" s="62" t="n">
        <x:f>SUMIFS('County annual'!$J$6:$J$179,'County annual'!$C$6:$C$179,$C160,'County annual'!$A$6:$A$179,$A160)</x:f>
        <x:v>29569688</x:v>
      </x:c>
      <x:c r="M160" s="62" t="n">
        <x:f>L160-K160</x:f>
        <x:v>0</x:v>
      </x:c>
      <x:c r="N160" s="47" t="n">
        <x:v>124</x:v>
      </x:c>
      <x:c r="O160" s="47" t="n">
        <x:f>SUMIFS('County annual'!$K$6:$K$179,'County annual'!$C$6:$C$179,$C160,'County annual'!$A$6:$A$179,$A160)</x:f>
        <x:v>124</x:v>
      </x:c>
      <x:c r="P160" s="47" t="n">
        <x:f>O160-N160</x:f>
        <x:v>0</x:v>
      </x:c>
      <x:c r="Q160" s="47" t="n">
        <x:f>IF(SUMIFS('County annual'!$D$6:$D$179,'County annual'!$C$6:$C$179,$C160,'County annual'!$A$6:$A$179,$A160)=D160,0,1)+IF(SUMIFS('County annual'!$E$6:$E$179,'County annual'!$C$6:$C$179,$C160,'County annual'!$A$6:$A$179,$A160)=E160,0,1)+IF(SUMIFS('County annual'!$F$6:$F$179,'County annual'!$C$6:$C$179,$C160,'County annual'!$A$6:$A$179,$A160)=F160,0,1)+IF(SUMIFS('County annual'!$G$6:$G$179,'County annual'!$C$6:$C$179,$C160,'County annual'!$A$6:$A$179,$A160)=G160,0,1)</x:f>
        <x:v>0</x:v>
      </x:c>
      <x:c r="R160" s="30" t="str">
        <x:f>IF(AND(J160=0,M160=0,P160=0,Q160=0),"Match","Mismatch")</x:f>
        <x:v>Match</x:v>
      </x:c>
      <x:c r="S160" s="30" t="str">
        <x:v>BPS-CO-2025</x:v>
      </x:c>
      <x:c r="T160" s="30" t="str">
        <x:v>raw/county/co2025a.txt</x:v>
      </x:c>
      <x:c r="U160" s="56" t="n">
        <x:v>2679</x:v>
      </x:c>
    </x:row>
    <x:row r="161" ht="21" customHeight="1">
      <x:c r="A161" s="56" t="n">
        <x:v>2025</x:v>
      </x:c>
      <x:c r="B161" s="30" t="str">
        <x:v>Iron County</x:v>
      </x:c>
      <x:c r="C161" s="58" t="str">
        <x:v>49021</x:v>
      </x:c>
      <x:c r="D161" s="47" t="n">
        <x:v>678</x:v>
      </x:c>
      <x:c r="E161" s="47" t="n">
        <x:v>0</x:v>
      </x:c>
      <x:c r="F161" s="47" t="n">
        <x:v>0</x:v>
      </x:c>
      <x:c r="G161" s="47" t="n">
        <x:v>0</x:v>
      </x:c>
      <x:c r="H161" s="47" t="n">
        <x:f>SUM(D161:G161)</x:f>
        <x:v>678</x:v>
      </x:c>
      <x:c r="I161" s="47" t="n">
        <x:f>SUMIFS('County annual'!$H$6:$H$179,'County annual'!$C$6:$C$179,$C161,'County annual'!$A$6:$A$179,$A161)</x:f>
        <x:v>678</x:v>
      </x:c>
      <x:c r="J161" s="47" t="n">
        <x:f>I161-H161</x:f>
        <x:v>0</x:v>
      </x:c>
      <x:c r="K161" s="62" t="n">
        <x:v>190390382</x:v>
      </x:c>
      <x:c r="L161" s="62" t="n">
        <x:f>SUMIFS('County annual'!$J$6:$J$179,'County annual'!$C$6:$C$179,$C161,'County annual'!$A$6:$A$179,$A161)</x:f>
        <x:v>190390382</x:v>
      </x:c>
      <x:c r="M161" s="62" t="n">
        <x:f>L161-K161</x:f>
        <x:v>0</x:v>
      </x:c>
      <x:c r="N161" s="47" t="n">
        <x:v>678</x:v>
      </x:c>
      <x:c r="O161" s="47" t="n">
        <x:f>SUMIFS('County annual'!$K$6:$K$179,'County annual'!$C$6:$C$179,$C161,'County annual'!$A$6:$A$179,$A161)</x:f>
        <x:v>678</x:v>
      </x:c>
      <x:c r="P161" s="47" t="n">
        <x:f>O161-N161</x:f>
        <x:v>0</x:v>
      </x:c>
      <x:c r="Q161" s="47" t="n">
        <x:f>IF(SUMIFS('County annual'!$D$6:$D$179,'County annual'!$C$6:$C$179,$C161,'County annual'!$A$6:$A$179,$A161)=D161,0,1)+IF(SUMIFS('County annual'!$E$6:$E$179,'County annual'!$C$6:$C$179,$C161,'County annual'!$A$6:$A$179,$A161)=E161,0,1)+IF(SUMIFS('County annual'!$F$6:$F$179,'County annual'!$C$6:$C$179,$C161,'County annual'!$A$6:$A$179,$A161)=F161,0,1)+IF(SUMIFS('County annual'!$G$6:$G$179,'County annual'!$C$6:$C$179,$C161,'County annual'!$A$6:$A$179,$A161)=G161,0,1)</x:f>
        <x:v>0</x:v>
      </x:c>
      <x:c r="R161" s="30" t="str">
        <x:f>IF(AND(J161=0,M161=0,P161=0,Q161=0),"Match","Mismatch")</x:f>
        <x:v>Match</x:v>
      </x:c>
      <x:c r="S161" s="30" t="str">
        <x:v>BPS-CO-2025</x:v>
      </x:c>
      <x:c r="T161" s="30" t="str">
        <x:v>raw/county/co2025a.txt</x:v>
      </x:c>
      <x:c r="U161" s="56" t="n">
        <x:v>2680</x:v>
      </x:c>
    </x:row>
    <x:row r="162" ht="21" customHeight="1">
      <x:c r="A162" s="56" t="n">
        <x:v>2025</x:v>
      </x:c>
      <x:c r="B162" s="30" t="str">
        <x:v>Juab County</x:v>
      </x:c>
      <x:c r="C162" s="58" t="str">
        <x:v>49023</x:v>
      </x:c>
      <x:c r="D162" s="47" t="n">
        <x:v>71</x:v>
      </x:c>
      <x:c r="E162" s="47" t="n">
        <x:v>12</x:v>
      </x:c>
      <x:c r="F162" s="47" t="n">
        <x:v>11</x:v>
      </x:c>
      <x:c r="G162" s="47" t="n">
        <x:v>8</x:v>
      </x:c>
      <x:c r="H162" s="47" t="n">
        <x:f>SUM(D162:G162)</x:f>
        <x:v>102</x:v>
      </x:c>
      <x:c r="I162" s="47" t="n">
        <x:f>SUMIFS('County annual'!$H$6:$H$179,'County annual'!$C$6:$C$179,$C162,'County annual'!$A$6:$A$179,$A162)</x:f>
        <x:v>102</x:v>
      </x:c>
      <x:c r="J162" s="47" t="n">
        <x:f>I162-H162</x:f>
        <x:v>0</x:v>
      </x:c>
      <x:c r="K162" s="62" t="n">
        <x:v>36003263</x:v>
      </x:c>
      <x:c r="L162" s="62" t="n">
        <x:f>SUMIFS('County annual'!$J$6:$J$179,'County annual'!$C$6:$C$179,$C162,'County annual'!$A$6:$A$179,$A162)</x:f>
        <x:v>36003263</x:v>
      </x:c>
      <x:c r="M162" s="62" t="n">
        <x:f>L162-K162</x:f>
        <x:v>0</x:v>
      </x:c>
      <x:c r="N162" s="47" t="n">
        <x:v>93</x:v>
      </x:c>
      <x:c r="O162" s="47" t="n">
        <x:f>SUMIFS('County annual'!$K$6:$K$179,'County annual'!$C$6:$C$179,$C162,'County annual'!$A$6:$A$179,$A162)</x:f>
        <x:v>93</x:v>
      </x:c>
      <x:c r="P162" s="47" t="n">
        <x:f>O162-N162</x:f>
        <x:v>0</x:v>
      </x:c>
      <x:c r="Q162" s="47" t="n">
        <x:f>IF(SUMIFS('County annual'!$D$6:$D$179,'County annual'!$C$6:$C$179,$C162,'County annual'!$A$6:$A$179,$A162)=D162,0,1)+IF(SUMIFS('County annual'!$E$6:$E$179,'County annual'!$C$6:$C$179,$C162,'County annual'!$A$6:$A$179,$A162)=E162,0,1)+IF(SUMIFS('County annual'!$F$6:$F$179,'County annual'!$C$6:$C$179,$C162,'County annual'!$A$6:$A$179,$A162)=F162,0,1)+IF(SUMIFS('County annual'!$G$6:$G$179,'County annual'!$C$6:$C$179,$C162,'County annual'!$A$6:$A$179,$A162)=G162,0,1)</x:f>
        <x:v>0</x:v>
      </x:c>
      <x:c r="R162" s="30" t="str">
        <x:f>IF(AND(J162=0,M162=0,P162=0,Q162=0),"Match","Mismatch")</x:f>
        <x:v>Match</x:v>
      </x:c>
      <x:c r="S162" s="30" t="str">
        <x:v>BPS-CO-2025</x:v>
      </x:c>
      <x:c r="T162" s="30" t="str">
        <x:v>raw/county/co2025a.txt</x:v>
      </x:c>
      <x:c r="U162" s="56" t="n">
        <x:v>2681</x:v>
      </x:c>
    </x:row>
    <x:row r="163" ht="21" customHeight="1">
      <x:c r="A163" s="56" t="n">
        <x:v>2025</x:v>
      </x:c>
      <x:c r="B163" s="30" t="str">
        <x:v>Kane County</x:v>
      </x:c>
      <x:c r="C163" s="58" t="str">
        <x:v>49025</x:v>
      </x:c>
      <x:c r="D163" s="47" t="n">
        <x:v>122</x:v>
      </x:c>
      <x:c r="E163" s="47" t="n">
        <x:v>4</x:v>
      </x:c>
      <x:c r="F163" s="47" t="n">
        <x:v>4</x:v>
      </x:c>
      <x:c r="G163" s="47" t="n">
        <x:v>16</x:v>
      </x:c>
      <x:c r="H163" s="47" t="n">
        <x:f>SUM(D163:G163)</x:f>
        <x:v>146</x:v>
      </x:c>
      <x:c r="I163" s="47" t="n">
        <x:f>SUMIFS('County annual'!$H$6:$H$179,'County annual'!$C$6:$C$179,$C163,'County annual'!$A$6:$A$179,$A163)</x:f>
        <x:v>146</x:v>
      </x:c>
      <x:c r="J163" s="47" t="n">
        <x:f>I163-H163</x:f>
        <x:v>0</x:v>
      </x:c>
      <x:c r="K163" s="62" t="n">
        <x:v>50602489</x:v>
      </x:c>
      <x:c r="L163" s="62" t="n">
        <x:f>SUMIFS('County annual'!$J$6:$J$179,'County annual'!$C$6:$C$179,$C163,'County annual'!$A$6:$A$179,$A163)</x:f>
        <x:v>50602489</x:v>
      </x:c>
      <x:c r="M163" s="62" t="n">
        <x:f>L163-K163</x:f>
        <x:v>0</x:v>
      </x:c>
      <x:c r="N163" s="47" t="n">
        <x:v>124</x:v>
      </x:c>
      <x:c r="O163" s="47" t="n">
        <x:f>SUMIFS('County annual'!$K$6:$K$179,'County annual'!$C$6:$C$179,$C163,'County annual'!$A$6:$A$179,$A163)</x:f>
        <x:v>124</x:v>
      </x:c>
      <x:c r="P163" s="47" t="n">
        <x:f>O163-N163</x:f>
        <x:v>0</x:v>
      </x:c>
      <x:c r="Q163" s="47" t="n">
        <x:f>IF(SUMIFS('County annual'!$D$6:$D$179,'County annual'!$C$6:$C$179,$C163,'County annual'!$A$6:$A$179,$A163)=D163,0,1)+IF(SUMIFS('County annual'!$E$6:$E$179,'County annual'!$C$6:$C$179,$C163,'County annual'!$A$6:$A$179,$A163)=E163,0,1)+IF(SUMIFS('County annual'!$F$6:$F$179,'County annual'!$C$6:$C$179,$C163,'County annual'!$A$6:$A$179,$A163)=F163,0,1)+IF(SUMIFS('County annual'!$G$6:$G$179,'County annual'!$C$6:$C$179,$C163,'County annual'!$A$6:$A$179,$A163)=G163,0,1)</x:f>
        <x:v>0</x:v>
      </x:c>
      <x:c r="R163" s="30" t="str">
        <x:f>IF(AND(J163=0,M163=0,P163=0,Q163=0),"Match","Mismatch")</x:f>
        <x:v>Match</x:v>
      </x:c>
      <x:c r="S163" s="30" t="str">
        <x:v>BPS-CO-2025</x:v>
      </x:c>
      <x:c r="T163" s="30" t="str">
        <x:v>raw/county/co2025a.txt</x:v>
      </x:c>
      <x:c r="U163" s="56" t="n">
        <x:v>2682</x:v>
      </x:c>
    </x:row>
    <x:row r="164" ht="21" customHeight="1">
      <x:c r="A164" s="56" t="n">
        <x:v>2025</x:v>
      </x:c>
      <x:c r="B164" s="30" t="str">
        <x:v>Millard County</x:v>
      </x:c>
      <x:c r="C164" s="58" t="str">
        <x:v>49027</x:v>
      </x:c>
      <x:c r="D164" s="47" t="n">
        <x:v>67</x:v>
      </x:c>
      <x:c r="E164" s="47" t="n">
        <x:v>6</x:v>
      </x:c>
      <x:c r="F164" s="47" t="n">
        <x:v>0</x:v>
      </x:c>
      <x:c r="G164" s="47" t="n">
        <x:v>0</x:v>
      </x:c>
      <x:c r="H164" s="47" t="n">
        <x:f>SUM(D164:G164)</x:f>
        <x:v>73</x:v>
      </x:c>
      <x:c r="I164" s="47" t="n">
        <x:f>SUMIFS('County annual'!$H$6:$H$179,'County annual'!$C$6:$C$179,$C164,'County annual'!$A$6:$A$179,$A164)</x:f>
        <x:v>73</x:v>
      </x:c>
      <x:c r="J164" s="47" t="n">
        <x:f>I164-H164</x:f>
        <x:v>0</x:v>
      </x:c>
      <x:c r="K164" s="62" t="n">
        <x:v>19384153</x:v>
      </x:c>
      <x:c r="L164" s="62" t="n">
        <x:f>SUMIFS('County annual'!$J$6:$J$179,'County annual'!$C$6:$C$179,$C164,'County annual'!$A$6:$A$179,$A164)</x:f>
        <x:v>19384153</x:v>
      </x:c>
      <x:c r="M164" s="62" t="n">
        <x:f>L164-K164</x:f>
        <x:v>0</x:v>
      </x:c>
      <x:c r="N164" s="47" t="n">
        <x:v>73</x:v>
      </x:c>
      <x:c r="O164" s="47" t="n">
        <x:f>SUMIFS('County annual'!$K$6:$K$179,'County annual'!$C$6:$C$179,$C164,'County annual'!$A$6:$A$179,$A164)</x:f>
        <x:v>73</x:v>
      </x:c>
      <x:c r="P164" s="47" t="n">
        <x:f>O164-N164</x:f>
        <x:v>0</x:v>
      </x:c>
      <x:c r="Q164" s="47" t="n">
        <x:f>IF(SUMIFS('County annual'!$D$6:$D$179,'County annual'!$C$6:$C$179,$C164,'County annual'!$A$6:$A$179,$A164)=D164,0,1)+IF(SUMIFS('County annual'!$E$6:$E$179,'County annual'!$C$6:$C$179,$C164,'County annual'!$A$6:$A$179,$A164)=E164,0,1)+IF(SUMIFS('County annual'!$F$6:$F$179,'County annual'!$C$6:$C$179,$C164,'County annual'!$A$6:$A$179,$A164)=F164,0,1)+IF(SUMIFS('County annual'!$G$6:$G$179,'County annual'!$C$6:$C$179,$C164,'County annual'!$A$6:$A$179,$A164)=G164,0,1)</x:f>
        <x:v>0</x:v>
      </x:c>
      <x:c r="R164" s="30" t="str">
        <x:f>IF(AND(J164=0,M164=0,P164=0,Q164=0),"Match","Mismatch")</x:f>
        <x:v>Match</x:v>
      </x:c>
      <x:c r="S164" s="30" t="str">
        <x:v>BPS-CO-2025</x:v>
      </x:c>
      <x:c r="T164" s="30" t="str">
        <x:v>raw/county/co2025a.txt</x:v>
      </x:c>
      <x:c r="U164" s="56" t="n">
        <x:v>2683</x:v>
      </x:c>
    </x:row>
    <x:row r="165" ht="21" customHeight="1">
      <x:c r="A165" s="56" t="n">
        <x:v>2025</x:v>
      </x:c>
      <x:c r="B165" s="30" t="str">
        <x:v>Morgan County</x:v>
      </x:c>
      <x:c r="C165" s="58" t="str">
        <x:v>49029</x:v>
      </x:c>
      <x:c r="D165" s="47" t="n">
        <x:v>92</x:v>
      </x:c>
      <x:c r="E165" s="47" t="n">
        <x:v>12</x:v>
      </x:c>
      <x:c r="F165" s="47" t="n">
        <x:v>42</x:v>
      </x:c>
      <x:c r="G165" s="47" t="n">
        <x:v>46</x:v>
      </x:c>
      <x:c r="H165" s="47" t="n">
        <x:f>SUM(D165:G165)</x:f>
        <x:v>192</x:v>
      </x:c>
      <x:c r="I165" s="47" t="n">
        <x:f>SUMIFS('County annual'!$H$6:$H$179,'County annual'!$C$6:$C$179,$C165,'County annual'!$A$6:$A$179,$A165)</x:f>
        <x:v>192</x:v>
      </x:c>
      <x:c r="J165" s="47" t="n">
        <x:f>I165-H165</x:f>
        <x:v>0</x:v>
      </x:c>
      <x:c r="K165" s="62" t="n">
        <x:v>48497754</x:v>
      </x:c>
      <x:c r="L165" s="62" t="n">
        <x:f>SUMIFS('County annual'!$J$6:$J$179,'County annual'!$C$6:$C$179,$C165,'County annual'!$A$6:$A$179,$A165)</x:f>
        <x:v>48497754</x:v>
      </x:c>
      <x:c r="M165" s="62" t="n">
        <x:f>L165-K165</x:f>
        <x:v>0</x:v>
      </x:c>
      <x:c r="N165" s="47" t="n">
        <x:v>192</x:v>
      </x:c>
      <x:c r="O165" s="47" t="n">
        <x:f>SUMIFS('County annual'!$K$6:$K$179,'County annual'!$C$6:$C$179,$C165,'County annual'!$A$6:$A$179,$A165)</x:f>
        <x:v>192</x:v>
      </x:c>
      <x:c r="P165" s="47" t="n">
        <x:f>O165-N165</x:f>
        <x:v>0</x:v>
      </x:c>
      <x:c r="Q165" s="47" t="n">
        <x:f>IF(SUMIFS('County annual'!$D$6:$D$179,'County annual'!$C$6:$C$179,$C165,'County annual'!$A$6:$A$179,$A165)=D165,0,1)+IF(SUMIFS('County annual'!$E$6:$E$179,'County annual'!$C$6:$C$179,$C165,'County annual'!$A$6:$A$179,$A165)=E165,0,1)+IF(SUMIFS('County annual'!$F$6:$F$179,'County annual'!$C$6:$C$179,$C165,'County annual'!$A$6:$A$179,$A165)=F165,0,1)+IF(SUMIFS('County annual'!$G$6:$G$179,'County annual'!$C$6:$C$179,$C165,'County annual'!$A$6:$A$179,$A165)=G165,0,1)</x:f>
        <x:v>0</x:v>
      </x:c>
      <x:c r="R165" s="30" t="str">
        <x:f>IF(AND(J165=0,M165=0,P165=0,Q165=0),"Match","Mismatch")</x:f>
        <x:v>Match</x:v>
      </x:c>
      <x:c r="S165" s="30" t="str">
        <x:v>BPS-CO-2025</x:v>
      </x:c>
      <x:c r="T165" s="30" t="str">
        <x:v>raw/county/co2025a.txt</x:v>
      </x:c>
      <x:c r="U165" s="56" t="n">
        <x:v>2684</x:v>
      </x:c>
    </x:row>
    <x:row r="166" ht="21" customHeight="1">
      <x:c r="A166" s="56" t="n">
        <x:v>2025</x:v>
      </x:c>
      <x:c r="B166" s="30" t="str">
        <x:v>Piute County</x:v>
      </x:c>
      <x:c r="C166" s="58" t="str">
        <x:v>49031</x:v>
      </x:c>
      <x:c r="D166" s="47" t="n">
        <x:v>21</x:v>
      </x:c>
      <x:c r="E166" s="47" t="n">
        <x:v>0</x:v>
      </x:c>
      <x:c r="F166" s="47" t="n">
        <x:v>0</x:v>
      </x:c>
      <x:c r="G166" s="47" t="n">
        <x:v>0</x:v>
      </x:c>
      <x:c r="H166" s="47" t="n">
        <x:f>SUM(D166:G166)</x:f>
        <x:v>21</x:v>
      </x:c>
      <x:c r="I166" s="47" t="n">
        <x:f>SUMIFS('County annual'!$H$6:$H$179,'County annual'!$C$6:$C$179,$C166,'County annual'!$A$6:$A$179,$A166)</x:f>
        <x:v>21</x:v>
      </x:c>
      <x:c r="J166" s="47" t="n">
        <x:f>I166-H166</x:f>
        <x:v>0</x:v>
      </x:c>
      <x:c r="K166" s="62" t="n">
        <x:v>3166800</x:v>
      </x:c>
      <x:c r="L166" s="62" t="n">
        <x:f>SUMIFS('County annual'!$J$6:$J$179,'County annual'!$C$6:$C$179,$C166,'County annual'!$A$6:$A$179,$A166)</x:f>
        <x:v>3166800</x:v>
      </x:c>
      <x:c r="M166" s="62" t="n">
        <x:f>L166-K166</x:f>
        <x:v>0</x:v>
      </x:c>
      <x:c r="N166" s="47" t="n">
        <x:v>0</x:v>
      </x:c>
      <x:c r="O166" s="47" t="n">
        <x:f>SUMIFS('County annual'!$K$6:$K$179,'County annual'!$C$6:$C$179,$C166,'County annual'!$A$6:$A$179,$A166)</x:f>
        <x:v>0</x:v>
      </x:c>
      <x:c r="P166" s="47" t="n">
        <x:f>O166-N166</x:f>
        <x:v>0</x:v>
      </x:c>
      <x:c r="Q166" s="47" t="n">
        <x:f>IF(SUMIFS('County annual'!$D$6:$D$179,'County annual'!$C$6:$C$179,$C166,'County annual'!$A$6:$A$179,$A166)=D166,0,1)+IF(SUMIFS('County annual'!$E$6:$E$179,'County annual'!$C$6:$C$179,$C166,'County annual'!$A$6:$A$179,$A166)=E166,0,1)+IF(SUMIFS('County annual'!$F$6:$F$179,'County annual'!$C$6:$C$179,$C166,'County annual'!$A$6:$A$179,$A166)=F166,0,1)+IF(SUMIFS('County annual'!$G$6:$G$179,'County annual'!$C$6:$C$179,$C166,'County annual'!$A$6:$A$179,$A166)=G166,0,1)</x:f>
        <x:v>0</x:v>
      </x:c>
      <x:c r="R166" s="30" t="str">
        <x:f>IF(AND(J166=0,M166=0,P166=0,Q166=0),"Match","Mismatch")</x:f>
        <x:v>Match</x:v>
      </x:c>
      <x:c r="S166" s="30" t="str">
        <x:v>BPS-CO-2025</x:v>
      </x:c>
      <x:c r="T166" s="30" t="str">
        <x:v>raw/county/co2025a.txt</x:v>
      </x:c>
      <x:c r="U166" s="56" t="n">
        <x:v>2685</x:v>
      </x:c>
    </x:row>
    <x:row r="167" ht="21" customHeight="1">
      <x:c r="A167" s="56" t="n">
        <x:v>2025</x:v>
      </x:c>
      <x:c r="B167" s="30" t="str">
        <x:v>Rich County</x:v>
      </x:c>
      <x:c r="C167" s="58" t="str">
        <x:v>49033</x:v>
      </x:c>
      <x:c r="D167" s="47" t="n">
        <x:v>62</x:v>
      </x:c>
      <x:c r="E167" s="47" t="n">
        <x:v>0</x:v>
      </x:c>
      <x:c r="F167" s="47" t="n">
        <x:v>4</x:v>
      </x:c>
      <x:c r="G167" s="47" t="n">
        <x:v>16</x:v>
      </x:c>
      <x:c r="H167" s="47" t="n">
        <x:f>SUM(D167:G167)</x:f>
        <x:v>82</x:v>
      </x:c>
      <x:c r="I167" s="47" t="n">
        <x:f>SUMIFS('County annual'!$H$6:$H$179,'County annual'!$C$6:$C$179,$C167,'County annual'!$A$6:$A$179,$A167)</x:f>
        <x:v>82</x:v>
      </x:c>
      <x:c r="J167" s="47" t="n">
        <x:f>I167-H167</x:f>
        <x:v>0</x:v>
      </x:c>
      <x:c r="K167" s="62" t="n">
        <x:v>41735352</x:v>
      </x:c>
      <x:c r="L167" s="62" t="n">
        <x:f>SUMIFS('County annual'!$J$6:$J$179,'County annual'!$C$6:$C$179,$C167,'County annual'!$A$6:$A$179,$A167)</x:f>
        <x:v>41735352</x:v>
      </x:c>
      <x:c r="M167" s="62" t="n">
        <x:f>L167-K167</x:f>
        <x:v>0</x:v>
      </x:c>
      <x:c r="N167" s="47" t="n">
        <x:v>42</x:v>
      </x:c>
      <x:c r="O167" s="47" t="n">
        <x:f>SUMIFS('County annual'!$K$6:$K$179,'County annual'!$C$6:$C$179,$C167,'County annual'!$A$6:$A$179,$A167)</x:f>
        <x:v>42</x:v>
      </x:c>
      <x:c r="P167" s="47" t="n">
        <x:f>O167-N167</x:f>
        <x:v>0</x:v>
      </x:c>
      <x:c r="Q167" s="47" t="n">
        <x:f>IF(SUMIFS('County annual'!$D$6:$D$179,'County annual'!$C$6:$C$179,$C167,'County annual'!$A$6:$A$179,$A167)=D167,0,1)+IF(SUMIFS('County annual'!$E$6:$E$179,'County annual'!$C$6:$C$179,$C167,'County annual'!$A$6:$A$179,$A167)=E167,0,1)+IF(SUMIFS('County annual'!$F$6:$F$179,'County annual'!$C$6:$C$179,$C167,'County annual'!$A$6:$A$179,$A167)=F167,0,1)+IF(SUMIFS('County annual'!$G$6:$G$179,'County annual'!$C$6:$C$179,$C167,'County annual'!$A$6:$A$179,$A167)=G167,0,1)</x:f>
        <x:v>0</x:v>
      </x:c>
      <x:c r="R167" s="30" t="str">
        <x:f>IF(AND(J167=0,M167=0,P167=0,Q167=0),"Match","Mismatch")</x:f>
        <x:v>Match</x:v>
      </x:c>
      <x:c r="S167" s="30" t="str">
        <x:v>BPS-CO-2025</x:v>
      </x:c>
      <x:c r="T167" s="30" t="str">
        <x:v>raw/county/co2025a.txt</x:v>
      </x:c>
      <x:c r="U167" s="56" t="n">
        <x:v>2686</x:v>
      </x:c>
    </x:row>
    <x:row r="168" ht="21" customHeight="1">
      <x:c r="A168" s="56" t="n">
        <x:v>2025</x:v>
      </x:c>
      <x:c r="B168" s="30" t="str">
        <x:v>Salt Lake County</x:v>
      </x:c>
      <x:c r="C168" s="58" t="str">
        <x:v>49035</x:v>
      </x:c>
      <x:c r="D168" s="47" t="n">
        <x:v>2576</x:v>
      </x:c>
      <x:c r="E168" s="47" t="n">
        <x:v>68</x:v>
      </x:c>
      <x:c r="F168" s="47" t="n">
        <x:v>101</x:v>
      </x:c>
      <x:c r="G168" s="47" t="n">
        <x:v>4434</x:v>
      </x:c>
      <x:c r="H168" s="47" t="n">
        <x:f>SUM(D168:G168)</x:f>
        <x:v>7179</x:v>
      </x:c>
      <x:c r="I168" s="47" t="n">
        <x:f>SUMIFS('County annual'!$H$6:$H$179,'County annual'!$C$6:$C$179,$C168,'County annual'!$A$6:$A$179,$A168)</x:f>
        <x:v>7179</x:v>
      </x:c>
      <x:c r="J168" s="47" t="n">
        <x:f>I168-H168</x:f>
        <x:v>0</x:v>
      </x:c>
      <x:c r="K168" s="62" t="n">
        <x:v>1987390933</x:v>
      </x:c>
      <x:c r="L168" s="62" t="n">
        <x:f>SUMIFS('County annual'!$J$6:$J$179,'County annual'!$C$6:$C$179,$C168,'County annual'!$A$6:$A$179,$A168)</x:f>
        <x:v>1987390933</x:v>
      </x:c>
      <x:c r="M168" s="62" t="n">
        <x:f>L168-K168</x:f>
        <x:v>0</x:v>
      </x:c>
      <x:c r="N168" s="47" t="n">
        <x:v>7155</x:v>
      </x:c>
      <x:c r="O168" s="47" t="n">
        <x:f>SUMIFS('County annual'!$K$6:$K$179,'County annual'!$C$6:$C$179,$C168,'County annual'!$A$6:$A$179,$A168)</x:f>
        <x:v>7155</x:v>
      </x:c>
      <x:c r="P168" s="47" t="n">
        <x:f>O168-N168</x:f>
        <x:v>0</x:v>
      </x:c>
      <x:c r="Q168" s="47" t="n">
        <x:f>IF(SUMIFS('County annual'!$D$6:$D$179,'County annual'!$C$6:$C$179,$C168,'County annual'!$A$6:$A$179,$A168)=D168,0,1)+IF(SUMIFS('County annual'!$E$6:$E$179,'County annual'!$C$6:$C$179,$C168,'County annual'!$A$6:$A$179,$A168)=E168,0,1)+IF(SUMIFS('County annual'!$F$6:$F$179,'County annual'!$C$6:$C$179,$C168,'County annual'!$A$6:$A$179,$A168)=F168,0,1)+IF(SUMIFS('County annual'!$G$6:$G$179,'County annual'!$C$6:$C$179,$C168,'County annual'!$A$6:$A$179,$A168)=G168,0,1)</x:f>
        <x:v>0</x:v>
      </x:c>
      <x:c r="R168" s="30" t="str">
        <x:f>IF(AND(J168=0,M168=0,P168=0,Q168=0),"Match","Mismatch")</x:f>
        <x:v>Match</x:v>
      </x:c>
      <x:c r="S168" s="30" t="str">
        <x:v>BPS-CO-2025</x:v>
      </x:c>
      <x:c r="T168" s="30" t="str">
        <x:v>raw/county/co2025a.txt</x:v>
      </x:c>
      <x:c r="U168" s="56" t="n">
        <x:v>2687</x:v>
      </x:c>
    </x:row>
    <x:row r="169" ht="21" customHeight="1">
      <x:c r="A169" s="56" t="n">
        <x:v>2025</x:v>
      </x:c>
      <x:c r="B169" s="30" t="str">
        <x:v>San Juan County</x:v>
      </x:c>
      <x:c r="C169" s="58" t="str">
        <x:v>49037</x:v>
      </x:c>
      <x:c r="D169" s="47" t="n">
        <x:v>49</x:v>
      </x:c>
      <x:c r="E169" s="47" t="n">
        <x:v>6</x:v>
      </x:c>
      <x:c r="F169" s="47" t="n">
        <x:v>0</x:v>
      </x:c>
      <x:c r="G169" s="47" t="n">
        <x:v>0</x:v>
      </x:c>
      <x:c r="H169" s="47" t="n">
        <x:f>SUM(D169:G169)</x:f>
        <x:v>55</x:v>
      </x:c>
      <x:c r="I169" s="47" t="n">
        <x:f>SUMIFS('County annual'!$H$6:$H$179,'County annual'!$C$6:$C$179,$C169,'County annual'!$A$6:$A$179,$A169)</x:f>
        <x:v>55</x:v>
      </x:c>
      <x:c r="J169" s="47" t="n">
        <x:f>I169-H169</x:f>
        <x:v>0</x:v>
      </x:c>
      <x:c r="K169" s="62" t="n">
        <x:v>19777598</x:v>
      </x:c>
      <x:c r="L169" s="62" t="n">
        <x:f>SUMIFS('County annual'!$J$6:$J$179,'County annual'!$C$6:$C$179,$C169,'County annual'!$A$6:$A$179,$A169)</x:f>
        <x:v>19777598</x:v>
      </x:c>
      <x:c r="M169" s="62" t="n">
        <x:f>L169-K169</x:f>
        <x:v>0</x:v>
      </x:c>
      <x:c r="N169" s="47" t="n">
        <x:v>8</x:v>
      </x:c>
      <x:c r="O169" s="47" t="n">
        <x:f>SUMIFS('County annual'!$K$6:$K$179,'County annual'!$C$6:$C$179,$C169,'County annual'!$A$6:$A$179,$A169)</x:f>
        <x:v>8</x:v>
      </x:c>
      <x:c r="P169" s="47" t="n">
        <x:f>O169-N169</x:f>
        <x:v>0</x:v>
      </x:c>
      <x:c r="Q169" s="47" t="n">
        <x:f>IF(SUMIFS('County annual'!$D$6:$D$179,'County annual'!$C$6:$C$179,$C169,'County annual'!$A$6:$A$179,$A169)=D169,0,1)+IF(SUMIFS('County annual'!$E$6:$E$179,'County annual'!$C$6:$C$179,$C169,'County annual'!$A$6:$A$179,$A169)=E169,0,1)+IF(SUMIFS('County annual'!$F$6:$F$179,'County annual'!$C$6:$C$179,$C169,'County annual'!$A$6:$A$179,$A169)=F169,0,1)+IF(SUMIFS('County annual'!$G$6:$G$179,'County annual'!$C$6:$C$179,$C169,'County annual'!$A$6:$A$179,$A169)=G169,0,1)</x:f>
        <x:v>0</x:v>
      </x:c>
      <x:c r="R169" s="30" t="str">
        <x:f>IF(AND(J169=0,M169=0,P169=0,Q169=0),"Match","Mismatch")</x:f>
        <x:v>Match</x:v>
      </x:c>
      <x:c r="S169" s="30" t="str">
        <x:v>BPS-CO-2025</x:v>
      </x:c>
      <x:c r="T169" s="30" t="str">
        <x:v>raw/county/co2025a.txt</x:v>
      </x:c>
      <x:c r="U169" s="56" t="n">
        <x:v>2688</x:v>
      </x:c>
    </x:row>
    <x:row r="170" ht="21" customHeight="1">
      <x:c r="A170" s="56" t="n">
        <x:v>2025</x:v>
      </x:c>
      <x:c r="B170" s="30" t="str">
        <x:v>Sanpete County</x:v>
      </x:c>
      <x:c r="C170" s="58" t="str">
        <x:v>49039</x:v>
      </x:c>
      <x:c r="D170" s="47" t="n">
        <x:v>190</x:v>
      </x:c>
      <x:c r="E170" s="47" t="n">
        <x:v>32</x:v>
      </x:c>
      <x:c r="F170" s="47" t="n">
        <x:v>4</x:v>
      </x:c>
      <x:c r="G170" s="47" t="n">
        <x:v>12</x:v>
      </x:c>
      <x:c r="H170" s="47" t="n">
        <x:f>SUM(D170:G170)</x:f>
        <x:v>238</x:v>
      </x:c>
      <x:c r="I170" s="47" t="n">
        <x:f>SUMIFS('County annual'!$H$6:$H$179,'County annual'!$C$6:$C$179,$C170,'County annual'!$A$6:$A$179,$A170)</x:f>
        <x:v>238</x:v>
      </x:c>
      <x:c r="J170" s="47" t="n">
        <x:f>I170-H170</x:f>
        <x:v>0</x:v>
      </x:c>
      <x:c r="K170" s="62" t="n">
        <x:v>91412427</x:v>
      </x:c>
      <x:c r="L170" s="62" t="n">
        <x:f>SUMIFS('County annual'!$J$6:$J$179,'County annual'!$C$6:$C$179,$C170,'County annual'!$A$6:$A$179,$A170)</x:f>
        <x:v>91412427</x:v>
      </x:c>
      <x:c r="M170" s="62" t="n">
        <x:f>L170-K170</x:f>
        <x:v>0</x:v>
      </x:c>
      <x:c r="N170" s="47" t="n">
        <x:v>238</x:v>
      </x:c>
      <x:c r="O170" s="47" t="n">
        <x:f>SUMIFS('County annual'!$K$6:$K$179,'County annual'!$C$6:$C$179,$C170,'County annual'!$A$6:$A$179,$A170)</x:f>
        <x:v>238</x:v>
      </x:c>
      <x:c r="P170" s="47" t="n">
        <x:f>O170-N170</x:f>
        <x:v>0</x:v>
      </x:c>
      <x:c r="Q170" s="47" t="n">
        <x:f>IF(SUMIFS('County annual'!$D$6:$D$179,'County annual'!$C$6:$C$179,$C170,'County annual'!$A$6:$A$179,$A170)=D170,0,1)+IF(SUMIFS('County annual'!$E$6:$E$179,'County annual'!$C$6:$C$179,$C170,'County annual'!$A$6:$A$179,$A170)=E170,0,1)+IF(SUMIFS('County annual'!$F$6:$F$179,'County annual'!$C$6:$C$179,$C170,'County annual'!$A$6:$A$179,$A170)=F170,0,1)+IF(SUMIFS('County annual'!$G$6:$G$179,'County annual'!$C$6:$C$179,$C170,'County annual'!$A$6:$A$179,$A170)=G170,0,1)</x:f>
        <x:v>0</x:v>
      </x:c>
      <x:c r="R170" s="30" t="str">
        <x:f>IF(AND(J170=0,M170=0,P170=0,Q170=0),"Match","Mismatch")</x:f>
        <x:v>Match</x:v>
      </x:c>
      <x:c r="S170" s="30" t="str">
        <x:v>BPS-CO-2025</x:v>
      </x:c>
      <x:c r="T170" s="30" t="str">
        <x:v>raw/county/co2025a.txt</x:v>
      </x:c>
      <x:c r="U170" s="56" t="n">
        <x:v>2689</x:v>
      </x:c>
    </x:row>
    <x:row r="171" ht="21" customHeight="1">
      <x:c r="A171" s="56" t="n">
        <x:v>2025</x:v>
      </x:c>
      <x:c r="B171" s="30" t="str">
        <x:v>Sevier County</x:v>
      </x:c>
      <x:c r="C171" s="58" t="str">
        <x:v>49041</x:v>
      </x:c>
      <x:c r="D171" s="47" t="n">
        <x:v>97</x:v>
      </x:c>
      <x:c r="E171" s="47" t="n">
        <x:v>0</x:v>
      </x:c>
      <x:c r="F171" s="47" t="n">
        <x:v>0</x:v>
      </x:c>
      <x:c r="G171" s="47" t="n">
        <x:v>0</x:v>
      </x:c>
      <x:c r="H171" s="47" t="n">
        <x:f>SUM(D171:G171)</x:f>
        <x:v>97</x:v>
      </x:c>
      <x:c r="I171" s="47" t="n">
        <x:f>SUMIFS('County annual'!$H$6:$H$179,'County annual'!$C$6:$C$179,$C171,'County annual'!$A$6:$A$179,$A171)</x:f>
        <x:v>97</x:v>
      </x:c>
      <x:c r="J171" s="47" t="n">
        <x:f>I171-H171</x:f>
        <x:v>0</x:v>
      </x:c>
      <x:c r="K171" s="62" t="n">
        <x:v>43574509</x:v>
      </x:c>
      <x:c r="L171" s="62" t="n">
        <x:f>SUMIFS('County annual'!$J$6:$J$179,'County annual'!$C$6:$C$179,$C171,'County annual'!$A$6:$A$179,$A171)</x:f>
        <x:v>43574509</x:v>
      </x:c>
      <x:c r="M171" s="62" t="n">
        <x:f>L171-K171</x:f>
        <x:v>0</x:v>
      </x:c>
      <x:c r="N171" s="47" t="n">
        <x:v>97</x:v>
      </x:c>
      <x:c r="O171" s="47" t="n">
        <x:f>SUMIFS('County annual'!$K$6:$K$179,'County annual'!$C$6:$C$179,$C171,'County annual'!$A$6:$A$179,$A171)</x:f>
        <x:v>97</x:v>
      </x:c>
      <x:c r="P171" s="47" t="n">
        <x:f>O171-N171</x:f>
        <x:v>0</x:v>
      </x:c>
      <x:c r="Q171" s="47" t="n">
        <x:f>IF(SUMIFS('County annual'!$D$6:$D$179,'County annual'!$C$6:$C$179,$C171,'County annual'!$A$6:$A$179,$A171)=D171,0,1)+IF(SUMIFS('County annual'!$E$6:$E$179,'County annual'!$C$6:$C$179,$C171,'County annual'!$A$6:$A$179,$A171)=E171,0,1)+IF(SUMIFS('County annual'!$F$6:$F$179,'County annual'!$C$6:$C$179,$C171,'County annual'!$A$6:$A$179,$A171)=F171,0,1)+IF(SUMIFS('County annual'!$G$6:$G$179,'County annual'!$C$6:$C$179,$C171,'County annual'!$A$6:$A$179,$A171)=G171,0,1)</x:f>
        <x:v>0</x:v>
      </x:c>
      <x:c r="R171" s="30" t="str">
        <x:f>IF(AND(J171=0,M171=0,P171=0,Q171=0),"Match","Mismatch")</x:f>
        <x:v>Match</x:v>
      </x:c>
      <x:c r="S171" s="30" t="str">
        <x:v>BPS-CO-2025</x:v>
      </x:c>
      <x:c r="T171" s="30" t="str">
        <x:v>raw/county/co2025a.txt</x:v>
      </x:c>
      <x:c r="U171" s="56" t="n">
        <x:v>2690</x:v>
      </x:c>
    </x:row>
    <x:row r="172" ht="21" customHeight="1">
      <x:c r="A172" s="56" t="n">
        <x:v>2025</x:v>
      </x:c>
      <x:c r="B172" s="30" t="str">
        <x:v>Summit County</x:v>
      </x:c>
      <x:c r="C172" s="58" t="str">
        <x:v>49043</x:v>
      </x:c>
      <x:c r="D172" s="47" t="n">
        <x:v>334</x:v>
      </x:c>
      <x:c r="E172" s="47" t="n">
        <x:v>2</x:v>
      </x:c>
      <x:c r="F172" s="47" t="n">
        <x:v>8</x:v>
      </x:c>
      <x:c r="G172" s="47" t="n">
        <x:v>219</x:v>
      </x:c>
      <x:c r="H172" s="47" t="n">
        <x:f>SUM(D172:G172)</x:f>
        <x:v>563</x:v>
      </x:c>
      <x:c r="I172" s="47" t="n">
        <x:f>SUMIFS('County annual'!$H$6:$H$179,'County annual'!$C$6:$C$179,$C172,'County annual'!$A$6:$A$179,$A172)</x:f>
        <x:v>563</x:v>
      </x:c>
      <x:c r="J172" s="47" t="n">
        <x:f>I172-H172</x:f>
        <x:v>0</x:v>
      </x:c>
      <x:c r="K172" s="62" t="n">
        <x:v>403173887</x:v>
      </x:c>
      <x:c r="L172" s="62" t="n">
        <x:f>SUMIFS('County annual'!$J$6:$J$179,'County annual'!$C$6:$C$179,$C172,'County annual'!$A$6:$A$179,$A172)</x:f>
        <x:v>403173887</x:v>
      </x:c>
      <x:c r="M172" s="62" t="n">
        <x:f>L172-K172</x:f>
        <x:v>0</x:v>
      </x:c>
      <x:c r="N172" s="47" t="n">
        <x:v>563</x:v>
      </x:c>
      <x:c r="O172" s="47" t="n">
        <x:f>SUMIFS('County annual'!$K$6:$K$179,'County annual'!$C$6:$C$179,$C172,'County annual'!$A$6:$A$179,$A172)</x:f>
        <x:v>563</x:v>
      </x:c>
      <x:c r="P172" s="47" t="n">
        <x:f>O172-N172</x:f>
        <x:v>0</x:v>
      </x:c>
      <x:c r="Q172" s="47" t="n">
        <x:f>IF(SUMIFS('County annual'!$D$6:$D$179,'County annual'!$C$6:$C$179,$C172,'County annual'!$A$6:$A$179,$A172)=D172,0,1)+IF(SUMIFS('County annual'!$E$6:$E$179,'County annual'!$C$6:$C$179,$C172,'County annual'!$A$6:$A$179,$A172)=E172,0,1)+IF(SUMIFS('County annual'!$F$6:$F$179,'County annual'!$C$6:$C$179,$C172,'County annual'!$A$6:$A$179,$A172)=F172,0,1)+IF(SUMIFS('County annual'!$G$6:$G$179,'County annual'!$C$6:$C$179,$C172,'County annual'!$A$6:$A$179,$A172)=G172,0,1)</x:f>
        <x:v>0</x:v>
      </x:c>
      <x:c r="R172" s="30" t="str">
        <x:f>IF(AND(J172=0,M172=0,P172=0,Q172=0),"Match","Mismatch")</x:f>
        <x:v>Match</x:v>
      </x:c>
      <x:c r="S172" s="30" t="str">
        <x:v>BPS-CO-2025</x:v>
      </x:c>
      <x:c r="T172" s="30" t="str">
        <x:v>raw/county/co2025a.txt</x:v>
      </x:c>
      <x:c r="U172" s="56" t="n">
        <x:v>2691</x:v>
      </x:c>
    </x:row>
    <x:row r="173" ht="21" customHeight="1">
      <x:c r="A173" s="56" t="n">
        <x:v>2025</x:v>
      </x:c>
      <x:c r="B173" s="30" t="str">
        <x:v>Tooele County</x:v>
      </x:c>
      <x:c r="C173" s="58" t="str">
        <x:v>49045</x:v>
      </x:c>
      <x:c r="D173" s="47" t="n">
        <x:v>439</x:v>
      </x:c>
      <x:c r="E173" s="47" t="n">
        <x:v>8</x:v>
      </x:c>
      <x:c r="F173" s="47" t="n">
        <x:v>39</x:v>
      </x:c>
      <x:c r="G173" s="47" t="n">
        <x:v>37</x:v>
      </x:c>
      <x:c r="H173" s="47" t="n">
        <x:f>SUM(D173:G173)</x:f>
        <x:v>523</x:v>
      </x:c>
      <x:c r="I173" s="47" t="n">
        <x:f>SUMIFS('County annual'!$H$6:$H$179,'County annual'!$C$6:$C$179,$C173,'County annual'!$A$6:$A$179,$A173)</x:f>
        <x:v>523</x:v>
      </x:c>
      <x:c r="J173" s="47" t="n">
        <x:f>I173-H173</x:f>
        <x:v>0</x:v>
      </x:c>
      <x:c r="K173" s="62" t="n">
        <x:v>191457450</x:v>
      </x:c>
      <x:c r="L173" s="62" t="n">
        <x:f>SUMIFS('County annual'!$J$6:$J$179,'County annual'!$C$6:$C$179,$C173,'County annual'!$A$6:$A$179,$A173)</x:f>
        <x:v>191457450</x:v>
      </x:c>
      <x:c r="M173" s="62" t="n">
        <x:f>L173-K173</x:f>
        <x:v>0</x:v>
      </x:c>
      <x:c r="N173" s="47" t="n">
        <x:v>516</x:v>
      </x:c>
      <x:c r="O173" s="47" t="n">
        <x:f>SUMIFS('County annual'!$K$6:$K$179,'County annual'!$C$6:$C$179,$C173,'County annual'!$A$6:$A$179,$A173)</x:f>
        <x:v>516</x:v>
      </x:c>
      <x:c r="P173" s="47" t="n">
        <x:f>O173-N173</x:f>
        <x:v>0</x:v>
      </x:c>
      <x:c r="Q173" s="47" t="n">
        <x:f>IF(SUMIFS('County annual'!$D$6:$D$179,'County annual'!$C$6:$C$179,$C173,'County annual'!$A$6:$A$179,$A173)=D173,0,1)+IF(SUMIFS('County annual'!$E$6:$E$179,'County annual'!$C$6:$C$179,$C173,'County annual'!$A$6:$A$179,$A173)=E173,0,1)+IF(SUMIFS('County annual'!$F$6:$F$179,'County annual'!$C$6:$C$179,$C173,'County annual'!$A$6:$A$179,$A173)=F173,0,1)+IF(SUMIFS('County annual'!$G$6:$G$179,'County annual'!$C$6:$C$179,$C173,'County annual'!$A$6:$A$179,$A173)=G173,0,1)</x:f>
        <x:v>0</x:v>
      </x:c>
      <x:c r="R173" s="30" t="str">
        <x:f>IF(AND(J173=0,M173=0,P173=0,Q173=0),"Match","Mismatch")</x:f>
        <x:v>Match</x:v>
      </x:c>
      <x:c r="S173" s="30" t="str">
        <x:v>BPS-CO-2025</x:v>
      </x:c>
      <x:c r="T173" s="30" t="str">
        <x:v>raw/county/co2025a.txt</x:v>
      </x:c>
      <x:c r="U173" s="56" t="n">
        <x:v>2692</x:v>
      </x:c>
    </x:row>
    <x:row r="174" ht="21" customHeight="1">
      <x:c r="A174" s="56" t="n">
        <x:v>2025</x:v>
      </x:c>
      <x:c r="B174" s="30" t="str">
        <x:v>Uintah County</x:v>
      </x:c>
      <x:c r="C174" s="58" t="str">
        <x:v>49047</x:v>
      </x:c>
      <x:c r="D174" s="47" t="n">
        <x:v>98</x:v>
      </x:c>
      <x:c r="E174" s="47" t="n">
        <x:v>0</x:v>
      </x:c>
      <x:c r="F174" s="47" t="n">
        <x:v>4</x:v>
      </x:c>
      <x:c r="G174" s="47" t="n">
        <x:v>68</x:v>
      </x:c>
      <x:c r="H174" s="47" t="n">
        <x:f>SUM(D174:G174)</x:f>
        <x:v>170</x:v>
      </x:c>
      <x:c r="I174" s="47" t="n">
        <x:f>SUMIFS('County annual'!$H$6:$H$179,'County annual'!$C$6:$C$179,$C174,'County annual'!$A$6:$A$179,$A174)</x:f>
        <x:v>170</x:v>
      </x:c>
      <x:c r="J174" s="47" t="n">
        <x:f>I174-H174</x:f>
        <x:v>0</x:v>
      </x:c>
      <x:c r="K174" s="62" t="n">
        <x:v>48165851</x:v>
      </x:c>
      <x:c r="L174" s="62" t="n">
        <x:f>SUMIFS('County annual'!$J$6:$J$179,'County annual'!$C$6:$C$179,$C174,'County annual'!$A$6:$A$179,$A174)</x:f>
        <x:v>48165851</x:v>
      </x:c>
      <x:c r="M174" s="62" t="n">
        <x:f>L174-K174</x:f>
        <x:v>0</x:v>
      </x:c>
      <x:c r="N174" s="47" t="n">
        <x:v>170</x:v>
      </x:c>
      <x:c r="O174" s="47" t="n">
        <x:f>SUMIFS('County annual'!$K$6:$K$179,'County annual'!$C$6:$C$179,$C174,'County annual'!$A$6:$A$179,$A174)</x:f>
        <x:v>170</x:v>
      </x:c>
      <x:c r="P174" s="47" t="n">
        <x:f>O174-N174</x:f>
        <x:v>0</x:v>
      </x:c>
      <x:c r="Q174" s="47" t="n">
        <x:f>IF(SUMIFS('County annual'!$D$6:$D$179,'County annual'!$C$6:$C$179,$C174,'County annual'!$A$6:$A$179,$A174)=D174,0,1)+IF(SUMIFS('County annual'!$E$6:$E$179,'County annual'!$C$6:$C$179,$C174,'County annual'!$A$6:$A$179,$A174)=E174,0,1)+IF(SUMIFS('County annual'!$F$6:$F$179,'County annual'!$C$6:$C$179,$C174,'County annual'!$A$6:$A$179,$A174)=F174,0,1)+IF(SUMIFS('County annual'!$G$6:$G$179,'County annual'!$C$6:$C$179,$C174,'County annual'!$A$6:$A$179,$A174)=G174,0,1)</x:f>
        <x:v>0</x:v>
      </x:c>
      <x:c r="R174" s="30" t="str">
        <x:f>IF(AND(J174=0,M174=0,P174=0,Q174=0),"Match","Mismatch")</x:f>
        <x:v>Match</x:v>
      </x:c>
      <x:c r="S174" s="30" t="str">
        <x:v>BPS-CO-2025</x:v>
      </x:c>
      <x:c r="T174" s="30" t="str">
        <x:v>raw/county/co2025a.txt</x:v>
      </x:c>
      <x:c r="U174" s="56" t="n">
        <x:v>2693</x:v>
      </x:c>
    </x:row>
    <x:row r="175" ht="21" customHeight="1">
      <x:c r="A175" s="56" t="n">
        <x:v>2025</x:v>
      </x:c>
      <x:c r="B175" s="30" t="str">
        <x:v>Utah County</x:v>
      </x:c>
      <x:c r="C175" s="58" t="str">
        <x:v>49049</x:v>
      </x:c>
      <x:c r="D175" s="47" t="n">
        <x:v>5324</x:v>
      </x:c>
      <x:c r="E175" s="47" t="n">
        <x:v>22</x:v>
      </x:c>
      <x:c r="F175" s="47" t="n">
        <x:v>169</x:v>
      </x:c>
      <x:c r="G175" s="47" t="n">
        <x:v>1687</x:v>
      </x:c>
      <x:c r="H175" s="47" t="n">
        <x:f>SUM(D175:G175)</x:f>
        <x:v>7202</x:v>
      </x:c>
      <x:c r="I175" s="47" t="n">
        <x:f>SUMIFS('County annual'!$H$6:$H$179,'County annual'!$C$6:$C$179,$C175,'County annual'!$A$6:$A$179,$A175)</x:f>
        <x:v>7202</x:v>
      </x:c>
      <x:c r="J175" s="47" t="n">
        <x:f>I175-H175</x:f>
        <x:v>0</x:v>
      </x:c>
      <x:c r="K175" s="62" t="n">
        <x:v>2102511859</x:v>
      </x:c>
      <x:c r="L175" s="62" t="n">
        <x:f>SUMIFS('County annual'!$J$6:$J$179,'County annual'!$C$6:$C$179,$C175,'County annual'!$A$6:$A$179,$A175)</x:f>
        <x:v>2102511859</x:v>
      </x:c>
      <x:c r="M175" s="62" t="n">
        <x:f>L175-K175</x:f>
        <x:v>0</x:v>
      </x:c>
      <x:c r="N175" s="47" t="n">
        <x:v>7172</x:v>
      </x:c>
      <x:c r="O175" s="47" t="n">
        <x:f>SUMIFS('County annual'!$K$6:$K$179,'County annual'!$C$6:$C$179,$C175,'County annual'!$A$6:$A$179,$A175)</x:f>
        <x:v>7172</x:v>
      </x:c>
      <x:c r="P175" s="47" t="n">
        <x:f>O175-N175</x:f>
        <x:v>0</x:v>
      </x:c>
      <x:c r="Q175" s="47" t="n">
        <x:f>IF(SUMIFS('County annual'!$D$6:$D$179,'County annual'!$C$6:$C$179,$C175,'County annual'!$A$6:$A$179,$A175)=D175,0,1)+IF(SUMIFS('County annual'!$E$6:$E$179,'County annual'!$C$6:$C$179,$C175,'County annual'!$A$6:$A$179,$A175)=E175,0,1)+IF(SUMIFS('County annual'!$F$6:$F$179,'County annual'!$C$6:$C$179,$C175,'County annual'!$A$6:$A$179,$A175)=F175,0,1)+IF(SUMIFS('County annual'!$G$6:$G$179,'County annual'!$C$6:$C$179,$C175,'County annual'!$A$6:$A$179,$A175)=G175,0,1)</x:f>
        <x:v>0</x:v>
      </x:c>
      <x:c r="R175" s="30" t="str">
        <x:f>IF(AND(J175=0,M175=0,P175=0,Q175=0),"Match","Mismatch")</x:f>
        <x:v>Match</x:v>
      </x:c>
      <x:c r="S175" s="30" t="str">
        <x:v>BPS-CO-2025</x:v>
      </x:c>
      <x:c r="T175" s="30" t="str">
        <x:v>raw/county/co2025a.txt</x:v>
      </x:c>
      <x:c r="U175" s="56" t="n">
        <x:v>2694</x:v>
      </x:c>
    </x:row>
    <x:row r="176" ht="21" customHeight="1">
      <x:c r="A176" s="56" t="n">
        <x:v>2025</x:v>
      </x:c>
      <x:c r="B176" s="30" t="str">
        <x:v>Wasatch County</x:v>
      </x:c>
      <x:c r="C176" s="58" t="str">
        <x:v>49051</x:v>
      </x:c>
      <x:c r="D176" s="47" t="n">
        <x:v>786</x:v>
      </x:c>
      <x:c r="E176" s="47" t="n">
        <x:v>0</x:v>
      </x:c>
      <x:c r="F176" s="47" t="n">
        <x:v>0</x:v>
      </x:c>
      <x:c r="G176" s="47" t="n">
        <x:v>342</x:v>
      </x:c>
      <x:c r="H176" s="47" t="n">
        <x:f>SUM(D176:G176)</x:f>
        <x:v>1128</x:v>
      </x:c>
      <x:c r="I176" s="47" t="n">
        <x:f>SUMIFS('County annual'!$H$6:$H$179,'County annual'!$C$6:$C$179,$C176,'County annual'!$A$6:$A$179,$A176)</x:f>
        <x:v>1128</x:v>
      </x:c>
      <x:c r="J176" s="47" t="n">
        <x:f>I176-H176</x:f>
        <x:v>0</x:v>
      </x:c>
      <x:c r="K176" s="62" t="n">
        <x:v>790999430</x:v>
      </x:c>
      <x:c r="L176" s="62" t="n">
        <x:f>SUMIFS('County annual'!$J$6:$J$179,'County annual'!$C$6:$C$179,$C176,'County annual'!$A$6:$A$179,$A176)</x:f>
        <x:v>790999430</x:v>
      </x:c>
      <x:c r="M176" s="62" t="n">
        <x:f>L176-K176</x:f>
        <x:v>0</x:v>
      </x:c>
      <x:c r="N176" s="47" t="n">
        <x:v>1100</x:v>
      </x:c>
      <x:c r="O176" s="47" t="n">
        <x:f>SUMIFS('County annual'!$K$6:$K$179,'County annual'!$C$6:$C$179,$C176,'County annual'!$A$6:$A$179,$A176)</x:f>
        <x:v>1100</x:v>
      </x:c>
      <x:c r="P176" s="47" t="n">
        <x:f>O176-N176</x:f>
        <x:v>0</x:v>
      </x:c>
      <x:c r="Q176" s="47" t="n">
        <x:f>IF(SUMIFS('County annual'!$D$6:$D$179,'County annual'!$C$6:$C$179,$C176,'County annual'!$A$6:$A$179,$A176)=D176,0,1)+IF(SUMIFS('County annual'!$E$6:$E$179,'County annual'!$C$6:$C$179,$C176,'County annual'!$A$6:$A$179,$A176)=E176,0,1)+IF(SUMIFS('County annual'!$F$6:$F$179,'County annual'!$C$6:$C$179,$C176,'County annual'!$A$6:$A$179,$A176)=F176,0,1)+IF(SUMIFS('County annual'!$G$6:$G$179,'County annual'!$C$6:$C$179,$C176,'County annual'!$A$6:$A$179,$A176)=G176,0,1)</x:f>
        <x:v>0</x:v>
      </x:c>
      <x:c r="R176" s="30" t="str">
        <x:f>IF(AND(J176=0,M176=0,P176=0,Q176=0),"Match","Mismatch")</x:f>
        <x:v>Match</x:v>
      </x:c>
      <x:c r="S176" s="30" t="str">
        <x:v>BPS-CO-2025</x:v>
      </x:c>
      <x:c r="T176" s="30" t="str">
        <x:v>raw/county/co2025a.txt</x:v>
      </x:c>
      <x:c r="U176" s="56" t="n">
        <x:v>2695</x:v>
      </x:c>
    </x:row>
    <x:row r="177" ht="21" customHeight="1">
      <x:c r="A177" s="56" t="n">
        <x:v>2025</x:v>
      </x:c>
      <x:c r="B177" s="30" t="str">
        <x:v>Washington County</x:v>
      </x:c>
      <x:c r="C177" s="58" t="str">
        <x:v>49053</x:v>
      </x:c>
      <x:c r="D177" s="47" t="n">
        <x:v>2497</x:v>
      </x:c>
      <x:c r="E177" s="47" t="n">
        <x:v>10</x:v>
      </x:c>
      <x:c r="F177" s="47" t="n">
        <x:v>24</x:v>
      </x:c>
      <x:c r="G177" s="47" t="n">
        <x:v>326</x:v>
      </x:c>
      <x:c r="H177" s="47" t="n">
        <x:f>SUM(D177:G177)</x:f>
        <x:v>2857</x:v>
      </x:c>
      <x:c r="I177" s="47" t="n">
        <x:f>SUMIFS('County annual'!$H$6:$H$179,'County annual'!$C$6:$C$179,$C177,'County annual'!$A$6:$A$179,$A177)</x:f>
        <x:v>2857</x:v>
      </x:c>
      <x:c r="J177" s="47" t="n">
        <x:f>I177-H177</x:f>
        <x:v>0</x:v>
      </x:c>
      <x:c r="K177" s="62" t="n">
        <x:v>656018061</x:v>
      </x:c>
      <x:c r="L177" s="62" t="n">
        <x:f>SUMIFS('County annual'!$J$6:$J$179,'County annual'!$C$6:$C$179,$C177,'County annual'!$A$6:$A$179,$A177)</x:f>
        <x:v>656018061</x:v>
      </x:c>
      <x:c r="M177" s="62" t="n">
        <x:f>L177-K177</x:f>
        <x:v>0</x:v>
      </x:c>
      <x:c r="N177" s="47" t="n">
        <x:v>2835</x:v>
      </x:c>
      <x:c r="O177" s="47" t="n">
        <x:f>SUMIFS('County annual'!$K$6:$K$179,'County annual'!$C$6:$C$179,$C177,'County annual'!$A$6:$A$179,$A177)</x:f>
        <x:v>2835</x:v>
      </x:c>
      <x:c r="P177" s="47" t="n">
        <x:f>O177-N177</x:f>
        <x:v>0</x:v>
      </x:c>
      <x:c r="Q177" s="47" t="n">
        <x:f>IF(SUMIFS('County annual'!$D$6:$D$179,'County annual'!$C$6:$C$179,$C177,'County annual'!$A$6:$A$179,$A177)=D177,0,1)+IF(SUMIFS('County annual'!$E$6:$E$179,'County annual'!$C$6:$C$179,$C177,'County annual'!$A$6:$A$179,$A177)=E177,0,1)+IF(SUMIFS('County annual'!$F$6:$F$179,'County annual'!$C$6:$C$179,$C177,'County annual'!$A$6:$A$179,$A177)=F177,0,1)+IF(SUMIFS('County annual'!$G$6:$G$179,'County annual'!$C$6:$C$179,$C177,'County annual'!$A$6:$A$179,$A177)=G177,0,1)</x:f>
        <x:v>0</x:v>
      </x:c>
      <x:c r="R177" s="30" t="str">
        <x:f>IF(AND(J177=0,M177=0,P177=0,Q177=0),"Match","Mismatch")</x:f>
        <x:v>Match</x:v>
      </x:c>
      <x:c r="S177" s="30" t="str">
        <x:v>BPS-CO-2025</x:v>
      </x:c>
      <x:c r="T177" s="30" t="str">
        <x:v>raw/county/co2025a.txt</x:v>
      </x:c>
      <x:c r="U177" s="56" t="n">
        <x:v>2696</x:v>
      </x:c>
    </x:row>
    <x:row r="178" ht="21" customHeight="1">
      <x:c r="A178" s="56" t="n">
        <x:v>2025</x:v>
      </x:c>
      <x:c r="B178" s="30" t="str">
        <x:v>Wayne County</x:v>
      </x:c>
      <x:c r="C178" s="58" t="str">
        <x:v>49055</x:v>
      </x:c>
      <x:c r="D178" s="47" t="n">
        <x:v>29</x:v>
      </x:c>
      <x:c r="E178" s="47" t="n">
        <x:v>0</x:v>
      </x:c>
      <x:c r="F178" s="47" t="n">
        <x:v>0</x:v>
      </x:c>
      <x:c r="G178" s="47" t="n">
        <x:v>0</x:v>
      </x:c>
      <x:c r="H178" s="47" t="n">
        <x:f>SUM(D178:G178)</x:f>
        <x:v>29</x:v>
      </x:c>
      <x:c r="I178" s="47" t="n">
        <x:f>SUMIFS('County annual'!$H$6:$H$179,'County annual'!$C$6:$C$179,$C178,'County annual'!$A$6:$A$179,$A178)</x:f>
        <x:v>29</x:v>
      </x:c>
      <x:c r="J178" s="47" t="n">
        <x:f>I178-H178</x:f>
        <x:v>0</x:v>
      </x:c>
      <x:c r="K178" s="62" t="n">
        <x:v>10893780</x:v>
      </x:c>
      <x:c r="L178" s="62" t="n">
        <x:f>SUMIFS('County annual'!$J$6:$J$179,'County annual'!$C$6:$C$179,$C178,'County annual'!$A$6:$A$179,$A178)</x:f>
        <x:v>10893780</x:v>
      </x:c>
      <x:c r="M178" s="62" t="n">
        <x:f>L178-K178</x:f>
        <x:v>0</x:v>
      </x:c>
      <x:c r="N178" s="47" t="n">
        <x:v>29</x:v>
      </x:c>
      <x:c r="O178" s="47" t="n">
        <x:f>SUMIFS('County annual'!$K$6:$K$179,'County annual'!$C$6:$C$179,$C178,'County annual'!$A$6:$A$179,$A178)</x:f>
        <x:v>29</x:v>
      </x:c>
      <x:c r="P178" s="47" t="n">
        <x:f>O178-N178</x:f>
        <x:v>0</x:v>
      </x:c>
      <x:c r="Q178" s="47" t="n">
        <x:f>IF(SUMIFS('County annual'!$D$6:$D$179,'County annual'!$C$6:$C$179,$C178,'County annual'!$A$6:$A$179,$A178)=D178,0,1)+IF(SUMIFS('County annual'!$E$6:$E$179,'County annual'!$C$6:$C$179,$C178,'County annual'!$A$6:$A$179,$A178)=E178,0,1)+IF(SUMIFS('County annual'!$F$6:$F$179,'County annual'!$C$6:$C$179,$C178,'County annual'!$A$6:$A$179,$A178)=F178,0,1)+IF(SUMIFS('County annual'!$G$6:$G$179,'County annual'!$C$6:$C$179,$C178,'County annual'!$A$6:$A$179,$A178)=G178,0,1)</x:f>
        <x:v>0</x:v>
      </x:c>
      <x:c r="R178" s="30" t="str">
        <x:f>IF(AND(J178=0,M178=0,P178=0,Q178=0),"Match","Mismatch")</x:f>
        <x:v>Match</x:v>
      </x:c>
      <x:c r="S178" s="30" t="str">
        <x:v>BPS-CO-2025</x:v>
      </x:c>
      <x:c r="T178" s="30" t="str">
        <x:v>raw/county/co2025a.txt</x:v>
      </x:c>
      <x:c r="U178" s="56" t="n">
        <x:v>2697</x:v>
      </x:c>
    </x:row>
    <x:row r="179" ht="21" customHeight="1">
      <x:c r="A179" s="56" t="n">
        <x:v>2025</x:v>
      </x:c>
      <x:c r="B179" s="30" t="str">
        <x:v>Weber County</x:v>
      </x:c>
      <x:c r="C179" s="58" t="str">
        <x:v>49057</x:v>
      </x:c>
      <x:c r="D179" s="47" t="n">
        <x:v>813</x:v>
      </x:c>
      <x:c r="E179" s="47" t="n">
        <x:v>6</x:v>
      </x:c>
      <x:c r="F179" s="47" t="n">
        <x:v>57</x:v>
      </x:c>
      <x:c r="G179" s="47" t="n">
        <x:v>614</x:v>
      </x:c>
      <x:c r="H179" s="47" t="n">
        <x:f>SUM(D179:G179)</x:f>
        <x:v>1490</x:v>
      </x:c>
      <x:c r="I179" s="47" t="n">
        <x:f>SUMIFS('County annual'!$H$6:$H$179,'County annual'!$C$6:$C$179,$C179,'County annual'!$A$6:$A$179,$A179)</x:f>
        <x:v>1490</x:v>
      </x:c>
      <x:c r="J179" s="47" t="n">
        <x:f>I179-H179</x:f>
        <x:v>0</x:v>
      </x:c>
      <x:c r="K179" s="62" t="n">
        <x:v>442546376</x:v>
      </x:c>
      <x:c r="L179" s="62" t="n">
        <x:f>SUMIFS('County annual'!$J$6:$J$179,'County annual'!$C$6:$C$179,$C179,'County annual'!$A$6:$A$179,$A179)</x:f>
        <x:v>442546376</x:v>
      </x:c>
      <x:c r="M179" s="62" t="n">
        <x:f>L179-K179</x:f>
        <x:v>0</x:v>
      </x:c>
      <x:c r="N179" s="47" t="n">
        <x:v>845</x:v>
      </x:c>
      <x:c r="O179" s="47" t="n">
        <x:f>SUMIFS('County annual'!$K$6:$K$179,'County annual'!$C$6:$C$179,$C179,'County annual'!$A$6:$A$179,$A179)</x:f>
        <x:v>845</x:v>
      </x:c>
      <x:c r="P179" s="47" t="n">
        <x:f>O179-N179</x:f>
        <x:v>0</x:v>
      </x:c>
      <x:c r="Q179" s="47" t="n">
        <x:f>IF(SUMIFS('County annual'!$D$6:$D$179,'County annual'!$C$6:$C$179,$C179,'County annual'!$A$6:$A$179,$A179)=D179,0,1)+IF(SUMIFS('County annual'!$E$6:$E$179,'County annual'!$C$6:$C$179,$C179,'County annual'!$A$6:$A$179,$A179)=E179,0,1)+IF(SUMIFS('County annual'!$F$6:$F$179,'County annual'!$C$6:$C$179,$C179,'County annual'!$A$6:$A$179,$A179)=F179,0,1)+IF(SUMIFS('County annual'!$G$6:$G$179,'County annual'!$C$6:$C$179,$C179,'County annual'!$A$6:$A$179,$A179)=G179,0,1)</x:f>
        <x:v>0</x:v>
      </x:c>
      <x:c r="R179" s="30" t="str">
        <x:f>IF(AND(J179=0,M179=0,P179=0,Q179=0),"Match","Mismatch")</x:f>
        <x:v>Match</x:v>
      </x:c>
      <x:c r="S179" s="30" t="str">
        <x:v>BPS-CO-2025</x:v>
      </x:c>
      <x:c r="T179" s="30" t="str">
        <x:v>raw/county/co2025a.txt</x:v>
      </x:c>
      <x:c r="U179" s="56" t="n">
        <x:v>2698</x:v>
      </x:c>
    </x:row>
    <x:row r="180" ht="21" customHeight="1">
      <x:c r="A180" s="56"/>
      <x:c r="B180" s="30"/>
      <x:c r="C180" s="58"/>
      <x:c r="D180" s="47"/>
      <x:c r="E180" s="47"/>
      <x:c r="F180" s="47"/>
      <x:c r="G180" s="47"/>
      <x:c r="H180" s="47"/>
      <x:c r="I180" s="47"/>
      <x:c r="J180" s="47"/>
      <x:c r="K180" s="62"/>
      <x:c r="L180" s="62"/>
      <x:c r="M180" s="62"/>
      <x:c r="N180" s="47"/>
      <x:c r="O180" s="47"/>
      <x:c r="P180" s="47"/>
      <x:c r="Q180" s="47"/>
      <x:c r="R180" s="30"/>
      <x:c r="S180" s="30"/>
      <x:c r="T180" s="30"/>
      <x:c r="U180" s="56"/>
    </x:row>
    <x:row r="181" ht="21" customHeight="1">
      <x:c r="A181" s="56"/>
      <x:c r="B181" s="30"/>
      <x:c r="C181" s="58"/>
      <x:c r="D181" s="47"/>
      <x:c r="E181" s="47"/>
      <x:c r="F181" s="47"/>
      <x:c r="G181" s="47"/>
      <x:c r="H181" s="47"/>
      <x:c r="I181" s="47"/>
      <x:c r="J181" s="47"/>
      <x:c r="K181" s="62"/>
      <x:c r="L181" s="62"/>
      <x:c r="M181" s="62"/>
      <x:c r="N181" s="47"/>
      <x:c r="O181" s="47"/>
      <x:c r="P181" s="47"/>
      <x:c r="Q181" s="47"/>
      <x:c r="R181" s="30"/>
      <x:c r="S181" s="30"/>
      <x:c r="T181" s="30"/>
      <x:c r="U181" s="56"/>
    </x:row>
    <x:row r="182">
      <x:c r="A182" s="28"/>
      <x:c r="C182" s="61"/>
      <x:c r="D182" s="49"/>
      <x:c r="E182" s="49"/>
      <x:c r="F182" s="49"/>
      <x:c r="G182" s="49"/>
      <x:c r="H182" s="49"/>
      <x:c r="I182" s="49"/>
      <x:c r="J182" s="49"/>
      <x:c r="K182" s="64"/>
      <x:c r="L182" s="64"/>
      <x:c r="M182" s="64"/>
      <x:c r="N182" s="49"/>
      <x:c r="O182" s="49"/>
      <x:c r="P182" s="49"/>
      <x:c r="Q182" s="49"/>
      <x:c r="U182" s="28"/>
    </x:row>
    <x:row r="183">
      <x:c r="A183" s="28"/>
      <x:c r="C183" s="61"/>
      <x:c r="D183" s="49"/>
      <x:c r="E183" s="49"/>
      <x:c r="F183" s="49"/>
      <x:c r="G183" s="49"/>
      <x:c r="H183" s="49"/>
      <x:c r="I183" s="49"/>
      <x:c r="J183" s="49"/>
      <x:c r="K183" s="64"/>
      <x:c r="L183" s="64"/>
      <x:c r="M183" s="64"/>
      <x:c r="N183" s="49"/>
      <x:c r="O183" s="49"/>
      <x:c r="P183" s="49"/>
      <x:c r="Q183" s="49"/>
      <x:c r="U183" s="28"/>
    </x:row>
    <x:row r="184">
      <x:c r="A184" s="28"/>
      <x:c r="C184" s="61"/>
      <x:c r="D184" s="49"/>
      <x:c r="E184" s="49"/>
      <x:c r="F184" s="49"/>
      <x:c r="G184" s="49"/>
      <x:c r="H184" s="49"/>
      <x:c r="I184" s="49"/>
      <x:c r="J184" s="49"/>
      <x:c r="K184" s="64"/>
      <x:c r="L184" s="64"/>
      <x:c r="M184" s="64"/>
      <x:c r="N184" s="49"/>
      <x:c r="O184" s="49"/>
      <x:c r="P184" s="49"/>
      <x:c r="Q184" s="49"/>
      <x:c r="U184" s="28"/>
    </x:row>
    <x:row r="185">
      <x:c r="A185" s="28"/>
      <x:c r="C185" s="61"/>
      <x:c r="D185" s="49"/>
      <x:c r="E185" s="49"/>
      <x:c r="F185" s="49"/>
      <x:c r="G185" s="49"/>
      <x:c r="H185" s="49"/>
      <x:c r="I185" s="49"/>
      <x:c r="J185" s="49"/>
      <x:c r="K185" s="64"/>
      <x:c r="L185" s="64"/>
      <x:c r="M185" s="64"/>
      <x:c r="N185" s="49"/>
      <x:c r="O185" s="49"/>
      <x:c r="P185" s="49"/>
      <x:c r="Q185" s="49"/>
      <x:c r="U185" s="28"/>
    </x:row>
    <x:row r="186">
      <x:c r="A186" s="28"/>
      <x:c r="C186" s="61"/>
      <x:c r="D186" s="49"/>
      <x:c r="E186" s="49"/>
      <x:c r="F186" s="49"/>
      <x:c r="G186" s="49"/>
      <x:c r="H186" s="49"/>
      <x:c r="I186" s="49"/>
      <x:c r="J186" s="49"/>
      <x:c r="K186" s="64"/>
      <x:c r="L186" s="64"/>
      <x:c r="M186" s="64"/>
      <x:c r="N186" s="49"/>
      <x:c r="O186" s="49"/>
      <x:c r="P186" s="49"/>
      <x:c r="Q186" s="49"/>
      <x:c r="U186" s="28"/>
    </x:row>
    <x:row r="187">
      <x:c r="A187" s="28"/>
      <x:c r="C187" s="61"/>
      <x:c r="D187" s="49"/>
      <x:c r="E187" s="49"/>
      <x:c r="F187" s="49"/>
      <x:c r="G187" s="49"/>
      <x:c r="H187" s="49"/>
      <x:c r="I187" s="49"/>
      <x:c r="J187" s="49"/>
      <x:c r="K187" s="64"/>
      <x:c r="L187" s="64"/>
      <x:c r="M187" s="64"/>
      <x:c r="N187" s="49"/>
      <x:c r="O187" s="49"/>
      <x:c r="P187" s="49"/>
      <x:c r="Q187" s="49"/>
      <x:c r="U187" s="28"/>
    </x:row>
    <x:row r="188">
      <x:c r="A188" s="28"/>
      <x:c r="C188" s="61"/>
      <x:c r="D188" s="49"/>
      <x:c r="E188" s="49"/>
      <x:c r="F188" s="49"/>
      <x:c r="G188" s="49"/>
      <x:c r="H188" s="49"/>
      <x:c r="I188" s="49"/>
      <x:c r="J188" s="49"/>
      <x:c r="K188" s="64"/>
      <x:c r="L188" s="64"/>
      <x:c r="M188" s="64"/>
      <x:c r="N188" s="49"/>
      <x:c r="O188" s="49"/>
      <x:c r="P188" s="49"/>
      <x:c r="Q188" s="49"/>
      <x:c r="U188" s="28"/>
    </x:row>
    <x:row r="189">
      <x:c r="A189" s="28"/>
      <x:c r="C189" s="61"/>
      <x:c r="D189" s="49"/>
      <x:c r="E189" s="49"/>
      <x:c r="F189" s="49"/>
      <x:c r="G189" s="49"/>
      <x:c r="H189" s="49"/>
      <x:c r="I189" s="49"/>
      <x:c r="J189" s="49"/>
      <x:c r="K189" s="64"/>
      <x:c r="L189" s="64"/>
      <x:c r="M189" s="64"/>
      <x:c r="N189" s="49"/>
      <x:c r="O189" s="49"/>
      <x:c r="P189" s="49"/>
      <x:c r="Q189" s="49"/>
      <x:c r="U189" s="28"/>
    </x:row>
    <x:row r="190">
      <x:c r="A190" s="28"/>
      <x:c r="C190" s="61"/>
      <x:c r="D190" s="49"/>
      <x:c r="E190" s="49"/>
      <x:c r="F190" s="49"/>
      <x:c r="G190" s="49"/>
      <x:c r="H190" s="49"/>
      <x:c r="I190" s="49"/>
      <x:c r="J190" s="49"/>
      <x:c r="K190" s="64"/>
      <x:c r="L190" s="64"/>
      <x:c r="M190" s="64"/>
      <x:c r="N190" s="49"/>
      <x:c r="O190" s="49"/>
      <x:c r="P190" s="49"/>
      <x:c r="Q190" s="49"/>
      <x:c r="U190" s="28"/>
    </x:row>
    <x:row r="191">
      <x:c r="A191" s="28"/>
      <x:c r="C191" s="61"/>
      <x:c r="D191" s="49"/>
      <x:c r="E191" s="49"/>
      <x:c r="F191" s="49"/>
      <x:c r="G191" s="49"/>
      <x:c r="H191" s="49"/>
      <x:c r="I191" s="49"/>
      <x:c r="J191" s="49"/>
      <x:c r="K191" s="64"/>
      <x:c r="L191" s="64"/>
      <x:c r="M191" s="64"/>
      <x:c r="N191" s="49"/>
      <x:c r="O191" s="49"/>
      <x:c r="P191" s="49"/>
      <x:c r="Q191" s="49"/>
      <x:c r="U191" s="28"/>
    </x:row>
    <x:row r="192">
      <x:c r="A192" s="28"/>
      <x:c r="C192" s="61"/>
      <x:c r="D192" s="49"/>
      <x:c r="E192" s="49"/>
      <x:c r="F192" s="49"/>
      <x:c r="G192" s="49"/>
      <x:c r="H192" s="49"/>
      <x:c r="I192" s="49"/>
      <x:c r="J192" s="49"/>
      <x:c r="K192" s="64"/>
      <x:c r="L192" s="64"/>
      <x:c r="M192" s="64"/>
      <x:c r="N192" s="49"/>
      <x:c r="O192" s="49"/>
      <x:c r="P192" s="49"/>
      <x:c r="Q192" s="49"/>
      <x:c r="U192" s="28"/>
    </x:row>
    <x:row r="193">
      <x:c r="A193" s="28"/>
      <x:c r="C193" s="61"/>
      <x:c r="D193" s="49"/>
      <x:c r="E193" s="49"/>
      <x:c r="F193" s="49"/>
      <x:c r="G193" s="49"/>
      <x:c r="H193" s="49"/>
      <x:c r="I193" s="49"/>
      <x:c r="J193" s="49"/>
      <x:c r="K193" s="64"/>
      <x:c r="L193" s="64"/>
      <x:c r="M193" s="64"/>
      <x:c r="N193" s="49"/>
      <x:c r="O193" s="49"/>
      <x:c r="P193" s="49"/>
      <x:c r="Q193" s="49"/>
      <x:c r="U193" s="28"/>
    </x:row>
    <x:row r="194">
      <x:c r="A194" s="28"/>
      <x:c r="C194" s="61"/>
      <x:c r="D194" s="49"/>
      <x:c r="E194" s="49"/>
      <x:c r="F194" s="49"/>
      <x:c r="G194" s="49"/>
      <x:c r="H194" s="49"/>
      <x:c r="I194" s="49"/>
      <x:c r="J194" s="49"/>
      <x:c r="K194" s="64"/>
      <x:c r="L194" s="64"/>
      <x:c r="M194" s="64"/>
      <x:c r="N194" s="49"/>
      <x:c r="O194" s="49"/>
      <x:c r="P194" s="49"/>
      <x:c r="Q194" s="49"/>
      <x:c r="U194" s="28"/>
    </x:row>
    <x:row r="195">
      <x:c r="A195" s="28"/>
      <x:c r="C195" s="61"/>
      <x:c r="D195" s="49"/>
      <x:c r="E195" s="49"/>
      <x:c r="F195" s="49"/>
      <x:c r="G195" s="49"/>
      <x:c r="H195" s="49"/>
      <x:c r="I195" s="49"/>
      <x:c r="J195" s="49"/>
      <x:c r="K195" s="64"/>
      <x:c r="L195" s="64"/>
      <x:c r="M195" s="64"/>
      <x:c r="N195" s="49"/>
      <x:c r="O195" s="49"/>
      <x:c r="P195" s="49"/>
      <x:c r="Q195" s="49"/>
      <x:c r="U195" s="28"/>
    </x:row>
    <x:row r="196">
      <x:c r="A196" s="28"/>
      <x:c r="C196" s="61"/>
      <x:c r="D196" s="49"/>
      <x:c r="E196" s="49"/>
      <x:c r="F196" s="49"/>
      <x:c r="G196" s="49"/>
      <x:c r="H196" s="49"/>
      <x:c r="I196" s="49"/>
      <x:c r="J196" s="49"/>
      <x:c r="K196" s="64"/>
      <x:c r="L196" s="64"/>
      <x:c r="M196" s="64"/>
      <x:c r="N196" s="49"/>
      <x:c r="O196" s="49"/>
      <x:c r="P196" s="49"/>
      <x:c r="Q196" s="49"/>
      <x:c r="U196" s="28"/>
    </x:row>
    <x:row r="197">
      <x:c r="A197" s="28"/>
      <x:c r="C197" s="61"/>
      <x:c r="D197" s="49"/>
      <x:c r="E197" s="49"/>
      <x:c r="F197" s="49"/>
      <x:c r="G197" s="49"/>
      <x:c r="H197" s="49"/>
      <x:c r="I197" s="49"/>
      <x:c r="J197" s="49"/>
      <x:c r="K197" s="64"/>
      <x:c r="L197" s="64"/>
      <x:c r="M197" s="64"/>
      <x:c r="N197" s="49"/>
      <x:c r="O197" s="49"/>
      <x:c r="P197" s="49"/>
      <x:c r="Q197" s="49"/>
      <x:c r="U197" s="28"/>
    </x:row>
    <x:row r="198">
      <x:c r="A198" s="28"/>
      <x:c r="C198" s="61"/>
      <x:c r="D198" s="49"/>
      <x:c r="E198" s="49"/>
      <x:c r="F198" s="49"/>
      <x:c r="G198" s="49"/>
      <x:c r="H198" s="49"/>
      <x:c r="I198" s="49"/>
      <x:c r="J198" s="49"/>
      <x:c r="K198" s="64"/>
      <x:c r="L198" s="64"/>
      <x:c r="M198" s="64"/>
      <x:c r="N198" s="49"/>
      <x:c r="O198" s="49"/>
      <x:c r="P198" s="49"/>
      <x:c r="Q198" s="49"/>
      <x:c r="U198" s="28"/>
    </x:row>
    <x:row r="199">
      <x:c r="A199" s="28"/>
      <x:c r="C199" s="61"/>
      <x:c r="D199" s="49"/>
      <x:c r="E199" s="49"/>
      <x:c r="F199" s="49"/>
      <x:c r="G199" s="49"/>
      <x:c r="H199" s="49"/>
      <x:c r="I199" s="49"/>
      <x:c r="J199" s="49"/>
      <x:c r="K199" s="64"/>
      <x:c r="L199" s="64"/>
      <x:c r="M199" s="64"/>
      <x:c r="N199" s="49"/>
      <x:c r="O199" s="49"/>
      <x:c r="P199" s="49"/>
      <x:c r="Q199" s="49"/>
      <x:c r="U199" s="28"/>
    </x:row>
    <x:row r="200">
      <x:c r="A200" s="28"/>
      <x:c r="C200" s="61"/>
      <x:c r="D200" s="49"/>
      <x:c r="E200" s="49"/>
      <x:c r="F200" s="49"/>
      <x:c r="G200" s="49"/>
      <x:c r="H200" s="49"/>
      <x:c r="I200" s="49"/>
      <x:c r="J200" s="49"/>
      <x:c r="K200" s="64"/>
      <x:c r="L200" s="64"/>
      <x:c r="M200" s="64"/>
      <x:c r="N200" s="49"/>
      <x:c r="O200" s="49"/>
      <x:c r="P200" s="49"/>
      <x:c r="Q200" s="49"/>
      <x:c r="U200" s="28"/>
    </x:row>
  </x:sheetData>
  <x:conditionalFormatting sqref="J6:J179">
    <x:cfRule type="cellIs" dxfId="3" priority="1" operator="notEqual">
      <x:formula>0</x:formula>
    </x:cfRule>
  </x:conditionalFormatting>
  <x:conditionalFormatting sqref="M6:M179">
    <x:cfRule type="cellIs" dxfId="4" priority="2" operator="notEqual">
      <x:formula>0</x:formula>
    </x:cfRule>
  </x:conditionalFormatting>
  <x:conditionalFormatting sqref="P6:P179">
    <x:cfRule type="cellIs" dxfId="5" priority="3" operator="notEqual">
      <x:formula>0</x:formula>
    </x:cfRule>
  </x:conditionalFormatting>
  <x:conditionalFormatting sqref="Q6:Q179">
    <x:cfRule type="cellIs" dxfId="6" priority="4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92192d9dfb438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4" hidden="0" customWidth="1"/>
    <x:col min="4" max="4" width="18" hidden="0" customWidth="1"/>
    <x:col min="5" max="5" width="19" hidden="0" customWidth="1"/>
    <x:col min="6" max="6" width="19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12" hidden="0" customWidth="1"/>
    <x:col min="12" max="12" width="30" hidden="0" customWidth="1"/>
  </x:cols>
  <x:sheetData>
    <x:row r="1" ht="31" customHeight="1">
      <x:c r="A1" s="31" t="str">
        <x:v>County-to-state reconciliation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21" customHeight="1">
      <x:c r="A2" s="32" t="str">
        <x:v>144 independent comparisons. State-file valuations are multiplied by 1,000; rounding tolerance is $500 per category.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1" customHeight="1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</x:row>
    <x:row r="4" ht="21" customHeight="1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37" customHeight="1">
      <x:c r="A5" s="42" t="str">
        <x:v>Year</x:v>
      </x:c>
      <x:c r="B5" s="43" t="str">
        <x:v>Structure type</x:v>
      </x:c>
      <x:c r="C5" s="43" t="str">
        <x:v>Basis</x:v>
      </x:c>
      <x:c r="D5" s="43" t="str">
        <x:v>Measure</x:v>
      </x:c>
      <x:c r="E5" s="43" t="str">
        <x:v>County sum</x:v>
      </x:c>
      <x:c r="F5" s="43" t="str">
        <x:v>State control</x:v>
      </x:c>
      <x:c r="G5" s="43" t="str">
        <x:v>Difference</x:v>
      </x:c>
      <x:c r="H5" s="43" t="str">
        <x:v>Tolerance</x:v>
      </x:c>
      <x:c r="I5" s="43" t="str">
        <x:v>Within tolerance</x:v>
      </x:c>
      <x:c r="J5" s="43" t="str">
        <x:v>Source ID</x:v>
      </x:c>
      <x:c r="K5" s="43" t="str">
        <x:v>Source line</x:v>
      </x:c>
      <x:c r="L5" s="44" t="str">
        <x:v>Source file</x:v>
      </x:c>
    </x:row>
    <x:row r="6" ht="21" customHeight="1">
      <x:c r="A6" s="56" t="n">
        <x:v>2020</x:v>
      </x:c>
      <x:c r="B6" s="30" t="str">
        <x:v>1-unit</x:v>
      </x:c>
      <x:c r="C6" s="30" t="str">
        <x:v>estimated</x:v>
      </x:c>
      <x:c r="D6" s="30" t="str">
        <x:v>buildings</x:v>
      </x:c>
      <x:c r="E6" s="47" t="n">
        <x:f>SUMIFS('By structure'!$E$6:$E$701,'By structure'!$A$6:$A$701,A6,'By structure'!$D$6:$D$701,B6)</x:f>
        <x:v>22301</x:v>
      </x:c>
      <x:c r="F6" s="47" t="n">
        <x:v>22301</x:v>
      </x:c>
      <x:c r="G6" s="47" t="n">
        <x:f>E6-F6</x:f>
        <x:v>0</x:v>
      </x:c>
      <x:c r="H6" s="47" t="n">
        <x:v>0</x:v>
      </x:c>
      <x:c r="I6" s="30" t="str">
        <x:f>IF(ABS(G6)&lt;=H6,"Pass","Check")</x:f>
        <x:v>Pass</x:v>
      </x:c>
      <x:c r="J6" s="30" t="str">
        <x:v>BPS-ST-2020</x:v>
      </x:c>
      <x:c r="K6" s="56" t="n">
        <x:v>48</x:v>
      </x:c>
      <x:c r="L6" s="30" t="str">
        <x:v>raw/state/st2020a.txt</x:v>
      </x:c>
    </x:row>
    <x:row r="7" ht="21" customHeight="1">
      <x:c r="A7" s="56" t="n">
        <x:v>2020</x:v>
      </x:c>
      <x:c r="B7" s="30" t="str">
        <x:v>1-unit</x:v>
      </x:c>
      <x:c r="C7" s="30" t="str">
        <x:v>estimated</x:v>
      </x:c>
      <x:c r="D7" s="30" t="str">
        <x:v>units</x:v>
      </x:c>
      <x:c r="E7" s="47" t="n">
        <x:f>SUMIFS('By structure'!$F$6:$F$701,'By structure'!$A$6:$A$701,A7,'By structure'!$D$6:$D$701,B7)</x:f>
        <x:v>22301</x:v>
      </x:c>
      <x:c r="F7" s="47" t="n">
        <x:v>22301</x:v>
      </x:c>
      <x:c r="G7" s="47" t="n">
        <x:f>E7-F7</x:f>
        <x:v>0</x:v>
      </x:c>
      <x:c r="H7" s="47" t="n">
        <x:v>0</x:v>
      </x:c>
      <x:c r="I7" s="30" t="str">
        <x:f>IF(ABS(G7)&lt;=H7,"Pass","Check")</x:f>
        <x:v>Pass</x:v>
      </x:c>
      <x:c r="J7" s="30" t="str">
        <x:v>BPS-ST-2020</x:v>
      </x:c>
      <x:c r="K7" s="56" t="n">
        <x:v>48</x:v>
      </x:c>
      <x:c r="L7" s="30" t="str">
        <x:v>raw/state/st2020a.txt</x:v>
      </x:c>
    </x:row>
    <x:row r="8" ht="21" customHeight="1">
      <x:c r="A8" s="56" t="n">
        <x:v>2020</x:v>
      </x:c>
      <x:c r="B8" s="30" t="str">
        <x:v>1-unit</x:v>
      </x:c>
      <x:c r="C8" s="30" t="str">
        <x:v>estimated</x:v>
      </x:c>
      <x:c r="D8" s="30" t="str">
        <x:v>valuation_usd</x:v>
      </x:c>
      <x:c r="E8" s="47" t="n">
        <x:f>SUMIFS('By structure'!$G$6:$G$701,'By structure'!$A$6:$A$701,A8,'By structure'!$D$6:$D$701,B8)</x:f>
        <x:v>5943022711</x:v>
      </x:c>
      <x:c r="F8" s="47" t="n">
        <x:v>5943023000</x:v>
      </x:c>
      <x:c r="G8" s="47" t="n">
        <x:f>E8-F8</x:f>
        <x:v>-289</x:v>
      </x:c>
      <x:c r="H8" s="47" t="n">
        <x:v>500</x:v>
      </x:c>
      <x:c r="I8" s="30" t="str">
        <x:f>IF(ABS(G8)&lt;=H8,"Pass","Check")</x:f>
        <x:v>Pass</x:v>
      </x:c>
      <x:c r="J8" s="30" t="str">
        <x:v>BPS-ST-2020</x:v>
      </x:c>
      <x:c r="K8" s="56" t="n">
        <x:v>48</x:v>
      </x:c>
      <x:c r="L8" s="30" t="str">
        <x:v>raw/state/st2020a.txt</x:v>
      </x:c>
    </x:row>
    <x:row r="9" ht="21" customHeight="1">
      <x:c r="A9" s="56" t="n">
        <x:v>2020</x:v>
      </x:c>
      <x:c r="B9" s="30" t="str">
        <x:v>1-unit</x:v>
      </x:c>
      <x:c r="C9" s="30" t="str">
        <x:v>reported</x:v>
      </x:c>
      <x:c r="D9" s="30" t="str">
        <x:v>buildings</x:v>
      </x:c>
      <x:c r="E9" s="47" t="n">
        <x:f>SUMIFS('By structure'!$I$6:$I$701,'By structure'!$A$6:$A$701,A9,'By structure'!$D$6:$D$701,B9)</x:f>
        <x:v>20254</x:v>
      </x:c>
      <x:c r="F9" s="47" t="n">
        <x:v>20254</x:v>
      </x:c>
      <x:c r="G9" s="47" t="n">
        <x:f>E9-F9</x:f>
        <x:v>0</x:v>
      </x:c>
      <x:c r="H9" s="47" t="n">
        <x:v>0</x:v>
      </x:c>
      <x:c r="I9" s="30" t="str">
        <x:f>IF(ABS(G9)&lt;=H9,"Pass","Check")</x:f>
        <x:v>Pass</x:v>
      </x:c>
      <x:c r="J9" s="30" t="str">
        <x:v>BPS-ST-2020</x:v>
      </x:c>
      <x:c r="K9" s="56" t="n">
        <x:v>48</x:v>
      </x:c>
      <x:c r="L9" s="30" t="str">
        <x:v>raw/state/st2020a.txt</x:v>
      </x:c>
    </x:row>
    <x:row r="10" ht="21" customHeight="1">
      <x:c r="A10" s="56" t="n">
        <x:v>2020</x:v>
      </x:c>
      <x:c r="B10" s="30" t="str">
        <x:v>1-unit</x:v>
      </x:c>
      <x:c r="C10" s="30" t="str">
        <x:v>reported</x:v>
      </x:c>
      <x:c r="D10" s="30" t="str">
        <x:v>units</x:v>
      </x:c>
      <x:c r="E10" s="47" t="n">
        <x:f>SUMIFS('By structure'!$H$6:$H$701,'By structure'!$A$6:$A$701,A10,'By structure'!$D$6:$D$701,B10)</x:f>
        <x:v>20254</x:v>
      </x:c>
      <x:c r="F10" s="47" t="n">
        <x:v>20254</x:v>
      </x:c>
      <x:c r="G10" s="47" t="n">
        <x:f>E10-F10</x:f>
        <x:v>0</x:v>
      </x:c>
      <x:c r="H10" s="47" t="n">
        <x:v>0</x:v>
      </x:c>
      <x:c r="I10" s="30" t="str">
        <x:f>IF(ABS(G10)&lt;=H10,"Pass","Check")</x:f>
        <x:v>Pass</x:v>
      </x:c>
      <x:c r="J10" s="30" t="str">
        <x:v>BPS-ST-2020</x:v>
      </x:c>
      <x:c r="K10" s="56" t="n">
        <x:v>48</x:v>
      </x:c>
      <x:c r="L10" s="30" t="str">
        <x:v>raw/state/st2020a.txt</x:v>
      </x:c>
    </x:row>
    <x:row r="11" ht="21" customHeight="1">
      <x:c r="A11" s="56" t="n">
        <x:v>2020</x:v>
      </x:c>
      <x:c r="B11" s="30" t="str">
        <x:v>1-unit</x:v>
      </x:c>
      <x:c r="C11" s="30" t="str">
        <x:v>reported</x:v>
      </x:c>
      <x:c r="D11" s="30" t="str">
        <x:v>valuation_usd</x:v>
      </x:c>
      <x:c r="E11" s="47" t="n">
        <x:f>SUMIFS('By structure'!$J$6:$J$701,'By structure'!$A$6:$A$701,A11,'By structure'!$D$6:$D$701,B11)</x:f>
        <x:v>5435312001</x:v>
      </x:c>
      <x:c r="F11" s="47" t="n">
        <x:v>5435312000</x:v>
      </x:c>
      <x:c r="G11" s="47" t="n">
        <x:f>E11-F11</x:f>
        <x:v>1</x:v>
      </x:c>
      <x:c r="H11" s="47" t="n">
        <x:v>500</x:v>
      </x:c>
      <x:c r="I11" s="30" t="str">
        <x:f>IF(ABS(G11)&lt;=H11,"Pass","Check")</x:f>
        <x:v>Pass</x:v>
      </x:c>
      <x:c r="J11" s="30" t="str">
        <x:v>BPS-ST-2020</x:v>
      </x:c>
      <x:c r="K11" s="56" t="n">
        <x:v>48</x:v>
      </x:c>
      <x:c r="L11" s="30" t="str">
        <x:v>raw/state/st2020a.txt</x:v>
      </x:c>
    </x:row>
    <x:row r="12" ht="21" customHeight="1">
      <x:c r="A12" s="56" t="n">
        <x:v>2020</x:v>
      </x:c>
      <x:c r="B12" s="30" t="str">
        <x:v>2-unit</x:v>
      </x:c>
      <x:c r="C12" s="30" t="str">
        <x:v>estimated</x:v>
      </x:c>
      <x:c r="D12" s="30" t="str">
        <x:v>buildings</x:v>
      </x:c>
      <x:c r="E12" s="47" t="n">
        <x:f>SUMIFS('By structure'!$E$6:$E$701,'By structure'!$A$6:$A$701,A12,'By structure'!$D$6:$D$701,B12)</x:f>
        <x:v>202</x:v>
      </x:c>
      <x:c r="F12" s="47" t="n">
        <x:v>202</x:v>
      </x:c>
      <x:c r="G12" s="47" t="n">
        <x:f>E12-F12</x:f>
        <x:v>0</x:v>
      </x:c>
      <x:c r="H12" s="47" t="n">
        <x:v>0</x:v>
      </x:c>
      <x:c r="I12" s="30" t="str">
        <x:f>IF(ABS(G12)&lt;=H12,"Pass","Check")</x:f>
        <x:v>Pass</x:v>
      </x:c>
      <x:c r="J12" s="30" t="str">
        <x:v>BPS-ST-2020</x:v>
      </x:c>
      <x:c r="K12" s="56" t="n">
        <x:v>48</x:v>
      </x:c>
      <x:c r="L12" s="30" t="str">
        <x:v>raw/state/st2020a.txt</x:v>
      </x:c>
    </x:row>
    <x:row r="13" ht="21" customHeight="1">
      <x:c r="A13" s="56" t="n">
        <x:v>2020</x:v>
      </x:c>
      <x:c r="B13" s="30" t="str">
        <x:v>2-unit</x:v>
      </x:c>
      <x:c r="C13" s="30" t="str">
        <x:v>estimated</x:v>
      </x:c>
      <x:c r="D13" s="30" t="str">
        <x:v>units</x:v>
      </x:c>
      <x:c r="E13" s="47" t="n">
        <x:f>SUMIFS('By structure'!$F$6:$F$701,'By structure'!$A$6:$A$701,A13,'By structure'!$D$6:$D$701,B13)</x:f>
        <x:v>404</x:v>
      </x:c>
      <x:c r="F13" s="47" t="n">
        <x:v>404</x:v>
      </x:c>
      <x:c r="G13" s="47" t="n">
        <x:f>E13-F13</x:f>
        <x:v>0</x:v>
      </x:c>
      <x:c r="H13" s="47" t="n">
        <x:v>0</x:v>
      </x:c>
      <x:c r="I13" s="30" t="str">
        <x:f>IF(ABS(G13)&lt;=H13,"Pass","Check")</x:f>
        <x:v>Pass</x:v>
      </x:c>
      <x:c r="J13" s="30" t="str">
        <x:v>BPS-ST-2020</x:v>
      </x:c>
      <x:c r="K13" s="56" t="n">
        <x:v>48</x:v>
      </x:c>
      <x:c r="L13" s="30" t="str">
        <x:v>raw/state/st2020a.txt</x:v>
      </x:c>
    </x:row>
    <x:row r="14" ht="21" customHeight="1">
      <x:c r="A14" s="56" t="n">
        <x:v>2020</x:v>
      </x:c>
      <x:c r="B14" s="30" t="str">
        <x:v>2-unit</x:v>
      </x:c>
      <x:c r="C14" s="30" t="str">
        <x:v>estimated</x:v>
      </x:c>
      <x:c r="D14" s="30" t="str">
        <x:v>valuation_usd</x:v>
      </x:c>
      <x:c r="E14" s="47" t="n">
        <x:f>SUMIFS('By structure'!$G$6:$G$701,'By structure'!$A$6:$A$701,A14,'By structure'!$D$6:$D$701,B14)</x:f>
        <x:v>56904447</x:v>
      </x:c>
      <x:c r="F14" s="47" t="n">
        <x:v>56904000</x:v>
      </x:c>
      <x:c r="G14" s="47" t="n">
        <x:f>E14-F14</x:f>
        <x:v>447</x:v>
      </x:c>
      <x:c r="H14" s="47" t="n">
        <x:v>500</x:v>
      </x:c>
      <x:c r="I14" s="30" t="str">
        <x:f>IF(ABS(G14)&lt;=H14,"Pass","Check")</x:f>
        <x:v>Pass</x:v>
      </x:c>
      <x:c r="J14" s="30" t="str">
        <x:v>BPS-ST-2020</x:v>
      </x:c>
      <x:c r="K14" s="56" t="n">
        <x:v>48</x:v>
      </x:c>
      <x:c r="L14" s="30" t="str">
        <x:v>raw/state/st2020a.txt</x:v>
      </x:c>
    </x:row>
    <x:row r="15" ht="21" customHeight="1">
      <x:c r="A15" s="56" t="n">
        <x:v>2020</x:v>
      </x:c>
      <x:c r="B15" s="30" t="str">
        <x:v>2-unit</x:v>
      </x:c>
      <x:c r="C15" s="30" t="str">
        <x:v>reported</x:v>
      </x:c>
      <x:c r="D15" s="30" t="str">
        <x:v>buildings</x:v>
      </x:c>
      <x:c r="E15" s="47" t="n">
        <x:f>SUMIFS('By structure'!$I$6:$I$701,'By structure'!$A$6:$A$701,A15,'By structure'!$D$6:$D$701,B15)</x:f>
        <x:v>197</x:v>
      </x:c>
      <x:c r="F15" s="47" t="n">
        <x:v>197</x:v>
      </x:c>
      <x:c r="G15" s="47" t="n">
        <x:f>E15-F15</x:f>
        <x:v>0</x:v>
      </x:c>
      <x:c r="H15" s="47" t="n">
        <x:v>0</x:v>
      </x:c>
      <x:c r="I15" s="30" t="str">
        <x:f>IF(ABS(G15)&lt;=H15,"Pass","Check")</x:f>
        <x:v>Pass</x:v>
      </x:c>
      <x:c r="J15" s="30" t="str">
        <x:v>BPS-ST-2020</x:v>
      </x:c>
      <x:c r="K15" s="56" t="n">
        <x:v>48</x:v>
      </x:c>
      <x:c r="L15" s="30" t="str">
        <x:v>raw/state/st2020a.txt</x:v>
      </x:c>
    </x:row>
    <x:row r="16" ht="21" customHeight="1">
      <x:c r="A16" s="56" t="n">
        <x:v>2020</x:v>
      </x:c>
      <x:c r="B16" s="30" t="str">
        <x:v>2-unit</x:v>
      </x:c>
      <x:c r="C16" s="30" t="str">
        <x:v>reported</x:v>
      </x:c>
      <x:c r="D16" s="30" t="str">
        <x:v>units</x:v>
      </x:c>
      <x:c r="E16" s="47" t="n">
        <x:f>SUMIFS('By structure'!$H$6:$H$701,'By structure'!$A$6:$A$701,A16,'By structure'!$D$6:$D$701,B16)</x:f>
        <x:v>394</x:v>
      </x:c>
      <x:c r="F16" s="47" t="n">
        <x:v>394</x:v>
      </x:c>
      <x:c r="G16" s="47" t="n">
        <x:f>E16-F16</x:f>
        <x:v>0</x:v>
      </x:c>
      <x:c r="H16" s="47" t="n">
        <x:v>0</x:v>
      </x:c>
      <x:c r="I16" s="30" t="str">
        <x:f>IF(ABS(G16)&lt;=H16,"Pass","Check")</x:f>
        <x:v>Pass</x:v>
      </x:c>
      <x:c r="J16" s="30" t="str">
        <x:v>BPS-ST-2020</x:v>
      </x:c>
      <x:c r="K16" s="56" t="n">
        <x:v>48</x:v>
      </x:c>
      <x:c r="L16" s="30" t="str">
        <x:v>raw/state/st2020a.txt</x:v>
      </x:c>
    </x:row>
    <x:row r="17" ht="21" customHeight="1">
      <x:c r="A17" s="56" t="n">
        <x:v>2020</x:v>
      </x:c>
      <x:c r="B17" s="30" t="str">
        <x:v>2-unit</x:v>
      </x:c>
      <x:c r="C17" s="30" t="str">
        <x:v>reported</x:v>
      </x:c>
      <x:c r="D17" s="30" t="str">
        <x:v>valuation_usd</x:v>
      </x:c>
      <x:c r="E17" s="47" t="n">
        <x:f>SUMIFS('By structure'!$J$6:$J$701,'By structure'!$A$6:$A$701,A17,'By structure'!$D$6:$D$701,B17)</x:f>
        <x:v>55261775</x:v>
      </x:c>
      <x:c r="F17" s="47" t="n">
        <x:v>55262000</x:v>
      </x:c>
      <x:c r="G17" s="47" t="n">
        <x:f>E17-F17</x:f>
        <x:v>-225</x:v>
      </x:c>
      <x:c r="H17" s="47" t="n">
        <x:v>500</x:v>
      </x:c>
      <x:c r="I17" s="30" t="str">
        <x:f>IF(ABS(G17)&lt;=H17,"Pass","Check")</x:f>
        <x:v>Pass</x:v>
      </x:c>
      <x:c r="J17" s="30" t="str">
        <x:v>BPS-ST-2020</x:v>
      </x:c>
      <x:c r="K17" s="56" t="n">
        <x:v>48</x:v>
      </x:c>
      <x:c r="L17" s="30" t="str">
        <x:v>raw/state/st2020a.txt</x:v>
      </x:c>
    </x:row>
    <x:row r="18" ht="21" customHeight="1">
      <x:c r="A18" s="56" t="n">
        <x:v>2020</x:v>
      </x:c>
      <x:c r="B18" s="30" t="str">
        <x:v>3-4-unit</x:v>
      </x:c>
      <x:c r="C18" s="30" t="str">
        <x:v>estimated</x:v>
      </x:c>
      <x:c r="D18" s="30" t="str">
        <x:v>buildings</x:v>
      </x:c>
      <x:c r="E18" s="47" t="n">
        <x:f>SUMIFS('By structure'!$E$6:$E$701,'By structure'!$A$6:$A$701,A18,'By structure'!$D$6:$D$701,B18)</x:f>
        <x:v>286</x:v>
      </x:c>
      <x:c r="F18" s="47" t="n">
        <x:v>286</x:v>
      </x:c>
      <x:c r="G18" s="47" t="n">
        <x:f>E18-F18</x:f>
        <x:v>0</x:v>
      </x:c>
      <x:c r="H18" s="47" t="n">
        <x:v>0</x:v>
      </x:c>
      <x:c r="I18" s="30" t="str">
        <x:f>IF(ABS(G18)&lt;=H18,"Pass","Check")</x:f>
        <x:v>Pass</x:v>
      </x:c>
      <x:c r="J18" s="30" t="str">
        <x:v>BPS-ST-2020</x:v>
      </x:c>
      <x:c r="K18" s="56" t="n">
        <x:v>48</x:v>
      </x:c>
      <x:c r="L18" s="30" t="str">
        <x:v>raw/state/st2020a.txt</x:v>
      </x:c>
    </x:row>
    <x:row r="19" ht="21" customHeight="1">
      <x:c r="A19" s="56" t="n">
        <x:v>2020</x:v>
      </x:c>
      <x:c r="B19" s="30" t="str">
        <x:v>3-4-unit</x:v>
      </x:c>
      <x:c r="C19" s="30" t="str">
        <x:v>estimated</x:v>
      </x:c>
      <x:c r="D19" s="30" t="str">
        <x:v>units</x:v>
      </x:c>
      <x:c r="E19" s="47" t="n">
        <x:f>SUMIFS('By structure'!$F$6:$F$701,'By structure'!$A$6:$A$701,A19,'By structure'!$D$6:$D$701,B19)</x:f>
        <x:v>1048</x:v>
      </x:c>
      <x:c r="F19" s="47" t="n">
        <x:v>1048</x:v>
      </x:c>
      <x:c r="G19" s="47" t="n">
        <x:f>E19-F19</x:f>
        <x:v>0</x:v>
      </x:c>
      <x:c r="H19" s="47" t="n">
        <x:v>0</x:v>
      </x:c>
      <x:c r="I19" s="30" t="str">
        <x:f>IF(ABS(G19)&lt;=H19,"Pass","Check")</x:f>
        <x:v>Pass</x:v>
      </x:c>
      <x:c r="J19" s="30" t="str">
        <x:v>BPS-ST-2020</x:v>
      </x:c>
      <x:c r="K19" s="56" t="n">
        <x:v>48</x:v>
      </x:c>
      <x:c r="L19" s="30" t="str">
        <x:v>raw/state/st2020a.txt</x:v>
      </x:c>
    </x:row>
    <x:row r="20" ht="21" customHeight="1">
      <x:c r="A20" s="56" t="n">
        <x:v>2020</x:v>
      </x:c>
      <x:c r="B20" s="30" t="str">
        <x:v>3-4-unit</x:v>
      </x:c>
      <x:c r="C20" s="30" t="str">
        <x:v>estimated</x:v>
      </x:c>
      <x:c r="D20" s="30" t="str">
        <x:v>valuation_usd</x:v>
      </x:c>
      <x:c r="E20" s="47" t="n">
        <x:f>SUMIFS('By structure'!$G$6:$G$701,'By structure'!$A$6:$A$701,A20,'By structure'!$D$6:$D$701,B20)</x:f>
        <x:v>170581500</x:v>
      </x:c>
      <x:c r="F20" s="47" t="n">
        <x:v>170582000</x:v>
      </x:c>
      <x:c r="G20" s="47" t="n">
        <x:f>E20-F20</x:f>
        <x:v>-500</x:v>
      </x:c>
      <x:c r="H20" s="47" t="n">
        <x:v>500</x:v>
      </x:c>
      <x:c r="I20" s="30" t="str">
        <x:f>IF(ABS(G20)&lt;=H20,"Pass","Check")</x:f>
        <x:v>Pass</x:v>
      </x:c>
      <x:c r="J20" s="30" t="str">
        <x:v>BPS-ST-2020</x:v>
      </x:c>
      <x:c r="K20" s="56" t="n">
        <x:v>48</x:v>
      </x:c>
      <x:c r="L20" s="30" t="str">
        <x:v>raw/state/st2020a.txt</x:v>
      </x:c>
    </x:row>
    <x:row r="21" ht="21" customHeight="1">
      <x:c r="A21" s="56" t="n">
        <x:v>2020</x:v>
      </x:c>
      <x:c r="B21" s="30" t="str">
        <x:v>3-4-unit</x:v>
      </x:c>
      <x:c r="C21" s="30" t="str">
        <x:v>reported</x:v>
      </x:c>
      <x:c r="D21" s="30" t="str">
        <x:v>buildings</x:v>
      </x:c>
      <x:c r="E21" s="47" t="n">
        <x:f>SUMIFS('By structure'!$I$6:$I$701,'By structure'!$A$6:$A$701,A21,'By structure'!$D$6:$D$701,B21)</x:f>
        <x:v>259</x:v>
      </x:c>
      <x:c r="F21" s="47" t="n">
        <x:v>259</x:v>
      </x:c>
      <x:c r="G21" s="47" t="n">
        <x:f>E21-F21</x:f>
        <x:v>0</x:v>
      </x:c>
      <x:c r="H21" s="47" t="n">
        <x:v>0</x:v>
      </x:c>
      <x:c r="I21" s="30" t="str">
        <x:f>IF(ABS(G21)&lt;=H21,"Pass","Check")</x:f>
        <x:v>Pass</x:v>
      </x:c>
      <x:c r="J21" s="30" t="str">
        <x:v>BPS-ST-2020</x:v>
      </x:c>
      <x:c r="K21" s="56" t="n">
        <x:v>48</x:v>
      </x:c>
      <x:c r="L21" s="30" t="str">
        <x:v>raw/state/st2020a.txt</x:v>
      </x:c>
    </x:row>
    <x:row r="22" ht="21" customHeight="1">
      <x:c r="A22" s="56" t="n">
        <x:v>2020</x:v>
      </x:c>
      <x:c r="B22" s="30" t="str">
        <x:v>3-4-unit</x:v>
      </x:c>
      <x:c r="C22" s="30" t="str">
        <x:v>reported</x:v>
      </x:c>
      <x:c r="D22" s="30" t="str">
        <x:v>units</x:v>
      </x:c>
      <x:c r="E22" s="47" t="n">
        <x:f>SUMIFS('By structure'!$H$6:$H$701,'By structure'!$A$6:$A$701,A22,'By structure'!$D$6:$D$701,B22)</x:f>
        <x:v>959</x:v>
      </x:c>
      <x:c r="F22" s="47" t="n">
        <x:v>959</x:v>
      </x:c>
      <x:c r="G22" s="47" t="n">
        <x:f>E22-F22</x:f>
        <x:v>0</x:v>
      </x:c>
      <x:c r="H22" s="47" t="n">
        <x:v>0</x:v>
      </x:c>
      <x:c r="I22" s="30" t="str">
        <x:f>IF(ABS(G22)&lt;=H22,"Pass","Check")</x:f>
        <x:v>Pass</x:v>
      </x:c>
      <x:c r="J22" s="30" t="str">
        <x:v>BPS-ST-2020</x:v>
      </x:c>
      <x:c r="K22" s="56" t="n">
        <x:v>48</x:v>
      </x:c>
      <x:c r="L22" s="30" t="str">
        <x:v>raw/state/st2020a.txt</x:v>
      </x:c>
    </x:row>
    <x:row r="23" ht="21" customHeight="1">
      <x:c r="A23" s="56" t="n">
        <x:v>2020</x:v>
      </x:c>
      <x:c r="B23" s="30" t="str">
        <x:v>3-4-unit</x:v>
      </x:c>
      <x:c r="C23" s="30" t="str">
        <x:v>reported</x:v>
      </x:c>
      <x:c r="D23" s="30" t="str">
        <x:v>valuation_usd</x:v>
      </x:c>
      <x:c r="E23" s="47" t="n">
        <x:f>SUMIFS('By structure'!$J$6:$J$701,'By structure'!$A$6:$A$701,A23,'By structure'!$D$6:$D$701,B23)</x:f>
        <x:v>153168382</x:v>
      </x:c>
      <x:c r="F23" s="47" t="n">
        <x:v>153168000</x:v>
      </x:c>
      <x:c r="G23" s="47" t="n">
        <x:f>E23-F23</x:f>
        <x:v>382</x:v>
      </x:c>
      <x:c r="H23" s="47" t="n">
        <x:v>500</x:v>
      </x:c>
      <x:c r="I23" s="30" t="str">
        <x:f>IF(ABS(G23)&lt;=H23,"Pass","Check")</x:f>
        <x:v>Pass</x:v>
      </x:c>
      <x:c r="J23" s="30" t="str">
        <x:v>BPS-ST-2020</x:v>
      </x:c>
      <x:c r="K23" s="56" t="n">
        <x:v>48</x:v>
      </x:c>
      <x:c r="L23" s="30" t="str">
        <x:v>raw/state/st2020a.txt</x:v>
      </x:c>
    </x:row>
    <x:row r="24" ht="21" customHeight="1">
      <x:c r="A24" s="56" t="n">
        <x:v>2020</x:v>
      </x:c>
      <x:c r="B24" s="30" t="str">
        <x:v>5-plus-unit</x:v>
      </x:c>
      <x:c r="C24" s="30" t="str">
        <x:v>estimated</x:v>
      </x:c>
      <x:c r="D24" s="30" t="str">
        <x:v>buildings</x:v>
      </x:c>
      <x:c r="E24" s="47" t="n">
        <x:f>SUMIFS('By structure'!$E$6:$E$701,'By structure'!$A$6:$A$701,A24,'By structure'!$D$6:$D$701,B24)</x:f>
        <x:v>303</x:v>
      </x:c>
      <x:c r="F24" s="47" t="n">
        <x:v>303</x:v>
      </x:c>
      <x:c r="G24" s="47" t="n">
        <x:f>E24-F24</x:f>
        <x:v>0</x:v>
      </x:c>
      <x:c r="H24" s="47" t="n">
        <x:v>0</x:v>
      </x:c>
      <x:c r="I24" s="30" t="str">
        <x:f>IF(ABS(G24)&lt;=H24,"Pass","Check")</x:f>
        <x:v>Pass</x:v>
      </x:c>
      <x:c r="J24" s="30" t="str">
        <x:v>BPS-ST-2020</x:v>
      </x:c>
      <x:c r="K24" s="56" t="n">
        <x:v>48</x:v>
      </x:c>
      <x:c r="L24" s="30" t="str">
        <x:v>raw/state/st2020a.txt</x:v>
      </x:c>
    </x:row>
    <x:row r="25" ht="21" customHeight="1">
      <x:c r="A25" s="56" t="n">
        <x:v>2020</x:v>
      </x:c>
      <x:c r="B25" s="30" t="str">
        <x:v>5-plus-unit</x:v>
      </x:c>
      <x:c r="C25" s="30" t="str">
        <x:v>estimated</x:v>
      </x:c>
      <x:c r="D25" s="30" t="str">
        <x:v>units</x:v>
      </x:c>
      <x:c r="E25" s="47" t="n">
        <x:f>SUMIFS('By structure'!$F$6:$F$701,'By structure'!$A$6:$A$701,A25,'By structure'!$D$6:$D$701,B25)</x:f>
        <x:v>8022</x:v>
      </x:c>
      <x:c r="F25" s="47" t="n">
        <x:v>8022</x:v>
      </x:c>
      <x:c r="G25" s="47" t="n">
        <x:f>E25-F25</x:f>
        <x:v>0</x:v>
      </x:c>
      <x:c r="H25" s="47" t="n">
        <x:v>0</x:v>
      </x:c>
      <x:c r="I25" s="30" t="str">
        <x:f>IF(ABS(G25)&lt;=H25,"Pass","Check")</x:f>
        <x:v>Pass</x:v>
      </x:c>
      <x:c r="J25" s="30" t="str">
        <x:v>BPS-ST-2020</x:v>
      </x:c>
      <x:c r="K25" s="56" t="n">
        <x:v>48</x:v>
      </x:c>
      <x:c r="L25" s="30" t="str">
        <x:v>raw/state/st2020a.txt</x:v>
      </x:c>
    </x:row>
    <x:row r="26" ht="21" customHeight="1">
      <x:c r="A26" s="56" t="n">
        <x:v>2020</x:v>
      </x:c>
      <x:c r="B26" s="30" t="str">
        <x:v>5-plus-unit</x:v>
      </x:c>
      <x:c r="C26" s="30" t="str">
        <x:v>estimated</x:v>
      </x:c>
      <x:c r="D26" s="30" t="str">
        <x:v>valuation_usd</x:v>
      </x:c>
      <x:c r="E26" s="47" t="n">
        <x:f>SUMIFS('By structure'!$G$6:$G$701,'By structure'!$A$6:$A$701,A26,'By structure'!$D$6:$D$701,B26)</x:f>
        <x:v>1116932142</x:v>
      </x:c>
      <x:c r="F26" s="47" t="n">
        <x:v>1116932000</x:v>
      </x:c>
      <x:c r="G26" s="47" t="n">
        <x:f>E26-F26</x:f>
        <x:v>142</x:v>
      </x:c>
      <x:c r="H26" s="47" t="n">
        <x:v>500</x:v>
      </x:c>
      <x:c r="I26" s="30" t="str">
        <x:f>IF(ABS(G26)&lt;=H26,"Pass","Check")</x:f>
        <x:v>Pass</x:v>
      </x:c>
      <x:c r="J26" s="30" t="str">
        <x:v>BPS-ST-2020</x:v>
      </x:c>
      <x:c r="K26" s="56" t="n">
        <x:v>48</x:v>
      </x:c>
      <x:c r="L26" s="30" t="str">
        <x:v>raw/state/st2020a.txt</x:v>
      </x:c>
    </x:row>
    <x:row r="27" ht="21" customHeight="1">
      <x:c r="A27" s="56" t="n">
        <x:v>2020</x:v>
      </x:c>
      <x:c r="B27" s="30" t="str">
        <x:v>5-plus-unit</x:v>
      </x:c>
      <x:c r="C27" s="30" t="str">
        <x:v>reported</x:v>
      </x:c>
      <x:c r="D27" s="30" t="str">
        <x:v>buildings</x:v>
      </x:c>
      <x:c r="E27" s="47" t="n">
        <x:f>SUMIFS('By structure'!$I$6:$I$701,'By structure'!$A$6:$A$701,A27,'By structure'!$D$6:$D$701,B27)</x:f>
        <x:v>269</x:v>
      </x:c>
      <x:c r="F27" s="47" t="n">
        <x:v>269</x:v>
      </x:c>
      <x:c r="G27" s="47" t="n">
        <x:f>E27-F27</x:f>
        <x:v>0</x:v>
      </x:c>
      <x:c r="H27" s="47" t="n">
        <x:v>0</x:v>
      </x:c>
      <x:c r="I27" s="30" t="str">
        <x:f>IF(ABS(G27)&lt;=H27,"Pass","Check")</x:f>
        <x:v>Pass</x:v>
      </x:c>
      <x:c r="J27" s="30" t="str">
        <x:v>BPS-ST-2020</x:v>
      </x:c>
      <x:c r="K27" s="56" t="n">
        <x:v>48</x:v>
      </x:c>
      <x:c r="L27" s="30" t="str">
        <x:v>raw/state/st2020a.txt</x:v>
      </x:c>
    </x:row>
    <x:row r="28" ht="21" customHeight="1">
      <x:c r="A28" s="56" t="n">
        <x:v>2020</x:v>
      </x:c>
      <x:c r="B28" s="30" t="str">
        <x:v>5-plus-unit</x:v>
      </x:c>
      <x:c r="C28" s="30" t="str">
        <x:v>reported</x:v>
      </x:c>
      <x:c r="D28" s="30" t="str">
        <x:v>units</x:v>
      </x:c>
      <x:c r="E28" s="47" t="n">
        <x:f>SUMIFS('By structure'!$H$6:$H$701,'By structure'!$A$6:$A$701,A28,'By structure'!$D$6:$D$701,B28)</x:f>
        <x:v>7428</x:v>
      </x:c>
      <x:c r="F28" s="47" t="n">
        <x:v>7428</x:v>
      </x:c>
      <x:c r="G28" s="47" t="n">
        <x:f>E28-F28</x:f>
        <x:v>0</x:v>
      </x:c>
      <x:c r="H28" s="47" t="n">
        <x:v>0</x:v>
      </x:c>
      <x:c r="I28" s="30" t="str">
        <x:f>IF(ABS(G28)&lt;=H28,"Pass","Check")</x:f>
        <x:v>Pass</x:v>
      </x:c>
      <x:c r="J28" s="30" t="str">
        <x:v>BPS-ST-2020</x:v>
      </x:c>
      <x:c r="K28" s="56" t="n">
        <x:v>48</x:v>
      </x:c>
      <x:c r="L28" s="30" t="str">
        <x:v>raw/state/st2020a.txt</x:v>
      </x:c>
    </x:row>
    <x:row r="29" ht="21" customHeight="1">
      <x:c r="A29" s="56" t="n">
        <x:v>2020</x:v>
      </x:c>
      <x:c r="B29" s="30" t="str">
        <x:v>5-plus-unit</x:v>
      </x:c>
      <x:c r="C29" s="30" t="str">
        <x:v>reported</x:v>
      </x:c>
      <x:c r="D29" s="30" t="str">
        <x:v>valuation_usd</x:v>
      </x:c>
      <x:c r="E29" s="47" t="n">
        <x:f>SUMIFS('By structure'!$J$6:$J$701,'By structure'!$A$6:$A$701,A29,'By structure'!$D$6:$D$701,B29)</x:f>
        <x:v>1028173188</x:v>
      </x:c>
      <x:c r="F29" s="47" t="n">
        <x:v>1028173000</x:v>
      </x:c>
      <x:c r="G29" s="47" t="n">
        <x:f>E29-F29</x:f>
        <x:v>188</x:v>
      </x:c>
      <x:c r="H29" s="47" t="n">
        <x:v>500</x:v>
      </x:c>
      <x:c r="I29" s="30" t="str">
        <x:f>IF(ABS(G29)&lt;=H29,"Pass","Check")</x:f>
        <x:v>Pass</x:v>
      </x:c>
      <x:c r="J29" s="30" t="str">
        <x:v>BPS-ST-2020</x:v>
      </x:c>
      <x:c r="K29" s="56" t="n">
        <x:v>48</x:v>
      </x:c>
      <x:c r="L29" s="30" t="str">
        <x:v>raw/state/st2020a.txt</x:v>
      </x:c>
    </x:row>
    <x:row r="30" ht="21" customHeight="1">
      <x:c r="A30" s="56" t="n">
        <x:v>2021</x:v>
      </x:c>
      <x:c r="B30" s="30" t="str">
        <x:v>1-unit</x:v>
      </x:c>
      <x:c r="C30" s="30" t="str">
        <x:v>estimated</x:v>
      </x:c>
      <x:c r="D30" s="30" t="str">
        <x:v>buildings</x:v>
      </x:c>
      <x:c r="E30" s="47" t="n">
        <x:f>SUMIFS('By structure'!$E$6:$E$701,'By structure'!$A$6:$A$701,A30,'By structure'!$D$6:$D$701,B30)</x:f>
        <x:v>24423</x:v>
      </x:c>
      <x:c r="F30" s="47" t="n">
        <x:v>24423</x:v>
      </x:c>
      <x:c r="G30" s="47" t="n">
        <x:f>E30-F30</x:f>
        <x:v>0</x:v>
      </x:c>
      <x:c r="H30" s="47" t="n">
        <x:v>0</x:v>
      </x:c>
      <x:c r="I30" s="30" t="str">
        <x:f>IF(ABS(G30)&lt;=H30,"Pass","Check")</x:f>
        <x:v>Pass</x:v>
      </x:c>
      <x:c r="J30" s="30" t="str">
        <x:v>BPS-ST-2021</x:v>
      </x:c>
      <x:c r="K30" s="56" t="n">
        <x:v>49</x:v>
      </x:c>
      <x:c r="L30" s="30" t="str">
        <x:v>raw/state/st2021a.txt</x:v>
      </x:c>
    </x:row>
    <x:row r="31" ht="21" customHeight="1">
      <x:c r="A31" s="56" t="n">
        <x:v>2021</x:v>
      </x:c>
      <x:c r="B31" s="30" t="str">
        <x:v>1-unit</x:v>
      </x:c>
      <x:c r="C31" s="30" t="str">
        <x:v>estimated</x:v>
      </x:c>
      <x:c r="D31" s="30" t="str">
        <x:v>units</x:v>
      </x:c>
      <x:c r="E31" s="47" t="n">
        <x:f>SUMIFS('By structure'!$F$6:$F$701,'By structure'!$A$6:$A$701,A31,'By structure'!$D$6:$D$701,B31)</x:f>
        <x:v>24423</x:v>
      </x:c>
      <x:c r="F31" s="47" t="n">
        <x:v>24423</x:v>
      </x:c>
      <x:c r="G31" s="47" t="n">
        <x:f>E31-F31</x:f>
        <x:v>0</x:v>
      </x:c>
      <x:c r="H31" s="47" t="n">
        <x:v>0</x:v>
      </x:c>
      <x:c r="I31" s="30" t="str">
        <x:f>IF(ABS(G31)&lt;=H31,"Pass","Check")</x:f>
        <x:v>Pass</x:v>
      </x:c>
      <x:c r="J31" s="30" t="str">
        <x:v>BPS-ST-2021</x:v>
      </x:c>
      <x:c r="K31" s="56" t="n">
        <x:v>49</x:v>
      </x:c>
      <x:c r="L31" s="30" t="str">
        <x:v>raw/state/st2021a.txt</x:v>
      </x:c>
    </x:row>
    <x:row r="32" ht="21" customHeight="1">
      <x:c r="A32" s="56" t="n">
        <x:v>2021</x:v>
      </x:c>
      <x:c r="B32" s="30" t="str">
        <x:v>1-unit</x:v>
      </x:c>
      <x:c r="C32" s="30" t="str">
        <x:v>estimated</x:v>
      </x:c>
      <x:c r="D32" s="30" t="str">
        <x:v>valuation_usd</x:v>
      </x:c>
      <x:c r="E32" s="47" t="n">
        <x:f>SUMIFS('By structure'!$G$6:$G$701,'By structure'!$A$6:$A$701,A32,'By structure'!$D$6:$D$701,B32)</x:f>
        <x:v>7045024478</x:v>
      </x:c>
      <x:c r="F32" s="47" t="n">
        <x:v>7045024000</x:v>
      </x:c>
      <x:c r="G32" s="47" t="n">
        <x:f>E32-F32</x:f>
        <x:v>478</x:v>
      </x:c>
      <x:c r="H32" s="47" t="n">
        <x:v>500</x:v>
      </x:c>
      <x:c r="I32" s="30" t="str">
        <x:f>IF(ABS(G32)&lt;=H32,"Pass","Check")</x:f>
        <x:v>Pass</x:v>
      </x:c>
      <x:c r="J32" s="30" t="str">
        <x:v>BPS-ST-2021</x:v>
      </x:c>
      <x:c r="K32" s="56" t="n">
        <x:v>49</x:v>
      </x:c>
      <x:c r="L32" s="30" t="str">
        <x:v>raw/state/st2021a.txt</x:v>
      </x:c>
    </x:row>
    <x:row r="33" ht="21" customHeight="1">
      <x:c r="A33" s="56" t="n">
        <x:v>2021</x:v>
      </x:c>
      <x:c r="B33" s="30" t="str">
        <x:v>1-unit</x:v>
      </x:c>
      <x:c r="C33" s="30" t="str">
        <x:v>reported</x:v>
      </x:c>
      <x:c r="D33" s="30" t="str">
        <x:v>buildings</x:v>
      </x:c>
      <x:c r="E33" s="47" t="n">
        <x:f>SUMIFS('By structure'!$I$6:$I$701,'By structure'!$A$6:$A$701,A33,'By structure'!$D$6:$D$701,B33)</x:f>
        <x:v>22832</x:v>
      </x:c>
      <x:c r="F33" s="47" t="n">
        <x:v>22832</x:v>
      </x:c>
      <x:c r="G33" s="47" t="n">
        <x:f>E33-F33</x:f>
        <x:v>0</x:v>
      </x:c>
      <x:c r="H33" s="47" t="n">
        <x:v>0</x:v>
      </x:c>
      <x:c r="I33" s="30" t="str">
        <x:f>IF(ABS(G33)&lt;=H33,"Pass","Check")</x:f>
        <x:v>Pass</x:v>
      </x:c>
      <x:c r="J33" s="30" t="str">
        <x:v>BPS-ST-2021</x:v>
      </x:c>
      <x:c r="K33" s="56" t="n">
        <x:v>49</x:v>
      </x:c>
      <x:c r="L33" s="30" t="str">
        <x:v>raw/state/st2021a.txt</x:v>
      </x:c>
    </x:row>
    <x:row r="34" ht="21" customHeight="1">
      <x:c r="A34" s="56" t="n">
        <x:v>2021</x:v>
      </x:c>
      <x:c r="B34" s="30" t="str">
        <x:v>1-unit</x:v>
      </x:c>
      <x:c r="C34" s="30" t="str">
        <x:v>reported</x:v>
      </x:c>
      <x:c r="D34" s="30" t="str">
        <x:v>units</x:v>
      </x:c>
      <x:c r="E34" s="47" t="n">
        <x:f>SUMIFS('By structure'!$H$6:$H$701,'By structure'!$A$6:$A$701,A34,'By structure'!$D$6:$D$701,B34)</x:f>
        <x:v>22832</x:v>
      </x:c>
      <x:c r="F34" s="47" t="n">
        <x:v>22832</x:v>
      </x:c>
      <x:c r="G34" s="47" t="n">
        <x:f>E34-F34</x:f>
        <x:v>0</x:v>
      </x:c>
      <x:c r="H34" s="47" t="n">
        <x:v>0</x:v>
      </x:c>
      <x:c r="I34" s="30" t="str">
        <x:f>IF(ABS(G34)&lt;=H34,"Pass","Check")</x:f>
        <x:v>Pass</x:v>
      </x:c>
      <x:c r="J34" s="30" t="str">
        <x:v>BPS-ST-2021</x:v>
      </x:c>
      <x:c r="K34" s="56" t="n">
        <x:v>49</x:v>
      </x:c>
      <x:c r="L34" s="30" t="str">
        <x:v>raw/state/st2021a.txt</x:v>
      </x:c>
    </x:row>
    <x:row r="35" ht="21" customHeight="1">
      <x:c r="A35" s="56" t="n">
        <x:v>2021</x:v>
      </x:c>
      <x:c r="B35" s="30" t="str">
        <x:v>1-unit</x:v>
      </x:c>
      <x:c r="C35" s="30" t="str">
        <x:v>reported</x:v>
      </x:c>
      <x:c r="D35" s="30" t="str">
        <x:v>valuation_usd</x:v>
      </x:c>
      <x:c r="E35" s="47" t="n">
        <x:f>SUMIFS('By structure'!$J$6:$J$701,'By structure'!$A$6:$A$701,A35,'By structure'!$D$6:$D$701,B35)</x:f>
        <x:v>6638457568</x:v>
      </x:c>
      <x:c r="F35" s="47" t="n">
        <x:v>6638458000</x:v>
      </x:c>
      <x:c r="G35" s="47" t="n">
        <x:f>E35-F35</x:f>
        <x:v>-432</x:v>
      </x:c>
      <x:c r="H35" s="47" t="n">
        <x:v>500</x:v>
      </x:c>
      <x:c r="I35" s="30" t="str">
        <x:f>IF(ABS(G35)&lt;=H35,"Pass","Check")</x:f>
        <x:v>Pass</x:v>
      </x:c>
      <x:c r="J35" s="30" t="str">
        <x:v>BPS-ST-2021</x:v>
      </x:c>
      <x:c r="K35" s="56" t="n">
        <x:v>49</x:v>
      </x:c>
      <x:c r="L35" s="30" t="str">
        <x:v>raw/state/st2021a.txt</x:v>
      </x:c>
    </x:row>
    <x:row r="36" ht="21" customHeight="1">
      <x:c r="A36" s="56" t="n">
        <x:v>2021</x:v>
      </x:c>
      <x:c r="B36" s="30" t="str">
        <x:v>2-unit</x:v>
      </x:c>
      <x:c r="C36" s="30" t="str">
        <x:v>estimated</x:v>
      </x:c>
      <x:c r="D36" s="30" t="str">
        <x:v>buildings</x:v>
      </x:c>
      <x:c r="E36" s="47" t="n">
        <x:f>SUMIFS('By structure'!$E$6:$E$701,'By structure'!$A$6:$A$701,A36,'By structure'!$D$6:$D$701,B36)</x:f>
        <x:v>240</x:v>
      </x:c>
      <x:c r="F36" s="47" t="n">
        <x:v>240</x:v>
      </x:c>
      <x:c r="G36" s="47" t="n">
        <x:f>E36-F36</x:f>
        <x:v>0</x:v>
      </x:c>
      <x:c r="H36" s="47" t="n">
        <x:v>0</x:v>
      </x:c>
      <x:c r="I36" s="30" t="str">
        <x:f>IF(ABS(G36)&lt;=H36,"Pass","Check")</x:f>
        <x:v>Pass</x:v>
      </x:c>
      <x:c r="J36" s="30" t="str">
        <x:v>BPS-ST-2021</x:v>
      </x:c>
      <x:c r="K36" s="56" t="n">
        <x:v>49</x:v>
      </x:c>
      <x:c r="L36" s="30" t="str">
        <x:v>raw/state/st2021a.txt</x:v>
      </x:c>
    </x:row>
    <x:row r="37" ht="21" customHeight="1">
      <x:c r="A37" s="56" t="n">
        <x:v>2021</x:v>
      </x:c>
      <x:c r="B37" s="30" t="str">
        <x:v>2-unit</x:v>
      </x:c>
      <x:c r="C37" s="30" t="str">
        <x:v>estimated</x:v>
      </x:c>
      <x:c r="D37" s="30" t="str">
        <x:v>units</x:v>
      </x:c>
      <x:c r="E37" s="47" t="n">
        <x:f>SUMIFS('By structure'!$F$6:$F$701,'By structure'!$A$6:$A$701,A37,'By structure'!$D$6:$D$701,B37)</x:f>
        <x:v>480</x:v>
      </x:c>
      <x:c r="F37" s="47" t="n">
        <x:v>480</x:v>
      </x:c>
      <x:c r="G37" s="47" t="n">
        <x:f>E37-F37</x:f>
        <x:v>0</x:v>
      </x:c>
      <x:c r="H37" s="47" t="n">
        <x:v>0</x:v>
      </x:c>
      <x:c r="I37" s="30" t="str">
        <x:f>IF(ABS(G37)&lt;=H37,"Pass","Check")</x:f>
        <x:v>Pass</x:v>
      </x:c>
      <x:c r="J37" s="30" t="str">
        <x:v>BPS-ST-2021</x:v>
      </x:c>
      <x:c r="K37" s="56" t="n">
        <x:v>49</x:v>
      </x:c>
      <x:c r="L37" s="30" t="str">
        <x:v>raw/state/st2021a.txt</x:v>
      </x:c>
    </x:row>
    <x:row r="38" ht="21" customHeight="1">
      <x:c r="A38" s="56" t="n">
        <x:v>2021</x:v>
      </x:c>
      <x:c r="B38" s="30" t="str">
        <x:v>2-unit</x:v>
      </x:c>
      <x:c r="C38" s="30" t="str">
        <x:v>estimated</x:v>
      </x:c>
      <x:c r="D38" s="30" t="str">
        <x:v>valuation_usd</x:v>
      </x:c>
      <x:c r="E38" s="47" t="n">
        <x:f>SUMIFS('By structure'!$G$6:$G$701,'By structure'!$A$6:$A$701,A38,'By structure'!$D$6:$D$701,B38)</x:f>
        <x:v>69417856</x:v>
      </x:c>
      <x:c r="F38" s="47" t="n">
        <x:v>69418000</x:v>
      </x:c>
      <x:c r="G38" s="47" t="n">
        <x:f>E38-F38</x:f>
        <x:v>-144</x:v>
      </x:c>
      <x:c r="H38" s="47" t="n">
        <x:v>500</x:v>
      </x:c>
      <x:c r="I38" s="30" t="str">
        <x:f>IF(ABS(G38)&lt;=H38,"Pass","Check")</x:f>
        <x:v>Pass</x:v>
      </x:c>
      <x:c r="J38" s="30" t="str">
        <x:v>BPS-ST-2021</x:v>
      </x:c>
      <x:c r="K38" s="56" t="n">
        <x:v>49</x:v>
      </x:c>
      <x:c r="L38" s="30" t="str">
        <x:v>raw/state/st2021a.txt</x:v>
      </x:c>
    </x:row>
    <x:row r="39" ht="21" customHeight="1">
      <x:c r="A39" s="56" t="n">
        <x:v>2021</x:v>
      </x:c>
      <x:c r="B39" s="30" t="str">
        <x:v>2-unit</x:v>
      </x:c>
      <x:c r="C39" s="30" t="str">
        <x:v>reported</x:v>
      </x:c>
      <x:c r="D39" s="30" t="str">
        <x:v>buildings</x:v>
      </x:c>
      <x:c r="E39" s="47" t="n">
        <x:f>SUMIFS('By structure'!$I$6:$I$701,'By structure'!$A$6:$A$701,A39,'By structure'!$D$6:$D$701,B39)</x:f>
        <x:v>218</x:v>
      </x:c>
      <x:c r="F39" s="47" t="n">
        <x:v>218</x:v>
      </x:c>
      <x:c r="G39" s="47" t="n">
        <x:f>E39-F39</x:f>
        <x:v>0</x:v>
      </x:c>
      <x:c r="H39" s="47" t="n">
        <x:v>0</x:v>
      </x:c>
      <x:c r="I39" s="30" t="str">
        <x:f>IF(ABS(G39)&lt;=H39,"Pass","Check")</x:f>
        <x:v>Pass</x:v>
      </x:c>
      <x:c r="J39" s="30" t="str">
        <x:v>BPS-ST-2021</x:v>
      </x:c>
      <x:c r="K39" s="56" t="n">
        <x:v>49</x:v>
      </x:c>
      <x:c r="L39" s="30" t="str">
        <x:v>raw/state/st2021a.txt</x:v>
      </x:c>
    </x:row>
    <x:row r="40" ht="21" customHeight="1">
      <x:c r="A40" s="56" t="n">
        <x:v>2021</x:v>
      </x:c>
      <x:c r="B40" s="30" t="str">
        <x:v>2-unit</x:v>
      </x:c>
      <x:c r="C40" s="30" t="str">
        <x:v>reported</x:v>
      </x:c>
      <x:c r="D40" s="30" t="str">
        <x:v>units</x:v>
      </x:c>
      <x:c r="E40" s="47" t="n">
        <x:f>SUMIFS('By structure'!$H$6:$H$701,'By structure'!$A$6:$A$701,A40,'By structure'!$D$6:$D$701,B40)</x:f>
        <x:v>436</x:v>
      </x:c>
      <x:c r="F40" s="47" t="n">
        <x:v>436</x:v>
      </x:c>
      <x:c r="G40" s="47" t="n">
        <x:f>E40-F40</x:f>
        <x:v>0</x:v>
      </x:c>
      <x:c r="H40" s="47" t="n">
        <x:v>0</x:v>
      </x:c>
      <x:c r="I40" s="30" t="str">
        <x:f>IF(ABS(G40)&lt;=H40,"Pass","Check")</x:f>
        <x:v>Pass</x:v>
      </x:c>
      <x:c r="J40" s="30" t="str">
        <x:v>BPS-ST-2021</x:v>
      </x:c>
      <x:c r="K40" s="56" t="n">
        <x:v>49</x:v>
      </x:c>
      <x:c r="L40" s="30" t="str">
        <x:v>raw/state/st2021a.txt</x:v>
      </x:c>
    </x:row>
    <x:row r="41" ht="21" customHeight="1">
      <x:c r="A41" s="56" t="n">
        <x:v>2021</x:v>
      </x:c>
      <x:c r="B41" s="30" t="str">
        <x:v>2-unit</x:v>
      </x:c>
      <x:c r="C41" s="30" t="str">
        <x:v>reported</x:v>
      </x:c>
      <x:c r="D41" s="30" t="str">
        <x:v>valuation_usd</x:v>
      </x:c>
      <x:c r="E41" s="47" t="n">
        <x:f>SUMIFS('By structure'!$J$6:$J$701,'By structure'!$A$6:$A$701,A41,'By structure'!$D$6:$D$701,B41)</x:f>
        <x:v>65903968</x:v>
      </x:c>
      <x:c r="F41" s="47" t="n">
        <x:v>65904000</x:v>
      </x:c>
      <x:c r="G41" s="47" t="n">
        <x:f>E41-F41</x:f>
        <x:v>-32</x:v>
      </x:c>
      <x:c r="H41" s="47" t="n">
        <x:v>500</x:v>
      </x:c>
      <x:c r="I41" s="30" t="str">
        <x:f>IF(ABS(G41)&lt;=H41,"Pass","Check")</x:f>
        <x:v>Pass</x:v>
      </x:c>
      <x:c r="J41" s="30" t="str">
        <x:v>BPS-ST-2021</x:v>
      </x:c>
      <x:c r="K41" s="56" t="n">
        <x:v>49</x:v>
      </x:c>
      <x:c r="L41" s="30" t="str">
        <x:v>raw/state/st2021a.txt</x:v>
      </x:c>
    </x:row>
    <x:row r="42" ht="21" customHeight="1">
      <x:c r="A42" s="56" t="n">
        <x:v>2021</x:v>
      </x:c>
      <x:c r="B42" s="30" t="str">
        <x:v>3-4-unit</x:v>
      </x:c>
      <x:c r="C42" s="30" t="str">
        <x:v>estimated</x:v>
      </x:c>
      <x:c r="D42" s="30" t="str">
        <x:v>buildings</x:v>
      </x:c>
      <x:c r="E42" s="47" t="n">
        <x:f>SUMIFS('By structure'!$E$6:$E$701,'By structure'!$A$6:$A$701,A42,'By structure'!$D$6:$D$701,B42)</x:f>
        <x:v>251</x:v>
      </x:c>
      <x:c r="F42" s="47" t="n">
        <x:v>251</x:v>
      </x:c>
      <x:c r="G42" s="47" t="n">
        <x:f>E42-F42</x:f>
        <x:v>0</x:v>
      </x:c>
      <x:c r="H42" s="47" t="n">
        <x:v>0</x:v>
      </x:c>
      <x:c r="I42" s="30" t="str">
        <x:f>IF(ABS(G42)&lt;=H42,"Pass","Check")</x:f>
        <x:v>Pass</x:v>
      </x:c>
      <x:c r="J42" s="30" t="str">
        <x:v>BPS-ST-2021</x:v>
      </x:c>
      <x:c r="K42" s="56" t="n">
        <x:v>49</x:v>
      </x:c>
      <x:c r="L42" s="30" t="str">
        <x:v>raw/state/st2021a.txt</x:v>
      </x:c>
    </x:row>
    <x:row r="43" ht="21" customHeight="1">
      <x:c r="A43" s="56" t="n">
        <x:v>2021</x:v>
      </x:c>
      <x:c r="B43" s="30" t="str">
        <x:v>3-4-unit</x:v>
      </x:c>
      <x:c r="C43" s="30" t="str">
        <x:v>estimated</x:v>
      </x:c>
      <x:c r="D43" s="30" t="str">
        <x:v>units</x:v>
      </x:c>
      <x:c r="E43" s="47" t="n">
        <x:f>SUMIFS('By structure'!$F$6:$F$701,'By structure'!$A$6:$A$701,A43,'By structure'!$D$6:$D$701,B43)</x:f>
        <x:v>879</x:v>
      </x:c>
      <x:c r="F43" s="47" t="n">
        <x:v>879</x:v>
      </x:c>
      <x:c r="G43" s="47" t="n">
        <x:f>E43-F43</x:f>
        <x:v>0</x:v>
      </x:c>
      <x:c r="H43" s="47" t="n">
        <x:v>0</x:v>
      </x:c>
      <x:c r="I43" s="30" t="str">
        <x:f>IF(ABS(G43)&lt;=H43,"Pass","Check")</x:f>
        <x:v>Pass</x:v>
      </x:c>
      <x:c r="J43" s="30" t="str">
        <x:v>BPS-ST-2021</x:v>
      </x:c>
      <x:c r="K43" s="56" t="n">
        <x:v>49</x:v>
      </x:c>
      <x:c r="L43" s="30" t="str">
        <x:v>raw/state/st2021a.txt</x:v>
      </x:c>
    </x:row>
    <x:row r="44" ht="21" customHeight="1">
      <x:c r="A44" s="56" t="n">
        <x:v>2021</x:v>
      </x:c>
      <x:c r="B44" s="30" t="str">
        <x:v>3-4-unit</x:v>
      </x:c>
      <x:c r="C44" s="30" t="str">
        <x:v>estimated</x:v>
      </x:c>
      <x:c r="D44" s="30" t="str">
        <x:v>valuation_usd</x:v>
      </x:c>
      <x:c r="E44" s="47" t="n">
        <x:f>SUMIFS('By structure'!$G$6:$G$701,'By structure'!$A$6:$A$701,A44,'By structure'!$D$6:$D$701,B44)</x:f>
        <x:v>153677889</x:v>
      </x:c>
      <x:c r="F44" s="47" t="n">
        <x:v>153678000</x:v>
      </x:c>
      <x:c r="G44" s="47" t="n">
        <x:f>E44-F44</x:f>
        <x:v>-111</x:v>
      </x:c>
      <x:c r="H44" s="47" t="n">
        <x:v>500</x:v>
      </x:c>
      <x:c r="I44" s="30" t="str">
        <x:f>IF(ABS(G44)&lt;=H44,"Pass","Check")</x:f>
        <x:v>Pass</x:v>
      </x:c>
      <x:c r="J44" s="30" t="str">
        <x:v>BPS-ST-2021</x:v>
      </x:c>
      <x:c r="K44" s="56" t="n">
        <x:v>49</x:v>
      </x:c>
      <x:c r="L44" s="30" t="str">
        <x:v>raw/state/st2021a.txt</x:v>
      </x:c>
    </x:row>
    <x:row r="45" ht="21" customHeight="1">
      <x:c r="A45" s="56" t="n">
        <x:v>2021</x:v>
      </x:c>
      <x:c r="B45" s="30" t="str">
        <x:v>3-4-unit</x:v>
      </x:c>
      <x:c r="C45" s="30" t="str">
        <x:v>reported</x:v>
      </x:c>
      <x:c r="D45" s="30" t="str">
        <x:v>buildings</x:v>
      </x:c>
      <x:c r="E45" s="47" t="n">
        <x:f>SUMIFS('By structure'!$I$6:$I$701,'By structure'!$A$6:$A$701,A45,'By structure'!$D$6:$D$701,B45)</x:f>
        <x:v>201</x:v>
      </x:c>
      <x:c r="F45" s="47" t="n">
        <x:v>201</x:v>
      </x:c>
      <x:c r="G45" s="47" t="n">
        <x:f>E45-F45</x:f>
        <x:v>0</x:v>
      </x:c>
      <x:c r="H45" s="47" t="n">
        <x:v>0</x:v>
      </x:c>
      <x:c r="I45" s="30" t="str">
        <x:f>IF(ABS(G45)&lt;=H45,"Pass","Check")</x:f>
        <x:v>Pass</x:v>
      </x:c>
      <x:c r="J45" s="30" t="str">
        <x:v>BPS-ST-2021</x:v>
      </x:c>
      <x:c r="K45" s="56" t="n">
        <x:v>49</x:v>
      </x:c>
      <x:c r="L45" s="30" t="str">
        <x:v>raw/state/st2021a.txt</x:v>
      </x:c>
    </x:row>
    <x:row r="46" ht="21" customHeight="1">
      <x:c r="A46" s="56" t="n">
        <x:v>2021</x:v>
      </x:c>
      <x:c r="B46" s="30" t="str">
        <x:v>3-4-unit</x:v>
      </x:c>
      <x:c r="C46" s="30" t="str">
        <x:v>reported</x:v>
      </x:c>
      <x:c r="D46" s="30" t="str">
        <x:v>units</x:v>
      </x:c>
      <x:c r="E46" s="47" t="n">
        <x:f>SUMIFS('By structure'!$H$6:$H$701,'By structure'!$A$6:$A$701,A46,'By structure'!$D$6:$D$701,B46)</x:f>
        <x:v>717</x:v>
      </x:c>
      <x:c r="F46" s="47" t="n">
        <x:v>717</x:v>
      </x:c>
      <x:c r="G46" s="47" t="n">
        <x:f>E46-F46</x:f>
        <x:v>0</x:v>
      </x:c>
      <x:c r="H46" s="47" t="n">
        <x:v>0</x:v>
      </x:c>
      <x:c r="I46" s="30" t="str">
        <x:f>IF(ABS(G46)&lt;=H46,"Pass","Check")</x:f>
        <x:v>Pass</x:v>
      </x:c>
      <x:c r="J46" s="30" t="str">
        <x:v>BPS-ST-2021</x:v>
      </x:c>
      <x:c r="K46" s="56" t="n">
        <x:v>49</x:v>
      </x:c>
      <x:c r="L46" s="30" t="str">
        <x:v>raw/state/st2021a.txt</x:v>
      </x:c>
    </x:row>
    <x:row r="47" ht="21" customHeight="1">
      <x:c r="A47" s="56" t="n">
        <x:v>2021</x:v>
      </x:c>
      <x:c r="B47" s="30" t="str">
        <x:v>3-4-unit</x:v>
      </x:c>
      <x:c r="C47" s="30" t="str">
        <x:v>reported</x:v>
      </x:c>
      <x:c r="D47" s="30" t="str">
        <x:v>valuation_usd</x:v>
      </x:c>
      <x:c r="E47" s="47" t="n">
        <x:f>SUMIFS('By structure'!$J$6:$J$701,'By structure'!$A$6:$A$701,A47,'By structure'!$D$6:$D$701,B47)</x:f>
        <x:v>121038813</x:v>
      </x:c>
      <x:c r="F47" s="47" t="n">
        <x:v>121039000</x:v>
      </x:c>
      <x:c r="G47" s="47" t="n">
        <x:f>E47-F47</x:f>
        <x:v>-187</x:v>
      </x:c>
      <x:c r="H47" s="47" t="n">
        <x:v>500</x:v>
      </x:c>
      <x:c r="I47" s="30" t="str">
        <x:f>IF(ABS(G47)&lt;=H47,"Pass","Check")</x:f>
        <x:v>Pass</x:v>
      </x:c>
      <x:c r="J47" s="30" t="str">
        <x:v>BPS-ST-2021</x:v>
      </x:c>
      <x:c r="K47" s="56" t="n">
        <x:v>49</x:v>
      </x:c>
      <x:c r="L47" s="30" t="str">
        <x:v>raw/state/st2021a.txt</x:v>
      </x:c>
    </x:row>
    <x:row r="48" ht="21" customHeight="1">
      <x:c r="A48" s="56" t="n">
        <x:v>2021</x:v>
      </x:c>
      <x:c r="B48" s="30" t="str">
        <x:v>5-plus-unit</x:v>
      </x:c>
      <x:c r="C48" s="30" t="str">
        <x:v>estimated</x:v>
      </x:c>
      <x:c r="D48" s="30" t="str">
        <x:v>buildings</x:v>
      </x:c>
      <x:c r="E48" s="47" t="n">
        <x:f>SUMIFS('By structure'!$E$6:$E$701,'By structure'!$A$6:$A$701,A48,'By structure'!$D$6:$D$701,B48)</x:f>
        <x:v>573</x:v>
      </x:c>
      <x:c r="F48" s="47" t="n">
        <x:v>573</x:v>
      </x:c>
      <x:c r="G48" s="47" t="n">
        <x:f>E48-F48</x:f>
        <x:v>0</x:v>
      </x:c>
      <x:c r="H48" s="47" t="n">
        <x:v>0</x:v>
      </x:c>
      <x:c r="I48" s="30" t="str">
        <x:f>IF(ABS(G48)&lt;=H48,"Pass","Check")</x:f>
        <x:v>Pass</x:v>
      </x:c>
      <x:c r="J48" s="30" t="str">
        <x:v>BPS-ST-2021</x:v>
      </x:c>
      <x:c r="K48" s="56" t="n">
        <x:v>49</x:v>
      </x:c>
      <x:c r="L48" s="30" t="str">
        <x:v>raw/state/st2021a.txt</x:v>
      </x:c>
    </x:row>
    <x:row r="49" ht="21" customHeight="1">
      <x:c r="A49" s="56" t="n">
        <x:v>2021</x:v>
      </x:c>
      <x:c r="B49" s="30" t="str">
        <x:v>5-plus-unit</x:v>
      </x:c>
      <x:c r="C49" s="30" t="str">
        <x:v>estimated</x:v>
      </x:c>
      <x:c r="D49" s="30" t="str">
        <x:v>units</x:v>
      </x:c>
      <x:c r="E49" s="47" t="n">
        <x:f>SUMIFS('By structure'!$F$6:$F$701,'By structure'!$A$6:$A$701,A49,'By structure'!$D$6:$D$701,B49)</x:f>
        <x:v>13276</x:v>
      </x:c>
      <x:c r="F49" s="47" t="n">
        <x:v>13276</x:v>
      </x:c>
      <x:c r="G49" s="47" t="n">
        <x:f>E49-F49</x:f>
        <x:v>0</x:v>
      </x:c>
      <x:c r="H49" s="47" t="n">
        <x:v>0</x:v>
      </x:c>
      <x:c r="I49" s="30" t="str">
        <x:f>IF(ABS(G49)&lt;=H49,"Pass","Check")</x:f>
        <x:v>Pass</x:v>
      </x:c>
      <x:c r="J49" s="30" t="str">
        <x:v>BPS-ST-2021</x:v>
      </x:c>
      <x:c r="K49" s="56" t="n">
        <x:v>49</x:v>
      </x:c>
      <x:c r="L49" s="30" t="str">
        <x:v>raw/state/st2021a.txt</x:v>
      </x:c>
    </x:row>
    <x:row r="50" ht="21" customHeight="1">
      <x:c r="A50" s="56" t="n">
        <x:v>2021</x:v>
      </x:c>
      <x:c r="B50" s="30" t="str">
        <x:v>5-plus-unit</x:v>
      </x:c>
      <x:c r="C50" s="30" t="str">
        <x:v>estimated</x:v>
      </x:c>
      <x:c r="D50" s="30" t="str">
        <x:v>valuation_usd</x:v>
      </x:c>
      <x:c r="E50" s="47" t="n">
        <x:f>SUMIFS('By structure'!$G$6:$G$701,'By structure'!$A$6:$A$701,A50,'By structure'!$D$6:$D$701,B50)</x:f>
        <x:v>1919906049</x:v>
      </x:c>
      <x:c r="F50" s="47" t="n">
        <x:v>1919906000</x:v>
      </x:c>
      <x:c r="G50" s="47" t="n">
        <x:f>E50-F50</x:f>
        <x:v>49</x:v>
      </x:c>
      <x:c r="H50" s="47" t="n">
        <x:v>500</x:v>
      </x:c>
      <x:c r="I50" s="30" t="str">
        <x:f>IF(ABS(G50)&lt;=H50,"Pass","Check")</x:f>
        <x:v>Pass</x:v>
      </x:c>
      <x:c r="J50" s="30" t="str">
        <x:v>BPS-ST-2021</x:v>
      </x:c>
      <x:c r="K50" s="56" t="n">
        <x:v>49</x:v>
      </x:c>
      <x:c r="L50" s="30" t="str">
        <x:v>raw/state/st2021a.txt</x:v>
      </x:c>
    </x:row>
    <x:row r="51" ht="21" customHeight="1">
      <x:c r="A51" s="56" t="n">
        <x:v>2021</x:v>
      </x:c>
      <x:c r="B51" s="30" t="str">
        <x:v>5-plus-unit</x:v>
      </x:c>
      <x:c r="C51" s="30" t="str">
        <x:v>reported</x:v>
      </x:c>
      <x:c r="D51" s="30" t="str">
        <x:v>buildings</x:v>
      </x:c>
      <x:c r="E51" s="47" t="n">
        <x:f>SUMIFS('By structure'!$I$6:$I$701,'By structure'!$A$6:$A$701,A51,'By structure'!$D$6:$D$701,B51)</x:f>
        <x:v>490</x:v>
      </x:c>
      <x:c r="F51" s="47" t="n">
        <x:v>490</x:v>
      </x:c>
      <x:c r="G51" s="47" t="n">
        <x:f>E51-F51</x:f>
        <x:v>0</x:v>
      </x:c>
      <x:c r="H51" s="47" t="n">
        <x:v>0</x:v>
      </x:c>
      <x:c r="I51" s="30" t="str">
        <x:f>IF(ABS(G51)&lt;=H51,"Pass","Check")</x:f>
        <x:v>Pass</x:v>
      </x:c>
      <x:c r="J51" s="30" t="str">
        <x:v>BPS-ST-2021</x:v>
      </x:c>
      <x:c r="K51" s="56" t="n">
        <x:v>49</x:v>
      </x:c>
      <x:c r="L51" s="30" t="str">
        <x:v>raw/state/st2021a.txt</x:v>
      </x:c>
    </x:row>
    <x:row r="52" ht="21" customHeight="1">
      <x:c r="A52" s="56" t="n">
        <x:v>2021</x:v>
      </x:c>
      <x:c r="B52" s="30" t="str">
        <x:v>5-plus-unit</x:v>
      </x:c>
      <x:c r="C52" s="30" t="str">
        <x:v>reported</x:v>
      </x:c>
      <x:c r="D52" s="30" t="str">
        <x:v>units</x:v>
      </x:c>
      <x:c r="E52" s="47" t="n">
        <x:f>SUMIFS('By structure'!$H$6:$H$701,'By structure'!$A$6:$A$701,A52,'By structure'!$D$6:$D$701,B52)</x:f>
        <x:v>9577</x:v>
      </x:c>
      <x:c r="F52" s="47" t="n">
        <x:v>9577</x:v>
      </x:c>
      <x:c r="G52" s="47" t="n">
        <x:f>E52-F52</x:f>
        <x:v>0</x:v>
      </x:c>
      <x:c r="H52" s="47" t="n">
        <x:v>0</x:v>
      </x:c>
      <x:c r="I52" s="30" t="str">
        <x:f>IF(ABS(G52)&lt;=H52,"Pass","Check")</x:f>
        <x:v>Pass</x:v>
      </x:c>
      <x:c r="J52" s="30" t="str">
        <x:v>BPS-ST-2021</x:v>
      </x:c>
      <x:c r="K52" s="56" t="n">
        <x:v>49</x:v>
      </x:c>
      <x:c r="L52" s="30" t="str">
        <x:v>raw/state/st2021a.txt</x:v>
      </x:c>
    </x:row>
    <x:row r="53" ht="21" customHeight="1">
      <x:c r="A53" s="56" t="n">
        <x:v>2021</x:v>
      </x:c>
      <x:c r="B53" s="30" t="str">
        <x:v>5-plus-unit</x:v>
      </x:c>
      <x:c r="C53" s="30" t="str">
        <x:v>reported</x:v>
      </x:c>
      <x:c r="D53" s="30" t="str">
        <x:v>valuation_usd</x:v>
      </x:c>
      <x:c r="E53" s="47" t="n">
        <x:f>SUMIFS('By structure'!$J$6:$J$701,'By structure'!$A$6:$A$701,A53,'By structure'!$D$6:$D$701,B53)</x:f>
        <x:v>1416622618</x:v>
      </x:c>
      <x:c r="F53" s="47" t="n">
        <x:v>1416623000</x:v>
      </x:c>
      <x:c r="G53" s="47" t="n">
        <x:f>E53-F53</x:f>
        <x:v>-382</x:v>
      </x:c>
      <x:c r="H53" s="47" t="n">
        <x:v>500</x:v>
      </x:c>
      <x:c r="I53" s="30" t="str">
        <x:f>IF(ABS(G53)&lt;=H53,"Pass","Check")</x:f>
        <x:v>Pass</x:v>
      </x:c>
      <x:c r="J53" s="30" t="str">
        <x:v>BPS-ST-2021</x:v>
      </x:c>
      <x:c r="K53" s="56" t="n">
        <x:v>49</x:v>
      </x:c>
      <x:c r="L53" s="30" t="str">
        <x:v>raw/state/st2021a.txt</x:v>
      </x:c>
    </x:row>
    <x:row r="54" ht="21" customHeight="1">
      <x:c r="A54" s="56" t="n">
        <x:v>2022</x:v>
      </x:c>
      <x:c r="B54" s="30" t="str">
        <x:v>1-unit</x:v>
      </x:c>
      <x:c r="C54" s="30" t="str">
        <x:v>estimated</x:v>
      </x:c>
      <x:c r="D54" s="30" t="str">
        <x:v>buildings</x:v>
      </x:c>
      <x:c r="E54" s="47" t="n">
        <x:f>SUMIFS('By structure'!$E$6:$E$701,'By structure'!$A$6:$A$701,A54,'By structure'!$D$6:$D$701,B54)</x:f>
        <x:v>19132</x:v>
      </x:c>
      <x:c r="F54" s="47" t="n">
        <x:v>19132</x:v>
      </x:c>
      <x:c r="G54" s="47" t="n">
        <x:f>E54-F54</x:f>
        <x:v>0</x:v>
      </x:c>
      <x:c r="H54" s="47" t="n">
        <x:v>0</x:v>
      </x:c>
      <x:c r="I54" s="30" t="str">
        <x:f>IF(ABS(G54)&lt;=H54,"Pass","Check")</x:f>
        <x:v>Pass</x:v>
      </x:c>
      <x:c r="J54" s="30" t="str">
        <x:v>BPS-ST-2022</x:v>
      </x:c>
      <x:c r="K54" s="56" t="n">
        <x:v>48</x:v>
      </x:c>
      <x:c r="L54" s="30" t="str">
        <x:v>raw/state/st2022a.txt</x:v>
      </x:c>
    </x:row>
    <x:row r="55" ht="21" customHeight="1">
      <x:c r="A55" s="56" t="n">
        <x:v>2022</x:v>
      </x:c>
      <x:c r="B55" s="30" t="str">
        <x:v>1-unit</x:v>
      </x:c>
      <x:c r="C55" s="30" t="str">
        <x:v>estimated</x:v>
      </x:c>
      <x:c r="D55" s="30" t="str">
        <x:v>units</x:v>
      </x:c>
      <x:c r="E55" s="47" t="n">
        <x:f>SUMIFS('By structure'!$F$6:$F$701,'By structure'!$A$6:$A$701,A55,'By structure'!$D$6:$D$701,B55)</x:f>
        <x:v>19132</x:v>
      </x:c>
      <x:c r="F55" s="47" t="n">
        <x:v>19132</x:v>
      </x:c>
      <x:c r="G55" s="47" t="n">
        <x:f>E55-F55</x:f>
        <x:v>0</x:v>
      </x:c>
      <x:c r="H55" s="47" t="n">
        <x:v>0</x:v>
      </x:c>
      <x:c r="I55" s="30" t="str">
        <x:f>IF(ABS(G55)&lt;=H55,"Pass","Check")</x:f>
        <x:v>Pass</x:v>
      </x:c>
      <x:c r="J55" s="30" t="str">
        <x:v>BPS-ST-2022</x:v>
      </x:c>
      <x:c r="K55" s="56" t="n">
        <x:v>48</x:v>
      </x:c>
      <x:c r="L55" s="30" t="str">
        <x:v>raw/state/st2022a.txt</x:v>
      </x:c>
    </x:row>
    <x:row r="56" ht="21" customHeight="1">
      <x:c r="A56" s="56" t="n">
        <x:v>2022</x:v>
      </x:c>
      <x:c r="B56" s="30" t="str">
        <x:v>1-unit</x:v>
      </x:c>
      <x:c r="C56" s="30" t="str">
        <x:v>estimated</x:v>
      </x:c>
      <x:c r="D56" s="30" t="str">
        <x:v>valuation_usd</x:v>
      </x:c>
      <x:c r="E56" s="47" t="n">
        <x:f>SUMIFS('By structure'!$G$6:$G$701,'By structure'!$A$6:$A$701,A56,'By structure'!$D$6:$D$701,B56)</x:f>
        <x:v>6019508821</x:v>
      </x:c>
      <x:c r="F56" s="47" t="n">
        <x:v>6019509000</x:v>
      </x:c>
      <x:c r="G56" s="47" t="n">
        <x:f>E56-F56</x:f>
        <x:v>-179</x:v>
      </x:c>
      <x:c r="H56" s="47" t="n">
        <x:v>500</x:v>
      </x:c>
      <x:c r="I56" s="30" t="str">
        <x:f>IF(ABS(G56)&lt;=H56,"Pass","Check")</x:f>
        <x:v>Pass</x:v>
      </x:c>
      <x:c r="J56" s="30" t="str">
        <x:v>BPS-ST-2022</x:v>
      </x:c>
      <x:c r="K56" s="56" t="n">
        <x:v>48</x:v>
      </x:c>
      <x:c r="L56" s="30" t="str">
        <x:v>raw/state/st2022a.txt</x:v>
      </x:c>
    </x:row>
    <x:row r="57" ht="21" customHeight="1">
      <x:c r="A57" s="56" t="n">
        <x:v>2022</x:v>
      </x:c>
      <x:c r="B57" s="30" t="str">
        <x:v>1-unit</x:v>
      </x:c>
      <x:c r="C57" s="30" t="str">
        <x:v>reported</x:v>
      </x:c>
      <x:c r="D57" s="30" t="str">
        <x:v>buildings</x:v>
      </x:c>
      <x:c r="E57" s="47" t="n">
        <x:f>SUMIFS('By structure'!$I$6:$I$701,'By structure'!$A$6:$A$701,A57,'By structure'!$D$6:$D$701,B57)</x:f>
        <x:v>18352</x:v>
      </x:c>
      <x:c r="F57" s="47" t="n">
        <x:v>18352</x:v>
      </x:c>
      <x:c r="G57" s="47" t="n">
        <x:f>E57-F57</x:f>
        <x:v>0</x:v>
      </x:c>
      <x:c r="H57" s="47" t="n">
        <x:v>0</x:v>
      </x:c>
      <x:c r="I57" s="30" t="str">
        <x:f>IF(ABS(G57)&lt;=H57,"Pass","Check")</x:f>
        <x:v>Pass</x:v>
      </x:c>
      <x:c r="J57" s="30" t="str">
        <x:v>BPS-ST-2022</x:v>
      </x:c>
      <x:c r="K57" s="56" t="n">
        <x:v>48</x:v>
      </x:c>
      <x:c r="L57" s="30" t="str">
        <x:v>raw/state/st2022a.txt</x:v>
      </x:c>
    </x:row>
    <x:row r="58" ht="21" customHeight="1">
      <x:c r="A58" s="56" t="n">
        <x:v>2022</x:v>
      </x:c>
      <x:c r="B58" s="30" t="str">
        <x:v>1-unit</x:v>
      </x:c>
      <x:c r="C58" s="30" t="str">
        <x:v>reported</x:v>
      </x:c>
      <x:c r="D58" s="30" t="str">
        <x:v>units</x:v>
      </x:c>
      <x:c r="E58" s="47" t="n">
        <x:f>SUMIFS('By structure'!$H$6:$H$701,'By structure'!$A$6:$A$701,A58,'By structure'!$D$6:$D$701,B58)</x:f>
        <x:v>18352</x:v>
      </x:c>
      <x:c r="F58" s="47" t="n">
        <x:v>18352</x:v>
      </x:c>
      <x:c r="G58" s="47" t="n">
        <x:f>E58-F58</x:f>
        <x:v>0</x:v>
      </x:c>
      <x:c r="H58" s="47" t="n">
        <x:v>0</x:v>
      </x:c>
      <x:c r="I58" s="30" t="str">
        <x:f>IF(ABS(G58)&lt;=H58,"Pass","Check")</x:f>
        <x:v>Pass</x:v>
      </x:c>
      <x:c r="J58" s="30" t="str">
        <x:v>BPS-ST-2022</x:v>
      </x:c>
      <x:c r="K58" s="56" t="n">
        <x:v>48</x:v>
      </x:c>
      <x:c r="L58" s="30" t="str">
        <x:v>raw/state/st2022a.txt</x:v>
      </x:c>
    </x:row>
    <x:row r="59" ht="21" customHeight="1">
      <x:c r="A59" s="56" t="n">
        <x:v>2022</x:v>
      </x:c>
      <x:c r="B59" s="30" t="str">
        <x:v>1-unit</x:v>
      </x:c>
      <x:c r="C59" s="30" t="str">
        <x:v>reported</x:v>
      </x:c>
      <x:c r="D59" s="30" t="str">
        <x:v>valuation_usd</x:v>
      </x:c>
      <x:c r="E59" s="47" t="n">
        <x:f>SUMIFS('By structure'!$J$6:$J$701,'By structure'!$A$6:$A$701,A59,'By structure'!$D$6:$D$701,B59)</x:f>
        <x:v>5803047339</x:v>
      </x:c>
      <x:c r="F59" s="47" t="n">
        <x:v>5803047000</x:v>
      </x:c>
      <x:c r="G59" s="47" t="n">
        <x:f>E59-F59</x:f>
        <x:v>339</x:v>
      </x:c>
      <x:c r="H59" s="47" t="n">
        <x:v>500</x:v>
      </x:c>
      <x:c r="I59" s="30" t="str">
        <x:f>IF(ABS(G59)&lt;=H59,"Pass","Check")</x:f>
        <x:v>Pass</x:v>
      </x:c>
      <x:c r="J59" s="30" t="str">
        <x:v>BPS-ST-2022</x:v>
      </x:c>
      <x:c r="K59" s="56" t="n">
        <x:v>48</x:v>
      </x:c>
      <x:c r="L59" s="30" t="str">
        <x:v>raw/state/st2022a.txt</x:v>
      </x:c>
    </x:row>
    <x:row r="60" ht="21" customHeight="1">
      <x:c r="A60" s="56" t="n">
        <x:v>2022</x:v>
      </x:c>
      <x:c r="B60" s="30" t="str">
        <x:v>2-unit</x:v>
      </x:c>
      <x:c r="C60" s="30" t="str">
        <x:v>estimated</x:v>
      </x:c>
      <x:c r="D60" s="30" t="str">
        <x:v>buildings</x:v>
      </x:c>
      <x:c r="E60" s="47" t="n">
        <x:f>SUMIFS('By structure'!$E$6:$E$701,'By structure'!$A$6:$A$701,A60,'By structure'!$D$6:$D$701,B60)</x:f>
        <x:v>147</x:v>
      </x:c>
      <x:c r="F60" s="47" t="n">
        <x:v>147</x:v>
      </x:c>
      <x:c r="G60" s="47" t="n">
        <x:f>E60-F60</x:f>
        <x:v>0</x:v>
      </x:c>
      <x:c r="H60" s="47" t="n">
        <x:v>0</x:v>
      </x:c>
      <x:c r="I60" s="30" t="str">
        <x:f>IF(ABS(G60)&lt;=H60,"Pass","Check")</x:f>
        <x:v>Pass</x:v>
      </x:c>
      <x:c r="J60" s="30" t="str">
        <x:v>BPS-ST-2022</x:v>
      </x:c>
      <x:c r="K60" s="56" t="n">
        <x:v>48</x:v>
      </x:c>
      <x:c r="L60" s="30" t="str">
        <x:v>raw/state/st2022a.txt</x:v>
      </x:c>
    </x:row>
    <x:row r="61" ht="21" customHeight="1">
      <x:c r="A61" s="56" t="n">
        <x:v>2022</x:v>
      </x:c>
      <x:c r="B61" s="30" t="str">
        <x:v>2-unit</x:v>
      </x:c>
      <x:c r="C61" s="30" t="str">
        <x:v>estimated</x:v>
      </x:c>
      <x:c r="D61" s="30" t="str">
        <x:v>units</x:v>
      </x:c>
      <x:c r="E61" s="47" t="n">
        <x:f>SUMIFS('By structure'!$F$6:$F$701,'By structure'!$A$6:$A$701,A61,'By structure'!$D$6:$D$701,B61)</x:f>
        <x:v>294</x:v>
      </x:c>
      <x:c r="F61" s="47" t="n">
        <x:v>294</x:v>
      </x:c>
      <x:c r="G61" s="47" t="n">
        <x:f>E61-F61</x:f>
        <x:v>0</x:v>
      </x:c>
      <x:c r="H61" s="47" t="n">
        <x:v>0</x:v>
      </x:c>
      <x:c r="I61" s="30" t="str">
        <x:f>IF(ABS(G61)&lt;=H61,"Pass","Check")</x:f>
        <x:v>Pass</x:v>
      </x:c>
      <x:c r="J61" s="30" t="str">
        <x:v>BPS-ST-2022</x:v>
      </x:c>
      <x:c r="K61" s="56" t="n">
        <x:v>48</x:v>
      </x:c>
      <x:c r="L61" s="30" t="str">
        <x:v>raw/state/st2022a.txt</x:v>
      </x:c>
    </x:row>
    <x:row r="62" ht="21" customHeight="1">
      <x:c r="A62" s="56" t="n">
        <x:v>2022</x:v>
      </x:c>
      <x:c r="B62" s="30" t="str">
        <x:v>2-unit</x:v>
      </x:c>
      <x:c r="C62" s="30" t="str">
        <x:v>estimated</x:v>
      </x:c>
      <x:c r="D62" s="30" t="str">
        <x:v>valuation_usd</x:v>
      </x:c>
      <x:c r="E62" s="47" t="n">
        <x:f>SUMIFS('By structure'!$G$6:$G$701,'By structure'!$A$6:$A$701,A62,'By structure'!$D$6:$D$701,B62)</x:f>
        <x:v>52494118</x:v>
      </x:c>
      <x:c r="F62" s="47" t="n">
        <x:v>52494000</x:v>
      </x:c>
      <x:c r="G62" s="47" t="n">
        <x:f>E62-F62</x:f>
        <x:v>118</x:v>
      </x:c>
      <x:c r="H62" s="47" t="n">
        <x:v>500</x:v>
      </x:c>
      <x:c r="I62" s="30" t="str">
        <x:f>IF(ABS(G62)&lt;=H62,"Pass","Check")</x:f>
        <x:v>Pass</x:v>
      </x:c>
      <x:c r="J62" s="30" t="str">
        <x:v>BPS-ST-2022</x:v>
      </x:c>
      <x:c r="K62" s="56" t="n">
        <x:v>48</x:v>
      </x:c>
      <x:c r="L62" s="30" t="str">
        <x:v>raw/state/st2022a.txt</x:v>
      </x:c>
    </x:row>
    <x:row r="63" ht="21" customHeight="1">
      <x:c r="A63" s="56" t="n">
        <x:v>2022</x:v>
      </x:c>
      <x:c r="B63" s="30" t="str">
        <x:v>2-unit</x:v>
      </x:c>
      <x:c r="C63" s="30" t="str">
        <x:v>reported</x:v>
      </x:c>
      <x:c r="D63" s="30" t="str">
        <x:v>buildings</x:v>
      </x:c>
      <x:c r="E63" s="47" t="n">
        <x:f>SUMIFS('By structure'!$I$6:$I$701,'By structure'!$A$6:$A$701,A63,'By structure'!$D$6:$D$701,B63)</x:f>
        <x:v>123</x:v>
      </x:c>
      <x:c r="F63" s="47" t="n">
        <x:v>123</x:v>
      </x:c>
      <x:c r="G63" s="47" t="n">
        <x:f>E63-F63</x:f>
        <x:v>0</x:v>
      </x:c>
      <x:c r="H63" s="47" t="n">
        <x:v>0</x:v>
      </x:c>
      <x:c r="I63" s="30" t="str">
        <x:f>IF(ABS(G63)&lt;=H63,"Pass","Check")</x:f>
        <x:v>Pass</x:v>
      </x:c>
      <x:c r="J63" s="30" t="str">
        <x:v>BPS-ST-2022</x:v>
      </x:c>
      <x:c r="K63" s="56" t="n">
        <x:v>48</x:v>
      </x:c>
      <x:c r="L63" s="30" t="str">
        <x:v>raw/state/st2022a.txt</x:v>
      </x:c>
    </x:row>
    <x:row r="64" ht="21" customHeight="1">
      <x:c r="A64" s="56" t="n">
        <x:v>2022</x:v>
      </x:c>
      <x:c r="B64" s="30" t="str">
        <x:v>2-unit</x:v>
      </x:c>
      <x:c r="C64" s="30" t="str">
        <x:v>reported</x:v>
      </x:c>
      <x:c r="D64" s="30" t="str">
        <x:v>units</x:v>
      </x:c>
      <x:c r="E64" s="47" t="n">
        <x:f>SUMIFS('By structure'!$H$6:$H$701,'By structure'!$A$6:$A$701,A64,'By structure'!$D$6:$D$701,B64)</x:f>
        <x:v>246</x:v>
      </x:c>
      <x:c r="F64" s="47" t="n">
        <x:v>246</x:v>
      </x:c>
      <x:c r="G64" s="47" t="n">
        <x:f>E64-F64</x:f>
        <x:v>0</x:v>
      </x:c>
      <x:c r="H64" s="47" t="n">
        <x:v>0</x:v>
      </x:c>
      <x:c r="I64" s="30" t="str">
        <x:f>IF(ABS(G64)&lt;=H64,"Pass","Check")</x:f>
        <x:v>Pass</x:v>
      </x:c>
      <x:c r="J64" s="30" t="str">
        <x:v>BPS-ST-2022</x:v>
      </x:c>
      <x:c r="K64" s="56" t="n">
        <x:v>48</x:v>
      </x:c>
      <x:c r="L64" s="30" t="str">
        <x:v>raw/state/st2022a.txt</x:v>
      </x:c>
    </x:row>
    <x:row r="65" ht="21" customHeight="1">
      <x:c r="A65" s="56" t="n">
        <x:v>2022</x:v>
      </x:c>
      <x:c r="B65" s="30" t="str">
        <x:v>2-unit</x:v>
      </x:c>
      <x:c r="C65" s="30" t="str">
        <x:v>reported</x:v>
      </x:c>
      <x:c r="D65" s="30" t="str">
        <x:v>valuation_usd</x:v>
      </x:c>
      <x:c r="E65" s="47" t="n">
        <x:f>SUMIFS('By structure'!$J$6:$J$701,'By structure'!$A$6:$A$701,A65,'By structure'!$D$6:$D$701,B65)</x:f>
        <x:v>47854280</x:v>
      </x:c>
      <x:c r="F65" s="47" t="n">
        <x:v>47854000</x:v>
      </x:c>
      <x:c r="G65" s="47" t="n">
        <x:f>E65-F65</x:f>
        <x:v>280</x:v>
      </x:c>
      <x:c r="H65" s="47" t="n">
        <x:v>500</x:v>
      </x:c>
      <x:c r="I65" s="30" t="str">
        <x:f>IF(ABS(G65)&lt;=H65,"Pass","Check")</x:f>
        <x:v>Pass</x:v>
      </x:c>
      <x:c r="J65" s="30" t="str">
        <x:v>BPS-ST-2022</x:v>
      </x:c>
      <x:c r="K65" s="56" t="n">
        <x:v>48</x:v>
      </x:c>
      <x:c r="L65" s="30" t="str">
        <x:v>raw/state/st2022a.txt</x:v>
      </x:c>
    </x:row>
    <x:row r="66" ht="21" customHeight="1">
      <x:c r="A66" s="56" t="n">
        <x:v>2022</x:v>
      </x:c>
      <x:c r="B66" s="30" t="str">
        <x:v>3-4-unit</x:v>
      </x:c>
      <x:c r="C66" s="30" t="str">
        <x:v>estimated</x:v>
      </x:c>
      <x:c r="D66" s="30" t="str">
        <x:v>buildings</x:v>
      </x:c>
      <x:c r="E66" s="47" t="n">
        <x:f>SUMIFS('By structure'!$E$6:$E$701,'By structure'!$A$6:$A$701,A66,'By structure'!$D$6:$D$701,B66)</x:f>
        <x:v>139</x:v>
      </x:c>
      <x:c r="F66" s="47" t="n">
        <x:v>139</x:v>
      </x:c>
      <x:c r="G66" s="47" t="n">
        <x:f>E66-F66</x:f>
        <x:v>0</x:v>
      </x:c>
      <x:c r="H66" s="47" t="n">
        <x:v>0</x:v>
      </x:c>
      <x:c r="I66" s="30" t="str">
        <x:f>IF(ABS(G66)&lt;=H66,"Pass","Check")</x:f>
        <x:v>Pass</x:v>
      </x:c>
      <x:c r="J66" s="30" t="str">
        <x:v>BPS-ST-2022</x:v>
      </x:c>
      <x:c r="K66" s="56" t="n">
        <x:v>48</x:v>
      </x:c>
      <x:c r="L66" s="30" t="str">
        <x:v>raw/state/st2022a.txt</x:v>
      </x:c>
    </x:row>
    <x:row r="67" ht="21" customHeight="1">
      <x:c r="A67" s="56" t="n">
        <x:v>2022</x:v>
      </x:c>
      <x:c r="B67" s="30" t="str">
        <x:v>3-4-unit</x:v>
      </x:c>
      <x:c r="C67" s="30" t="str">
        <x:v>estimated</x:v>
      </x:c>
      <x:c r="D67" s="30" t="str">
        <x:v>units</x:v>
      </x:c>
      <x:c r="E67" s="47" t="n">
        <x:f>SUMIFS('By structure'!$F$6:$F$701,'By structure'!$A$6:$A$701,A67,'By structure'!$D$6:$D$701,B67)</x:f>
        <x:v>512</x:v>
      </x:c>
      <x:c r="F67" s="47" t="n">
        <x:v>512</x:v>
      </x:c>
      <x:c r="G67" s="47" t="n">
        <x:f>E67-F67</x:f>
        <x:v>0</x:v>
      </x:c>
      <x:c r="H67" s="47" t="n">
        <x:v>0</x:v>
      </x:c>
      <x:c r="I67" s="30" t="str">
        <x:f>IF(ABS(G67)&lt;=H67,"Pass","Check")</x:f>
        <x:v>Pass</x:v>
      </x:c>
      <x:c r="J67" s="30" t="str">
        <x:v>BPS-ST-2022</x:v>
      </x:c>
      <x:c r="K67" s="56" t="n">
        <x:v>48</x:v>
      </x:c>
      <x:c r="L67" s="30" t="str">
        <x:v>raw/state/st2022a.txt</x:v>
      </x:c>
    </x:row>
    <x:row r="68" ht="21" customHeight="1">
      <x:c r="A68" s="56" t="n">
        <x:v>2022</x:v>
      </x:c>
      <x:c r="B68" s="30" t="str">
        <x:v>3-4-unit</x:v>
      </x:c>
      <x:c r="C68" s="30" t="str">
        <x:v>estimated</x:v>
      </x:c>
      <x:c r="D68" s="30" t="str">
        <x:v>valuation_usd</x:v>
      </x:c>
      <x:c r="E68" s="47" t="n">
        <x:f>SUMIFS('By structure'!$G$6:$G$701,'By structure'!$A$6:$A$701,A68,'By structure'!$D$6:$D$701,B68)</x:f>
        <x:v>93177339</x:v>
      </x:c>
      <x:c r="F68" s="47" t="n">
        <x:v>93177000</x:v>
      </x:c>
      <x:c r="G68" s="47" t="n">
        <x:f>E68-F68</x:f>
        <x:v>339</x:v>
      </x:c>
      <x:c r="H68" s="47" t="n">
        <x:v>500</x:v>
      </x:c>
      <x:c r="I68" s="30" t="str">
        <x:f>IF(ABS(G68)&lt;=H68,"Pass","Check")</x:f>
        <x:v>Pass</x:v>
      </x:c>
      <x:c r="J68" s="30" t="str">
        <x:v>BPS-ST-2022</x:v>
      </x:c>
      <x:c r="K68" s="56" t="n">
        <x:v>48</x:v>
      </x:c>
      <x:c r="L68" s="30" t="str">
        <x:v>raw/state/st2022a.txt</x:v>
      </x:c>
    </x:row>
    <x:row r="69" ht="21" customHeight="1">
      <x:c r="A69" s="56" t="n">
        <x:v>2022</x:v>
      </x:c>
      <x:c r="B69" s="30" t="str">
        <x:v>3-4-unit</x:v>
      </x:c>
      <x:c r="C69" s="30" t="str">
        <x:v>reported</x:v>
      </x:c>
      <x:c r="D69" s="30" t="str">
        <x:v>buildings</x:v>
      </x:c>
      <x:c r="E69" s="47" t="n">
        <x:f>SUMIFS('By structure'!$I$6:$I$701,'By structure'!$A$6:$A$701,A69,'By structure'!$D$6:$D$701,B69)</x:f>
        <x:v>116</x:v>
      </x:c>
      <x:c r="F69" s="47" t="n">
        <x:v>116</x:v>
      </x:c>
      <x:c r="G69" s="47" t="n">
        <x:f>E69-F69</x:f>
        <x:v>0</x:v>
      </x:c>
      <x:c r="H69" s="47" t="n">
        <x:v>0</x:v>
      </x:c>
      <x:c r="I69" s="30" t="str">
        <x:f>IF(ABS(G69)&lt;=H69,"Pass","Check")</x:f>
        <x:v>Pass</x:v>
      </x:c>
      <x:c r="J69" s="30" t="str">
        <x:v>BPS-ST-2022</x:v>
      </x:c>
      <x:c r="K69" s="56" t="n">
        <x:v>48</x:v>
      </x:c>
      <x:c r="L69" s="30" t="str">
        <x:v>raw/state/st2022a.txt</x:v>
      </x:c>
    </x:row>
    <x:row r="70" ht="21" customHeight="1">
      <x:c r="A70" s="56" t="n">
        <x:v>2022</x:v>
      </x:c>
      <x:c r="B70" s="30" t="str">
        <x:v>3-4-unit</x:v>
      </x:c>
      <x:c r="C70" s="30" t="str">
        <x:v>reported</x:v>
      </x:c>
      <x:c r="D70" s="30" t="str">
        <x:v>units</x:v>
      </x:c>
      <x:c r="E70" s="47" t="n">
        <x:f>SUMIFS('By structure'!$H$6:$H$701,'By structure'!$A$6:$A$701,A70,'By structure'!$D$6:$D$701,B70)</x:f>
        <x:v>434</x:v>
      </x:c>
      <x:c r="F70" s="47" t="n">
        <x:v>434</x:v>
      </x:c>
      <x:c r="G70" s="47" t="n">
        <x:f>E70-F70</x:f>
        <x:v>0</x:v>
      </x:c>
      <x:c r="H70" s="47" t="n">
        <x:v>0</x:v>
      </x:c>
      <x:c r="I70" s="30" t="str">
        <x:f>IF(ABS(G70)&lt;=H70,"Pass","Check")</x:f>
        <x:v>Pass</x:v>
      </x:c>
      <x:c r="J70" s="30" t="str">
        <x:v>BPS-ST-2022</x:v>
      </x:c>
      <x:c r="K70" s="56" t="n">
        <x:v>48</x:v>
      </x:c>
      <x:c r="L70" s="30" t="str">
        <x:v>raw/state/st2022a.txt</x:v>
      </x:c>
    </x:row>
    <x:row r="71" ht="21" customHeight="1">
      <x:c r="A71" s="56" t="n">
        <x:v>2022</x:v>
      </x:c>
      <x:c r="B71" s="30" t="str">
        <x:v>3-4-unit</x:v>
      </x:c>
      <x:c r="C71" s="30" t="str">
        <x:v>reported</x:v>
      </x:c>
      <x:c r="D71" s="30" t="str">
        <x:v>valuation_usd</x:v>
      </x:c>
      <x:c r="E71" s="47" t="n">
        <x:f>SUMIFS('By structure'!$J$6:$J$701,'By structure'!$A$6:$A$701,A71,'By structure'!$D$6:$D$701,B71)</x:f>
        <x:v>79272266</x:v>
      </x:c>
      <x:c r="F71" s="47" t="n">
        <x:v>79272000</x:v>
      </x:c>
      <x:c r="G71" s="47" t="n">
        <x:f>E71-F71</x:f>
        <x:v>266</x:v>
      </x:c>
      <x:c r="H71" s="47" t="n">
        <x:v>500</x:v>
      </x:c>
      <x:c r="I71" s="30" t="str">
        <x:f>IF(ABS(G71)&lt;=H71,"Pass","Check")</x:f>
        <x:v>Pass</x:v>
      </x:c>
      <x:c r="J71" s="30" t="str">
        <x:v>BPS-ST-2022</x:v>
      </x:c>
      <x:c r="K71" s="56" t="n">
        <x:v>48</x:v>
      </x:c>
      <x:c r="L71" s="30" t="str">
        <x:v>raw/state/st2022a.txt</x:v>
      </x:c>
    </x:row>
    <x:row r="72" ht="21" customHeight="1">
      <x:c r="A72" s="56" t="n">
        <x:v>2022</x:v>
      </x:c>
      <x:c r="B72" s="30" t="str">
        <x:v>5-plus-unit</x:v>
      </x:c>
      <x:c r="C72" s="30" t="str">
        <x:v>estimated</x:v>
      </x:c>
      <x:c r="D72" s="30" t="str">
        <x:v>buildings</x:v>
      </x:c>
      <x:c r="E72" s="47" t="n">
        <x:f>SUMIFS('By structure'!$E$6:$E$701,'By structure'!$A$6:$A$701,A72,'By structure'!$D$6:$D$701,B72)</x:f>
        <x:v>463</x:v>
      </x:c>
      <x:c r="F72" s="47" t="n">
        <x:v>463</x:v>
      </x:c>
      <x:c r="G72" s="47" t="n">
        <x:f>E72-F72</x:f>
        <x:v>0</x:v>
      </x:c>
      <x:c r="H72" s="47" t="n">
        <x:v>0</x:v>
      </x:c>
      <x:c r="I72" s="30" t="str">
        <x:f>IF(ABS(G72)&lt;=H72,"Pass","Check")</x:f>
        <x:v>Pass</x:v>
      </x:c>
      <x:c r="J72" s="30" t="str">
        <x:v>BPS-ST-2022</x:v>
      </x:c>
      <x:c r="K72" s="56" t="n">
        <x:v>48</x:v>
      </x:c>
      <x:c r="L72" s="30" t="str">
        <x:v>raw/state/st2022a.txt</x:v>
      </x:c>
    </x:row>
    <x:row r="73" ht="21" customHeight="1">
      <x:c r="A73" s="56" t="n">
        <x:v>2022</x:v>
      </x:c>
      <x:c r="B73" s="30" t="str">
        <x:v>5-plus-unit</x:v>
      </x:c>
      <x:c r="C73" s="30" t="str">
        <x:v>estimated</x:v>
      </x:c>
      <x:c r="D73" s="30" t="str">
        <x:v>units</x:v>
      </x:c>
      <x:c r="E73" s="47" t="n">
        <x:f>SUMIFS('By structure'!$F$6:$F$701,'By structure'!$A$6:$A$701,A73,'By structure'!$D$6:$D$701,B73)</x:f>
        <x:v>11811</x:v>
      </x:c>
      <x:c r="F73" s="47" t="n">
        <x:v>11811</x:v>
      </x:c>
      <x:c r="G73" s="47" t="n">
        <x:f>E73-F73</x:f>
        <x:v>0</x:v>
      </x:c>
      <x:c r="H73" s="47" t="n">
        <x:v>0</x:v>
      </x:c>
      <x:c r="I73" s="30" t="str">
        <x:f>IF(ABS(G73)&lt;=H73,"Pass","Check")</x:f>
        <x:v>Pass</x:v>
      </x:c>
      <x:c r="J73" s="30" t="str">
        <x:v>BPS-ST-2022</x:v>
      </x:c>
      <x:c r="K73" s="56" t="n">
        <x:v>48</x:v>
      </x:c>
      <x:c r="L73" s="30" t="str">
        <x:v>raw/state/st2022a.txt</x:v>
      </x:c>
    </x:row>
    <x:row r="74" ht="21" customHeight="1">
      <x:c r="A74" s="56" t="n">
        <x:v>2022</x:v>
      </x:c>
      <x:c r="B74" s="30" t="str">
        <x:v>5-plus-unit</x:v>
      </x:c>
      <x:c r="C74" s="30" t="str">
        <x:v>estimated</x:v>
      </x:c>
      <x:c r="D74" s="30" t="str">
        <x:v>valuation_usd</x:v>
      </x:c>
      <x:c r="E74" s="47" t="n">
        <x:f>SUMIFS('By structure'!$G$6:$G$701,'By structure'!$A$6:$A$701,A74,'By structure'!$D$6:$D$701,B74)</x:f>
        <x:v>1827365231</x:v>
      </x:c>
      <x:c r="F74" s="47" t="n">
        <x:v>1827365000</x:v>
      </x:c>
      <x:c r="G74" s="47" t="n">
        <x:f>E74-F74</x:f>
        <x:v>231</x:v>
      </x:c>
      <x:c r="H74" s="47" t="n">
        <x:v>500</x:v>
      </x:c>
      <x:c r="I74" s="30" t="str">
        <x:f>IF(ABS(G74)&lt;=H74,"Pass","Check")</x:f>
        <x:v>Pass</x:v>
      </x:c>
      <x:c r="J74" s="30" t="str">
        <x:v>BPS-ST-2022</x:v>
      </x:c>
      <x:c r="K74" s="56" t="n">
        <x:v>48</x:v>
      </x:c>
      <x:c r="L74" s="30" t="str">
        <x:v>raw/state/st2022a.txt</x:v>
      </x:c>
    </x:row>
    <x:row r="75" ht="21" customHeight="1">
      <x:c r="A75" s="56" t="n">
        <x:v>2022</x:v>
      </x:c>
      <x:c r="B75" s="30" t="str">
        <x:v>5-plus-unit</x:v>
      </x:c>
      <x:c r="C75" s="30" t="str">
        <x:v>reported</x:v>
      </x:c>
      <x:c r="D75" s="30" t="str">
        <x:v>buildings</x:v>
      </x:c>
      <x:c r="E75" s="47" t="n">
        <x:f>SUMIFS('By structure'!$I$6:$I$701,'By structure'!$A$6:$A$701,A75,'By structure'!$D$6:$D$701,B75)</x:f>
        <x:v>399</x:v>
      </x:c>
      <x:c r="F75" s="47" t="n">
        <x:v>399</x:v>
      </x:c>
      <x:c r="G75" s="47" t="n">
        <x:f>E75-F75</x:f>
        <x:v>0</x:v>
      </x:c>
      <x:c r="H75" s="47" t="n">
        <x:v>0</x:v>
      </x:c>
      <x:c r="I75" s="30" t="str">
        <x:f>IF(ABS(G75)&lt;=H75,"Pass","Check")</x:f>
        <x:v>Pass</x:v>
      </x:c>
      <x:c r="J75" s="30" t="str">
        <x:v>BPS-ST-2022</x:v>
      </x:c>
      <x:c r="K75" s="56" t="n">
        <x:v>48</x:v>
      </x:c>
      <x:c r="L75" s="30" t="str">
        <x:v>raw/state/st2022a.txt</x:v>
      </x:c>
    </x:row>
    <x:row r="76" ht="21" customHeight="1">
      <x:c r="A76" s="56" t="n">
        <x:v>2022</x:v>
      </x:c>
      <x:c r="B76" s="30" t="str">
        <x:v>5-plus-unit</x:v>
      </x:c>
      <x:c r="C76" s="30" t="str">
        <x:v>reported</x:v>
      </x:c>
      <x:c r="D76" s="30" t="str">
        <x:v>units</x:v>
      </x:c>
      <x:c r="E76" s="47" t="n">
        <x:f>SUMIFS('By structure'!$H$6:$H$701,'By structure'!$A$6:$A$701,A76,'By structure'!$D$6:$D$701,B76)</x:f>
        <x:v>8065</x:v>
      </x:c>
      <x:c r="F76" s="47" t="n">
        <x:v>8065</x:v>
      </x:c>
      <x:c r="G76" s="47" t="n">
        <x:f>E76-F76</x:f>
        <x:v>0</x:v>
      </x:c>
      <x:c r="H76" s="47" t="n">
        <x:v>0</x:v>
      </x:c>
      <x:c r="I76" s="30" t="str">
        <x:f>IF(ABS(G76)&lt;=H76,"Pass","Check")</x:f>
        <x:v>Pass</x:v>
      </x:c>
      <x:c r="J76" s="30" t="str">
        <x:v>BPS-ST-2022</x:v>
      </x:c>
      <x:c r="K76" s="56" t="n">
        <x:v>48</x:v>
      </x:c>
      <x:c r="L76" s="30" t="str">
        <x:v>raw/state/st2022a.txt</x:v>
      </x:c>
    </x:row>
    <x:row r="77" ht="21" customHeight="1">
      <x:c r="A77" s="56" t="n">
        <x:v>2022</x:v>
      </x:c>
      <x:c r="B77" s="30" t="str">
        <x:v>5-plus-unit</x:v>
      </x:c>
      <x:c r="C77" s="30" t="str">
        <x:v>reported</x:v>
      </x:c>
      <x:c r="D77" s="30" t="str">
        <x:v>valuation_usd</x:v>
      </x:c>
      <x:c r="E77" s="47" t="n">
        <x:f>SUMIFS('By structure'!$J$6:$J$701,'By structure'!$A$6:$A$701,A77,'By structure'!$D$6:$D$701,B77)</x:f>
        <x:v>1324295861</x:v>
      </x:c>
      <x:c r="F77" s="47" t="n">
        <x:v>1324296000</x:v>
      </x:c>
      <x:c r="G77" s="47" t="n">
        <x:f>E77-F77</x:f>
        <x:v>-139</x:v>
      </x:c>
      <x:c r="H77" s="47" t="n">
        <x:v>500</x:v>
      </x:c>
      <x:c r="I77" s="30" t="str">
        <x:f>IF(ABS(G77)&lt;=H77,"Pass","Check")</x:f>
        <x:v>Pass</x:v>
      </x:c>
      <x:c r="J77" s="30" t="str">
        <x:v>BPS-ST-2022</x:v>
      </x:c>
      <x:c r="K77" s="56" t="n">
        <x:v>48</x:v>
      </x:c>
      <x:c r="L77" s="30" t="str">
        <x:v>raw/state/st2022a.txt</x:v>
      </x:c>
    </x:row>
    <x:row r="78" ht="21" customHeight="1">
      <x:c r="A78" s="56" t="n">
        <x:v>2023</x:v>
      </x:c>
      <x:c r="B78" s="30" t="str">
        <x:v>1-unit</x:v>
      </x:c>
      <x:c r="C78" s="30" t="str">
        <x:v>estimated</x:v>
      </x:c>
      <x:c r="D78" s="30" t="str">
        <x:v>buildings</x:v>
      </x:c>
      <x:c r="E78" s="47" t="n">
        <x:f>SUMIFS('By structure'!$E$6:$E$701,'By structure'!$A$6:$A$701,A78,'By structure'!$D$6:$D$701,B78)</x:f>
        <x:v>14913</x:v>
      </x:c>
      <x:c r="F78" s="47" t="n">
        <x:v>14913</x:v>
      </x:c>
      <x:c r="G78" s="47" t="n">
        <x:f>E78-F78</x:f>
        <x:v>0</x:v>
      </x:c>
      <x:c r="H78" s="47" t="n">
        <x:v>0</x:v>
      </x:c>
      <x:c r="I78" s="30" t="str">
        <x:f>IF(ABS(G78)&lt;=H78,"Pass","Check")</x:f>
        <x:v>Pass</x:v>
      </x:c>
      <x:c r="J78" s="30" t="str">
        <x:v>BPS-ST-2023</x:v>
      </x:c>
      <x:c r="K78" s="56" t="n">
        <x:v>48</x:v>
      </x:c>
      <x:c r="L78" s="30" t="str">
        <x:v>raw/state/st2023a.txt</x:v>
      </x:c>
    </x:row>
    <x:row r="79" ht="21" customHeight="1">
      <x:c r="A79" s="56" t="n">
        <x:v>2023</x:v>
      </x:c>
      <x:c r="B79" s="30" t="str">
        <x:v>1-unit</x:v>
      </x:c>
      <x:c r="C79" s="30" t="str">
        <x:v>estimated</x:v>
      </x:c>
      <x:c r="D79" s="30" t="str">
        <x:v>units</x:v>
      </x:c>
      <x:c r="E79" s="47" t="n">
        <x:f>SUMIFS('By structure'!$F$6:$F$701,'By structure'!$A$6:$A$701,A79,'By structure'!$D$6:$D$701,B79)</x:f>
        <x:v>14913</x:v>
      </x:c>
      <x:c r="F79" s="47" t="n">
        <x:v>14913</x:v>
      </x:c>
      <x:c r="G79" s="47" t="n">
        <x:f>E79-F79</x:f>
        <x:v>0</x:v>
      </x:c>
      <x:c r="H79" s="47" t="n">
        <x:v>0</x:v>
      </x:c>
      <x:c r="I79" s="30" t="str">
        <x:f>IF(ABS(G79)&lt;=H79,"Pass","Check")</x:f>
        <x:v>Pass</x:v>
      </x:c>
      <x:c r="J79" s="30" t="str">
        <x:v>BPS-ST-2023</x:v>
      </x:c>
      <x:c r="K79" s="56" t="n">
        <x:v>48</x:v>
      </x:c>
      <x:c r="L79" s="30" t="str">
        <x:v>raw/state/st2023a.txt</x:v>
      </x:c>
    </x:row>
    <x:row r="80" ht="21" customHeight="1">
      <x:c r="A80" s="56" t="n">
        <x:v>2023</x:v>
      </x:c>
      <x:c r="B80" s="30" t="str">
        <x:v>1-unit</x:v>
      </x:c>
      <x:c r="C80" s="30" t="str">
        <x:v>estimated</x:v>
      </x:c>
      <x:c r="D80" s="30" t="str">
        <x:v>valuation_usd</x:v>
      </x:c>
      <x:c r="E80" s="47" t="n">
        <x:f>SUMIFS('By structure'!$G$6:$G$701,'By structure'!$A$6:$A$701,A80,'By structure'!$D$6:$D$701,B80)</x:f>
        <x:v>5032659922</x:v>
      </x:c>
      <x:c r="F80" s="47" t="n">
        <x:v>5032660000</x:v>
      </x:c>
      <x:c r="G80" s="47" t="n">
        <x:f>E80-F80</x:f>
        <x:v>-78</x:v>
      </x:c>
      <x:c r="H80" s="47" t="n">
        <x:v>500</x:v>
      </x:c>
      <x:c r="I80" s="30" t="str">
        <x:f>IF(ABS(G80)&lt;=H80,"Pass","Check")</x:f>
        <x:v>Pass</x:v>
      </x:c>
      <x:c r="J80" s="30" t="str">
        <x:v>BPS-ST-2023</x:v>
      </x:c>
      <x:c r="K80" s="56" t="n">
        <x:v>48</x:v>
      </x:c>
      <x:c r="L80" s="30" t="str">
        <x:v>raw/state/st2023a.txt</x:v>
      </x:c>
    </x:row>
    <x:row r="81" ht="21" customHeight="1">
      <x:c r="A81" s="56" t="n">
        <x:v>2023</x:v>
      </x:c>
      <x:c r="B81" s="30" t="str">
        <x:v>1-unit</x:v>
      </x:c>
      <x:c r="C81" s="30" t="str">
        <x:v>reported</x:v>
      </x:c>
      <x:c r="D81" s="30" t="str">
        <x:v>buildings</x:v>
      </x:c>
      <x:c r="E81" s="47" t="n">
        <x:f>SUMIFS('By structure'!$I$6:$I$701,'By structure'!$A$6:$A$701,A81,'By structure'!$D$6:$D$701,B81)</x:f>
        <x:v>13972</x:v>
      </x:c>
      <x:c r="F81" s="47" t="n">
        <x:v>13972</x:v>
      </x:c>
      <x:c r="G81" s="47" t="n">
        <x:f>E81-F81</x:f>
        <x:v>0</x:v>
      </x:c>
      <x:c r="H81" s="47" t="n">
        <x:v>0</x:v>
      </x:c>
      <x:c r="I81" s="30" t="str">
        <x:f>IF(ABS(G81)&lt;=H81,"Pass","Check")</x:f>
        <x:v>Pass</x:v>
      </x:c>
      <x:c r="J81" s="30" t="str">
        <x:v>BPS-ST-2023</x:v>
      </x:c>
      <x:c r="K81" s="56" t="n">
        <x:v>48</x:v>
      </x:c>
      <x:c r="L81" s="30" t="str">
        <x:v>raw/state/st2023a.txt</x:v>
      </x:c>
    </x:row>
    <x:row r="82" ht="21" customHeight="1">
      <x:c r="A82" s="56" t="n">
        <x:v>2023</x:v>
      </x:c>
      <x:c r="B82" s="30" t="str">
        <x:v>1-unit</x:v>
      </x:c>
      <x:c r="C82" s="30" t="str">
        <x:v>reported</x:v>
      </x:c>
      <x:c r="D82" s="30" t="str">
        <x:v>units</x:v>
      </x:c>
      <x:c r="E82" s="47" t="n">
        <x:f>SUMIFS('By structure'!$H$6:$H$701,'By structure'!$A$6:$A$701,A82,'By structure'!$D$6:$D$701,B82)</x:f>
        <x:v>13972</x:v>
      </x:c>
      <x:c r="F82" s="47" t="n">
        <x:v>13972</x:v>
      </x:c>
      <x:c r="G82" s="47" t="n">
        <x:f>E82-F82</x:f>
        <x:v>0</x:v>
      </x:c>
      <x:c r="H82" s="47" t="n">
        <x:v>0</x:v>
      </x:c>
      <x:c r="I82" s="30" t="str">
        <x:f>IF(ABS(G82)&lt;=H82,"Pass","Check")</x:f>
        <x:v>Pass</x:v>
      </x:c>
      <x:c r="J82" s="30" t="str">
        <x:v>BPS-ST-2023</x:v>
      </x:c>
      <x:c r="K82" s="56" t="n">
        <x:v>48</x:v>
      </x:c>
      <x:c r="L82" s="30" t="str">
        <x:v>raw/state/st2023a.txt</x:v>
      </x:c>
    </x:row>
    <x:row r="83" ht="21" customHeight="1">
      <x:c r="A83" s="56" t="n">
        <x:v>2023</x:v>
      </x:c>
      <x:c r="B83" s="30" t="str">
        <x:v>1-unit</x:v>
      </x:c>
      <x:c r="C83" s="30" t="str">
        <x:v>reported</x:v>
      </x:c>
      <x:c r="D83" s="30" t="str">
        <x:v>valuation_usd</x:v>
      </x:c>
      <x:c r="E83" s="47" t="n">
        <x:f>SUMIFS('By structure'!$J$6:$J$701,'By structure'!$A$6:$A$701,A83,'By structure'!$D$6:$D$701,B83)</x:f>
        <x:v>4740745337</x:v>
      </x:c>
      <x:c r="F83" s="47" t="n">
        <x:v>4740745000</x:v>
      </x:c>
      <x:c r="G83" s="47" t="n">
        <x:f>E83-F83</x:f>
        <x:v>337</x:v>
      </x:c>
      <x:c r="H83" s="47" t="n">
        <x:v>500</x:v>
      </x:c>
      <x:c r="I83" s="30" t="str">
        <x:f>IF(ABS(G83)&lt;=H83,"Pass","Check")</x:f>
        <x:v>Pass</x:v>
      </x:c>
      <x:c r="J83" s="30" t="str">
        <x:v>BPS-ST-2023</x:v>
      </x:c>
      <x:c r="K83" s="56" t="n">
        <x:v>48</x:v>
      </x:c>
      <x:c r="L83" s="30" t="str">
        <x:v>raw/state/st2023a.txt</x:v>
      </x:c>
    </x:row>
    <x:row r="84" ht="21" customHeight="1">
      <x:c r="A84" s="56" t="n">
        <x:v>2023</x:v>
      </x:c>
      <x:c r="B84" s="30" t="str">
        <x:v>2-unit</x:v>
      </x:c>
      <x:c r="C84" s="30" t="str">
        <x:v>estimated</x:v>
      </x:c>
      <x:c r="D84" s="30" t="str">
        <x:v>buildings</x:v>
      </x:c>
      <x:c r="E84" s="47" t="n">
        <x:f>SUMIFS('By structure'!$E$6:$E$701,'By structure'!$A$6:$A$701,A84,'By structure'!$D$6:$D$701,B84)</x:f>
        <x:v>112</x:v>
      </x:c>
      <x:c r="F84" s="47" t="n">
        <x:v>112</x:v>
      </x:c>
      <x:c r="G84" s="47" t="n">
        <x:f>E84-F84</x:f>
        <x:v>0</x:v>
      </x:c>
      <x:c r="H84" s="47" t="n">
        <x:v>0</x:v>
      </x:c>
      <x:c r="I84" s="30" t="str">
        <x:f>IF(ABS(G84)&lt;=H84,"Pass","Check")</x:f>
        <x:v>Pass</x:v>
      </x:c>
      <x:c r="J84" s="30" t="str">
        <x:v>BPS-ST-2023</x:v>
      </x:c>
      <x:c r="K84" s="56" t="n">
        <x:v>48</x:v>
      </x:c>
      <x:c r="L84" s="30" t="str">
        <x:v>raw/state/st2023a.txt</x:v>
      </x:c>
    </x:row>
    <x:row r="85" ht="21" customHeight="1">
      <x:c r="A85" s="56" t="n">
        <x:v>2023</x:v>
      </x:c>
      <x:c r="B85" s="30" t="str">
        <x:v>2-unit</x:v>
      </x:c>
      <x:c r="C85" s="30" t="str">
        <x:v>estimated</x:v>
      </x:c>
      <x:c r="D85" s="30" t="str">
        <x:v>units</x:v>
      </x:c>
      <x:c r="E85" s="47" t="n">
        <x:f>SUMIFS('By structure'!$F$6:$F$701,'By structure'!$A$6:$A$701,A85,'By structure'!$D$6:$D$701,B85)</x:f>
        <x:v>224</x:v>
      </x:c>
      <x:c r="F85" s="47" t="n">
        <x:v>224</x:v>
      </x:c>
      <x:c r="G85" s="47" t="n">
        <x:f>E85-F85</x:f>
        <x:v>0</x:v>
      </x:c>
      <x:c r="H85" s="47" t="n">
        <x:v>0</x:v>
      </x:c>
      <x:c r="I85" s="30" t="str">
        <x:f>IF(ABS(G85)&lt;=H85,"Pass","Check")</x:f>
        <x:v>Pass</x:v>
      </x:c>
      <x:c r="J85" s="30" t="str">
        <x:v>BPS-ST-2023</x:v>
      </x:c>
      <x:c r="K85" s="56" t="n">
        <x:v>48</x:v>
      </x:c>
      <x:c r="L85" s="30" t="str">
        <x:v>raw/state/st2023a.txt</x:v>
      </x:c>
    </x:row>
    <x:row r="86" ht="21" customHeight="1">
      <x:c r="A86" s="56" t="n">
        <x:v>2023</x:v>
      </x:c>
      <x:c r="B86" s="30" t="str">
        <x:v>2-unit</x:v>
      </x:c>
      <x:c r="C86" s="30" t="str">
        <x:v>estimated</x:v>
      </x:c>
      <x:c r="D86" s="30" t="str">
        <x:v>valuation_usd</x:v>
      </x:c>
      <x:c r="E86" s="47" t="n">
        <x:f>SUMIFS('By structure'!$G$6:$G$701,'By structure'!$A$6:$A$701,A86,'By structure'!$D$6:$D$701,B86)</x:f>
        <x:v>41001639</x:v>
      </x:c>
      <x:c r="F86" s="47" t="n">
        <x:v>41002000</x:v>
      </x:c>
      <x:c r="G86" s="47" t="n">
        <x:f>E86-F86</x:f>
        <x:v>-361</x:v>
      </x:c>
      <x:c r="H86" s="47" t="n">
        <x:v>500</x:v>
      </x:c>
      <x:c r="I86" s="30" t="str">
        <x:f>IF(ABS(G86)&lt;=H86,"Pass","Check")</x:f>
        <x:v>Pass</x:v>
      </x:c>
      <x:c r="J86" s="30" t="str">
        <x:v>BPS-ST-2023</x:v>
      </x:c>
      <x:c r="K86" s="56" t="n">
        <x:v>48</x:v>
      </x:c>
      <x:c r="L86" s="30" t="str">
        <x:v>raw/state/st2023a.txt</x:v>
      </x:c>
    </x:row>
    <x:row r="87" ht="21" customHeight="1">
      <x:c r="A87" s="56" t="n">
        <x:v>2023</x:v>
      </x:c>
      <x:c r="B87" s="30" t="str">
        <x:v>2-unit</x:v>
      </x:c>
      <x:c r="C87" s="30" t="str">
        <x:v>reported</x:v>
      </x:c>
      <x:c r="D87" s="30" t="str">
        <x:v>buildings</x:v>
      </x:c>
      <x:c r="E87" s="47" t="n">
        <x:f>SUMIFS('By structure'!$I$6:$I$701,'By structure'!$A$6:$A$701,A87,'By structure'!$D$6:$D$701,B87)</x:f>
        <x:v>87</x:v>
      </x:c>
      <x:c r="F87" s="47" t="n">
        <x:v>87</x:v>
      </x:c>
      <x:c r="G87" s="47" t="n">
        <x:f>E87-F87</x:f>
        <x:v>0</x:v>
      </x:c>
      <x:c r="H87" s="47" t="n">
        <x:v>0</x:v>
      </x:c>
      <x:c r="I87" s="30" t="str">
        <x:f>IF(ABS(G87)&lt;=H87,"Pass","Check")</x:f>
        <x:v>Pass</x:v>
      </x:c>
      <x:c r="J87" s="30" t="str">
        <x:v>BPS-ST-2023</x:v>
      </x:c>
      <x:c r="K87" s="56" t="n">
        <x:v>48</x:v>
      </x:c>
      <x:c r="L87" s="30" t="str">
        <x:v>raw/state/st2023a.txt</x:v>
      </x:c>
    </x:row>
    <x:row r="88" ht="21" customHeight="1">
      <x:c r="A88" s="56" t="n">
        <x:v>2023</x:v>
      </x:c>
      <x:c r="B88" s="30" t="str">
        <x:v>2-unit</x:v>
      </x:c>
      <x:c r="C88" s="30" t="str">
        <x:v>reported</x:v>
      </x:c>
      <x:c r="D88" s="30" t="str">
        <x:v>units</x:v>
      </x:c>
      <x:c r="E88" s="47" t="n">
        <x:f>SUMIFS('By structure'!$H$6:$H$701,'By structure'!$A$6:$A$701,A88,'By structure'!$D$6:$D$701,B88)</x:f>
        <x:v>174</x:v>
      </x:c>
      <x:c r="F88" s="47" t="n">
        <x:v>174</x:v>
      </x:c>
      <x:c r="G88" s="47" t="n">
        <x:f>E88-F88</x:f>
        <x:v>0</x:v>
      </x:c>
      <x:c r="H88" s="47" t="n">
        <x:v>0</x:v>
      </x:c>
      <x:c r="I88" s="30" t="str">
        <x:f>IF(ABS(G88)&lt;=H88,"Pass","Check")</x:f>
        <x:v>Pass</x:v>
      </x:c>
      <x:c r="J88" s="30" t="str">
        <x:v>BPS-ST-2023</x:v>
      </x:c>
      <x:c r="K88" s="56" t="n">
        <x:v>48</x:v>
      </x:c>
      <x:c r="L88" s="30" t="str">
        <x:v>raw/state/st2023a.txt</x:v>
      </x:c>
    </x:row>
    <x:row r="89" ht="21" customHeight="1">
      <x:c r="A89" s="56" t="n">
        <x:v>2023</x:v>
      </x:c>
      <x:c r="B89" s="30" t="str">
        <x:v>2-unit</x:v>
      </x:c>
      <x:c r="C89" s="30" t="str">
        <x:v>reported</x:v>
      </x:c>
      <x:c r="D89" s="30" t="str">
        <x:v>valuation_usd</x:v>
      </x:c>
      <x:c r="E89" s="47" t="n">
        <x:f>SUMIFS('By structure'!$J$6:$J$701,'By structure'!$A$6:$A$701,A89,'By structure'!$D$6:$D$701,B89)</x:f>
        <x:v>35055866</x:v>
      </x:c>
      <x:c r="F89" s="47" t="n">
        <x:v>35056000</x:v>
      </x:c>
      <x:c r="G89" s="47" t="n">
        <x:f>E89-F89</x:f>
        <x:v>-134</x:v>
      </x:c>
      <x:c r="H89" s="47" t="n">
        <x:v>500</x:v>
      </x:c>
      <x:c r="I89" s="30" t="str">
        <x:f>IF(ABS(G89)&lt;=H89,"Pass","Check")</x:f>
        <x:v>Pass</x:v>
      </x:c>
      <x:c r="J89" s="30" t="str">
        <x:v>BPS-ST-2023</x:v>
      </x:c>
      <x:c r="K89" s="56" t="n">
        <x:v>48</x:v>
      </x:c>
      <x:c r="L89" s="30" t="str">
        <x:v>raw/state/st2023a.txt</x:v>
      </x:c>
    </x:row>
    <x:row r="90" ht="21" customHeight="1">
      <x:c r="A90" s="56" t="n">
        <x:v>2023</x:v>
      </x:c>
      <x:c r="B90" s="30" t="str">
        <x:v>3-4-unit</x:v>
      </x:c>
      <x:c r="C90" s="30" t="str">
        <x:v>estimated</x:v>
      </x:c>
      <x:c r="D90" s="30" t="str">
        <x:v>buildings</x:v>
      </x:c>
      <x:c r="E90" s="47" t="n">
        <x:f>SUMIFS('By structure'!$E$6:$E$701,'By structure'!$A$6:$A$701,A90,'By structure'!$D$6:$D$701,B90)</x:f>
        <x:v>194</x:v>
      </x:c>
      <x:c r="F90" s="47" t="n">
        <x:v>194</x:v>
      </x:c>
      <x:c r="G90" s="47" t="n">
        <x:f>E90-F90</x:f>
        <x:v>0</x:v>
      </x:c>
      <x:c r="H90" s="47" t="n">
        <x:v>0</x:v>
      </x:c>
      <x:c r="I90" s="30" t="str">
        <x:f>IF(ABS(G90)&lt;=H90,"Pass","Check")</x:f>
        <x:v>Pass</x:v>
      </x:c>
      <x:c r="J90" s="30" t="str">
        <x:v>BPS-ST-2023</x:v>
      </x:c>
      <x:c r="K90" s="56" t="n">
        <x:v>48</x:v>
      </x:c>
      <x:c r="L90" s="30" t="str">
        <x:v>raw/state/st2023a.txt</x:v>
      </x:c>
    </x:row>
    <x:row r="91" ht="21" customHeight="1">
      <x:c r="A91" s="56" t="n">
        <x:v>2023</x:v>
      </x:c>
      <x:c r="B91" s="30" t="str">
        <x:v>3-4-unit</x:v>
      </x:c>
      <x:c r="C91" s="30" t="str">
        <x:v>estimated</x:v>
      </x:c>
      <x:c r="D91" s="30" t="str">
        <x:v>units</x:v>
      </x:c>
      <x:c r="E91" s="47" t="n">
        <x:f>SUMIFS('By structure'!$F$6:$F$701,'By structure'!$A$6:$A$701,A91,'By structure'!$D$6:$D$701,B91)</x:f>
        <x:v>712</x:v>
      </x:c>
      <x:c r="F91" s="47" t="n">
        <x:v>712</x:v>
      </x:c>
      <x:c r="G91" s="47" t="n">
        <x:f>E91-F91</x:f>
        <x:v>0</x:v>
      </x:c>
      <x:c r="H91" s="47" t="n">
        <x:v>0</x:v>
      </x:c>
      <x:c r="I91" s="30" t="str">
        <x:f>IF(ABS(G91)&lt;=H91,"Pass","Check")</x:f>
        <x:v>Pass</x:v>
      </x:c>
      <x:c r="J91" s="30" t="str">
        <x:v>BPS-ST-2023</x:v>
      </x:c>
      <x:c r="K91" s="56" t="n">
        <x:v>48</x:v>
      </x:c>
      <x:c r="L91" s="30" t="str">
        <x:v>raw/state/st2023a.txt</x:v>
      </x:c>
    </x:row>
    <x:row r="92" ht="21" customHeight="1">
      <x:c r="A92" s="56" t="n">
        <x:v>2023</x:v>
      </x:c>
      <x:c r="B92" s="30" t="str">
        <x:v>3-4-unit</x:v>
      </x:c>
      <x:c r="C92" s="30" t="str">
        <x:v>estimated</x:v>
      </x:c>
      <x:c r="D92" s="30" t="str">
        <x:v>valuation_usd</x:v>
      </x:c>
      <x:c r="E92" s="47" t="n">
        <x:f>SUMIFS('By structure'!$G$6:$G$701,'By structure'!$A$6:$A$701,A92,'By structure'!$D$6:$D$701,B92)</x:f>
        <x:v>144458237</x:v>
      </x:c>
      <x:c r="F92" s="47" t="n">
        <x:v>144458000</x:v>
      </x:c>
      <x:c r="G92" s="47" t="n">
        <x:f>E92-F92</x:f>
        <x:v>237</x:v>
      </x:c>
      <x:c r="H92" s="47" t="n">
        <x:v>500</x:v>
      </x:c>
      <x:c r="I92" s="30" t="str">
        <x:f>IF(ABS(G92)&lt;=H92,"Pass","Check")</x:f>
        <x:v>Pass</x:v>
      </x:c>
      <x:c r="J92" s="30" t="str">
        <x:v>BPS-ST-2023</x:v>
      </x:c>
      <x:c r="K92" s="56" t="n">
        <x:v>48</x:v>
      </x:c>
      <x:c r="L92" s="30" t="str">
        <x:v>raw/state/st2023a.txt</x:v>
      </x:c>
    </x:row>
    <x:row r="93" ht="21" customHeight="1">
      <x:c r="A93" s="56" t="n">
        <x:v>2023</x:v>
      </x:c>
      <x:c r="B93" s="30" t="str">
        <x:v>3-4-unit</x:v>
      </x:c>
      <x:c r="C93" s="30" t="str">
        <x:v>reported</x:v>
      </x:c>
      <x:c r="D93" s="30" t="str">
        <x:v>buildings</x:v>
      </x:c>
      <x:c r="E93" s="47" t="n">
        <x:f>SUMIFS('By structure'!$I$6:$I$701,'By structure'!$A$6:$A$701,A93,'By structure'!$D$6:$D$701,B93)</x:f>
        <x:v>165</x:v>
      </x:c>
      <x:c r="F93" s="47" t="n">
        <x:v>165</x:v>
      </x:c>
      <x:c r="G93" s="47" t="n">
        <x:f>E93-F93</x:f>
        <x:v>0</x:v>
      </x:c>
      <x:c r="H93" s="47" t="n">
        <x:v>0</x:v>
      </x:c>
      <x:c r="I93" s="30" t="str">
        <x:f>IF(ABS(G93)&lt;=H93,"Pass","Check")</x:f>
        <x:v>Pass</x:v>
      </x:c>
      <x:c r="J93" s="30" t="str">
        <x:v>BPS-ST-2023</x:v>
      </x:c>
      <x:c r="K93" s="56" t="n">
        <x:v>48</x:v>
      </x:c>
      <x:c r="L93" s="30" t="str">
        <x:v>raw/state/st2023a.txt</x:v>
      </x:c>
    </x:row>
    <x:row r="94" ht="21" customHeight="1">
      <x:c r="A94" s="56" t="n">
        <x:v>2023</x:v>
      </x:c>
      <x:c r="B94" s="30" t="str">
        <x:v>3-4-unit</x:v>
      </x:c>
      <x:c r="C94" s="30" t="str">
        <x:v>reported</x:v>
      </x:c>
      <x:c r="D94" s="30" t="str">
        <x:v>units</x:v>
      </x:c>
      <x:c r="E94" s="47" t="n">
        <x:f>SUMIFS('By structure'!$H$6:$H$701,'By structure'!$A$6:$A$701,A94,'By structure'!$D$6:$D$701,B94)</x:f>
        <x:v>620</x:v>
      </x:c>
      <x:c r="F94" s="47" t="n">
        <x:v>620</x:v>
      </x:c>
      <x:c r="G94" s="47" t="n">
        <x:f>E94-F94</x:f>
        <x:v>0</x:v>
      </x:c>
      <x:c r="H94" s="47" t="n">
        <x:v>0</x:v>
      </x:c>
      <x:c r="I94" s="30" t="str">
        <x:f>IF(ABS(G94)&lt;=H94,"Pass","Check")</x:f>
        <x:v>Pass</x:v>
      </x:c>
      <x:c r="J94" s="30" t="str">
        <x:v>BPS-ST-2023</x:v>
      </x:c>
      <x:c r="K94" s="56" t="n">
        <x:v>48</x:v>
      </x:c>
      <x:c r="L94" s="30" t="str">
        <x:v>raw/state/st2023a.txt</x:v>
      </x:c>
    </x:row>
    <x:row r="95" ht="21" customHeight="1">
      <x:c r="A95" s="56" t="n">
        <x:v>2023</x:v>
      </x:c>
      <x:c r="B95" s="30" t="str">
        <x:v>3-4-unit</x:v>
      </x:c>
      <x:c r="C95" s="30" t="str">
        <x:v>reported</x:v>
      </x:c>
      <x:c r="D95" s="30" t="str">
        <x:v>valuation_usd</x:v>
      </x:c>
      <x:c r="E95" s="47" t="n">
        <x:f>SUMIFS('By structure'!$J$6:$J$701,'By structure'!$A$6:$A$701,A95,'By structure'!$D$6:$D$701,B95)</x:f>
        <x:v>128050227</x:v>
      </x:c>
      <x:c r="F95" s="47" t="n">
        <x:v>128050000</x:v>
      </x:c>
      <x:c r="G95" s="47" t="n">
        <x:f>E95-F95</x:f>
        <x:v>227</x:v>
      </x:c>
      <x:c r="H95" s="47" t="n">
        <x:v>500</x:v>
      </x:c>
      <x:c r="I95" s="30" t="str">
        <x:f>IF(ABS(G95)&lt;=H95,"Pass","Check")</x:f>
        <x:v>Pass</x:v>
      </x:c>
      <x:c r="J95" s="30" t="str">
        <x:v>BPS-ST-2023</x:v>
      </x:c>
      <x:c r="K95" s="56" t="n">
        <x:v>48</x:v>
      </x:c>
      <x:c r="L95" s="30" t="str">
        <x:v>raw/state/st2023a.txt</x:v>
      </x:c>
    </x:row>
    <x:row r="96" ht="21" customHeight="1">
      <x:c r="A96" s="56" t="n">
        <x:v>2023</x:v>
      </x:c>
      <x:c r="B96" s="30" t="str">
        <x:v>5-plus-unit</x:v>
      </x:c>
      <x:c r="C96" s="30" t="str">
        <x:v>estimated</x:v>
      </x:c>
      <x:c r="D96" s="30" t="str">
        <x:v>buildings</x:v>
      </x:c>
      <x:c r="E96" s="47" t="n">
        <x:f>SUMIFS('By structure'!$E$6:$E$701,'By structure'!$A$6:$A$701,A96,'By structure'!$D$6:$D$701,B96)</x:f>
        <x:v>412</x:v>
      </x:c>
      <x:c r="F96" s="47" t="n">
        <x:v>412</x:v>
      </x:c>
      <x:c r="G96" s="47" t="n">
        <x:f>E96-F96</x:f>
        <x:v>0</x:v>
      </x:c>
      <x:c r="H96" s="47" t="n">
        <x:v>0</x:v>
      </x:c>
      <x:c r="I96" s="30" t="str">
        <x:f>IF(ABS(G96)&lt;=H96,"Pass","Check")</x:f>
        <x:v>Pass</x:v>
      </x:c>
      <x:c r="J96" s="30" t="str">
        <x:v>BPS-ST-2023</x:v>
      </x:c>
      <x:c r="K96" s="56" t="n">
        <x:v>48</x:v>
      </x:c>
      <x:c r="L96" s="30" t="str">
        <x:v>raw/state/st2023a.txt</x:v>
      </x:c>
    </x:row>
    <x:row r="97" ht="21" customHeight="1">
      <x:c r="A97" s="56" t="n">
        <x:v>2023</x:v>
      </x:c>
      <x:c r="B97" s="30" t="str">
        <x:v>5-plus-unit</x:v>
      </x:c>
      <x:c r="C97" s="30" t="str">
        <x:v>estimated</x:v>
      </x:c>
      <x:c r="D97" s="30" t="str">
        <x:v>units</x:v>
      </x:c>
      <x:c r="E97" s="47" t="n">
        <x:f>SUMIFS('By structure'!$F$6:$F$701,'By structure'!$A$6:$A$701,A97,'By structure'!$D$6:$D$701,B97)</x:f>
        <x:v>9512</x:v>
      </x:c>
      <x:c r="F97" s="47" t="n">
        <x:v>9512</x:v>
      </x:c>
      <x:c r="G97" s="47" t="n">
        <x:f>E97-F97</x:f>
        <x:v>0</x:v>
      </x:c>
      <x:c r="H97" s="47" t="n">
        <x:v>0</x:v>
      </x:c>
      <x:c r="I97" s="30" t="str">
        <x:f>IF(ABS(G97)&lt;=H97,"Pass","Check")</x:f>
        <x:v>Pass</x:v>
      </x:c>
      <x:c r="J97" s="30" t="str">
        <x:v>BPS-ST-2023</x:v>
      </x:c>
      <x:c r="K97" s="56" t="n">
        <x:v>48</x:v>
      </x:c>
      <x:c r="L97" s="30" t="str">
        <x:v>raw/state/st2023a.txt</x:v>
      </x:c>
    </x:row>
    <x:row r="98" ht="21" customHeight="1">
      <x:c r="A98" s="56" t="n">
        <x:v>2023</x:v>
      </x:c>
      <x:c r="B98" s="30" t="str">
        <x:v>5-plus-unit</x:v>
      </x:c>
      <x:c r="C98" s="30" t="str">
        <x:v>estimated</x:v>
      </x:c>
      <x:c r="D98" s="30" t="str">
        <x:v>valuation_usd</x:v>
      </x:c>
      <x:c r="E98" s="47" t="n">
        <x:f>SUMIFS('By structure'!$G$6:$G$701,'By structure'!$A$6:$A$701,A98,'By structure'!$D$6:$D$701,B98)</x:f>
        <x:v>1769020860</x:v>
      </x:c>
      <x:c r="F98" s="47" t="n">
        <x:v>1769021000</x:v>
      </x:c>
      <x:c r="G98" s="47" t="n">
        <x:f>E98-F98</x:f>
        <x:v>-140</x:v>
      </x:c>
      <x:c r="H98" s="47" t="n">
        <x:v>500</x:v>
      </x:c>
      <x:c r="I98" s="30" t="str">
        <x:f>IF(ABS(G98)&lt;=H98,"Pass","Check")</x:f>
        <x:v>Pass</x:v>
      </x:c>
      <x:c r="J98" s="30" t="str">
        <x:v>BPS-ST-2023</x:v>
      </x:c>
      <x:c r="K98" s="56" t="n">
        <x:v>48</x:v>
      </x:c>
      <x:c r="L98" s="30" t="str">
        <x:v>raw/state/st2023a.txt</x:v>
      </x:c>
    </x:row>
    <x:row r="99" ht="21" customHeight="1">
      <x:c r="A99" s="56" t="n">
        <x:v>2023</x:v>
      </x:c>
      <x:c r="B99" s="30" t="str">
        <x:v>5-plus-unit</x:v>
      </x:c>
      <x:c r="C99" s="30" t="str">
        <x:v>reported</x:v>
      </x:c>
      <x:c r="D99" s="30" t="str">
        <x:v>buildings</x:v>
      </x:c>
      <x:c r="E99" s="47" t="n">
        <x:f>SUMIFS('By structure'!$I$6:$I$701,'By structure'!$A$6:$A$701,A99,'By structure'!$D$6:$D$701,B99)</x:f>
        <x:v>337</x:v>
      </x:c>
      <x:c r="F99" s="47" t="n">
        <x:v>337</x:v>
      </x:c>
      <x:c r="G99" s="47" t="n">
        <x:f>E99-F99</x:f>
        <x:v>0</x:v>
      </x:c>
      <x:c r="H99" s="47" t="n">
        <x:v>0</x:v>
      </x:c>
      <x:c r="I99" s="30" t="str">
        <x:f>IF(ABS(G99)&lt;=H99,"Pass","Check")</x:f>
        <x:v>Pass</x:v>
      </x:c>
      <x:c r="J99" s="30" t="str">
        <x:v>BPS-ST-2023</x:v>
      </x:c>
      <x:c r="K99" s="56" t="n">
        <x:v>48</x:v>
      </x:c>
      <x:c r="L99" s="30" t="str">
        <x:v>raw/state/st2023a.txt</x:v>
      </x:c>
    </x:row>
    <x:row r="100" ht="21" customHeight="1">
      <x:c r="A100" s="56" t="n">
        <x:v>2023</x:v>
      </x:c>
      <x:c r="B100" s="30" t="str">
        <x:v>5-plus-unit</x:v>
      </x:c>
      <x:c r="C100" s="30" t="str">
        <x:v>reported</x:v>
      </x:c>
      <x:c r="D100" s="30" t="str">
        <x:v>units</x:v>
      </x:c>
      <x:c r="E100" s="47" t="n">
        <x:f>SUMIFS('By structure'!$H$6:$H$701,'By structure'!$A$6:$A$701,A100,'By structure'!$D$6:$D$701,B100)</x:f>
        <x:v>6377</x:v>
      </x:c>
      <x:c r="F100" s="47" t="n">
        <x:v>6377</x:v>
      </x:c>
      <x:c r="G100" s="47" t="n">
        <x:f>E100-F100</x:f>
        <x:v>0</x:v>
      </x:c>
      <x:c r="H100" s="47" t="n">
        <x:v>0</x:v>
      </x:c>
      <x:c r="I100" s="30" t="str">
        <x:f>IF(ABS(G100)&lt;=H100,"Pass","Check")</x:f>
        <x:v>Pass</x:v>
      </x:c>
      <x:c r="J100" s="30" t="str">
        <x:v>BPS-ST-2023</x:v>
      </x:c>
      <x:c r="K100" s="56" t="n">
        <x:v>48</x:v>
      </x:c>
      <x:c r="L100" s="30" t="str">
        <x:v>raw/state/st2023a.txt</x:v>
      </x:c>
    </x:row>
    <x:row r="101" ht="21" customHeight="1">
      <x:c r="A101" s="56" t="n">
        <x:v>2023</x:v>
      </x:c>
      <x:c r="B101" s="30" t="str">
        <x:v>5-plus-unit</x:v>
      </x:c>
      <x:c r="C101" s="30" t="str">
        <x:v>reported</x:v>
      </x:c>
      <x:c r="D101" s="30" t="str">
        <x:v>valuation_usd</x:v>
      </x:c>
      <x:c r="E101" s="47" t="n">
        <x:f>SUMIFS('By structure'!$J$6:$J$701,'By structure'!$A$6:$A$701,A101,'By structure'!$D$6:$D$701,B101)</x:f>
        <x:v>1335319139</x:v>
      </x:c>
      <x:c r="F101" s="47" t="n">
        <x:v>1335319000</x:v>
      </x:c>
      <x:c r="G101" s="47" t="n">
        <x:f>E101-F101</x:f>
        <x:v>139</x:v>
      </x:c>
      <x:c r="H101" s="47" t="n">
        <x:v>500</x:v>
      </x:c>
      <x:c r="I101" s="30" t="str">
        <x:f>IF(ABS(G101)&lt;=H101,"Pass","Check")</x:f>
        <x:v>Pass</x:v>
      </x:c>
      <x:c r="J101" s="30" t="str">
        <x:v>BPS-ST-2023</x:v>
      </x:c>
      <x:c r="K101" s="56" t="n">
        <x:v>48</x:v>
      </x:c>
      <x:c r="L101" s="30" t="str">
        <x:v>raw/state/st2023a.txt</x:v>
      </x:c>
    </x:row>
    <x:row r="102" ht="21" customHeight="1">
      <x:c r="A102" s="56" t="n">
        <x:v>2024</x:v>
      </x:c>
      <x:c r="B102" s="30" t="str">
        <x:v>1-unit</x:v>
      </x:c>
      <x:c r="C102" s="30" t="str">
        <x:v>estimated</x:v>
      </x:c>
      <x:c r="D102" s="30" t="str">
        <x:v>buildings</x:v>
      </x:c>
      <x:c r="E102" s="47" t="n">
        <x:f>SUMIFS('By structure'!$E$6:$E$701,'By structure'!$A$6:$A$701,A102,'By structure'!$D$6:$D$701,B102)</x:f>
        <x:v>17674</x:v>
      </x:c>
      <x:c r="F102" s="47" t="n">
        <x:v>17674</x:v>
      </x:c>
      <x:c r="G102" s="47" t="n">
        <x:f>E102-F102</x:f>
        <x:v>0</x:v>
      </x:c>
      <x:c r="H102" s="47" t="n">
        <x:v>0</x:v>
      </x:c>
      <x:c r="I102" s="30" t="str">
        <x:f>IF(ABS(G102)&lt;=H102,"Pass","Check")</x:f>
        <x:v>Pass</x:v>
      </x:c>
      <x:c r="J102" s="30" t="str">
        <x:v>BPS-ST-2024</x:v>
      </x:c>
      <x:c r="K102" s="56" t="n">
        <x:v>48</x:v>
      </x:c>
      <x:c r="L102" s="30" t="str">
        <x:v>raw/state/st2024a.txt</x:v>
      </x:c>
    </x:row>
    <x:row r="103" ht="21" customHeight="1">
      <x:c r="A103" s="56" t="n">
        <x:v>2024</x:v>
      </x:c>
      <x:c r="B103" s="30" t="str">
        <x:v>1-unit</x:v>
      </x:c>
      <x:c r="C103" s="30" t="str">
        <x:v>estimated</x:v>
      </x:c>
      <x:c r="D103" s="30" t="str">
        <x:v>units</x:v>
      </x:c>
      <x:c r="E103" s="47" t="n">
        <x:f>SUMIFS('By structure'!$F$6:$F$701,'By structure'!$A$6:$A$701,A103,'By structure'!$D$6:$D$701,B103)</x:f>
        <x:v>17674</x:v>
      </x:c>
      <x:c r="F103" s="47" t="n">
        <x:v>17674</x:v>
      </x:c>
      <x:c r="G103" s="47" t="n">
        <x:f>E103-F103</x:f>
        <x:v>0</x:v>
      </x:c>
      <x:c r="H103" s="47" t="n">
        <x:v>0</x:v>
      </x:c>
      <x:c r="I103" s="30" t="str">
        <x:f>IF(ABS(G103)&lt;=H103,"Pass","Check")</x:f>
        <x:v>Pass</x:v>
      </x:c>
      <x:c r="J103" s="30" t="str">
        <x:v>BPS-ST-2024</x:v>
      </x:c>
      <x:c r="K103" s="56" t="n">
        <x:v>48</x:v>
      </x:c>
      <x:c r="L103" s="30" t="str">
        <x:v>raw/state/st2024a.txt</x:v>
      </x:c>
    </x:row>
    <x:row r="104" ht="21" customHeight="1">
      <x:c r="A104" s="56" t="n">
        <x:v>2024</x:v>
      </x:c>
      <x:c r="B104" s="30" t="str">
        <x:v>1-unit</x:v>
      </x:c>
      <x:c r="C104" s="30" t="str">
        <x:v>estimated</x:v>
      </x:c>
      <x:c r="D104" s="30" t="str">
        <x:v>valuation_usd</x:v>
      </x:c>
      <x:c r="E104" s="47" t="n">
        <x:f>SUMIFS('By structure'!$G$6:$G$701,'By structure'!$A$6:$A$701,A104,'By structure'!$D$6:$D$701,B104)</x:f>
        <x:v>6194638554</x:v>
      </x:c>
      <x:c r="F104" s="47" t="n">
        <x:v>6194639000</x:v>
      </x:c>
      <x:c r="G104" s="47" t="n">
        <x:f>E104-F104</x:f>
        <x:v>-446</x:v>
      </x:c>
      <x:c r="H104" s="47" t="n">
        <x:v>500</x:v>
      </x:c>
      <x:c r="I104" s="30" t="str">
        <x:f>IF(ABS(G104)&lt;=H104,"Pass","Check")</x:f>
        <x:v>Pass</x:v>
      </x:c>
      <x:c r="J104" s="30" t="str">
        <x:v>BPS-ST-2024</x:v>
      </x:c>
      <x:c r="K104" s="56" t="n">
        <x:v>48</x:v>
      </x:c>
      <x:c r="L104" s="30" t="str">
        <x:v>raw/state/st2024a.txt</x:v>
      </x:c>
    </x:row>
    <x:row r="105" ht="21" customHeight="1">
      <x:c r="A105" s="56" t="n">
        <x:v>2024</x:v>
      </x:c>
      <x:c r="B105" s="30" t="str">
        <x:v>1-unit</x:v>
      </x:c>
      <x:c r="C105" s="30" t="str">
        <x:v>reported</x:v>
      </x:c>
      <x:c r="D105" s="30" t="str">
        <x:v>buildings</x:v>
      </x:c>
      <x:c r="E105" s="47" t="n">
        <x:f>SUMIFS('By structure'!$I$6:$I$701,'By structure'!$A$6:$A$701,A105,'By structure'!$D$6:$D$701,B105)</x:f>
        <x:v>16850</x:v>
      </x:c>
      <x:c r="F105" s="47" t="n">
        <x:v>16850</x:v>
      </x:c>
      <x:c r="G105" s="47" t="n">
        <x:f>E105-F105</x:f>
        <x:v>0</x:v>
      </x:c>
      <x:c r="H105" s="47" t="n">
        <x:v>0</x:v>
      </x:c>
      <x:c r="I105" s="30" t="str">
        <x:f>IF(ABS(G105)&lt;=H105,"Pass","Check")</x:f>
        <x:v>Pass</x:v>
      </x:c>
      <x:c r="J105" s="30" t="str">
        <x:v>BPS-ST-2024</x:v>
      </x:c>
      <x:c r="K105" s="56" t="n">
        <x:v>48</x:v>
      </x:c>
      <x:c r="L105" s="30" t="str">
        <x:v>raw/state/st2024a.txt</x:v>
      </x:c>
    </x:row>
    <x:row r="106" ht="21" customHeight="1">
      <x:c r="A106" s="56" t="n">
        <x:v>2024</x:v>
      </x:c>
      <x:c r="B106" s="30" t="str">
        <x:v>1-unit</x:v>
      </x:c>
      <x:c r="C106" s="30" t="str">
        <x:v>reported</x:v>
      </x:c>
      <x:c r="D106" s="30" t="str">
        <x:v>units</x:v>
      </x:c>
      <x:c r="E106" s="47" t="n">
        <x:f>SUMIFS('By structure'!$H$6:$H$701,'By structure'!$A$6:$A$701,A106,'By structure'!$D$6:$D$701,B106)</x:f>
        <x:v>16850</x:v>
      </x:c>
      <x:c r="F106" s="47" t="n">
        <x:v>16850</x:v>
      </x:c>
      <x:c r="G106" s="47" t="n">
        <x:f>E106-F106</x:f>
        <x:v>0</x:v>
      </x:c>
      <x:c r="H106" s="47" t="n">
        <x:v>0</x:v>
      </x:c>
      <x:c r="I106" s="30" t="str">
        <x:f>IF(ABS(G106)&lt;=H106,"Pass","Check")</x:f>
        <x:v>Pass</x:v>
      </x:c>
      <x:c r="J106" s="30" t="str">
        <x:v>BPS-ST-2024</x:v>
      </x:c>
      <x:c r="K106" s="56" t="n">
        <x:v>48</x:v>
      </x:c>
      <x:c r="L106" s="30" t="str">
        <x:v>raw/state/st2024a.txt</x:v>
      </x:c>
    </x:row>
    <x:row r="107" ht="21" customHeight="1">
      <x:c r="A107" s="56" t="n">
        <x:v>2024</x:v>
      </x:c>
      <x:c r="B107" s="30" t="str">
        <x:v>1-unit</x:v>
      </x:c>
      <x:c r="C107" s="30" t="str">
        <x:v>reported</x:v>
      </x:c>
      <x:c r="D107" s="30" t="str">
        <x:v>valuation_usd</x:v>
      </x:c>
      <x:c r="E107" s="47" t="n">
        <x:f>SUMIFS('By structure'!$J$6:$J$701,'By structure'!$A$6:$A$701,A107,'By structure'!$D$6:$D$701,B107)</x:f>
        <x:v>5965563779</x:v>
      </x:c>
      <x:c r="F107" s="47" t="n">
        <x:v>5965564000</x:v>
      </x:c>
      <x:c r="G107" s="47" t="n">
        <x:f>E107-F107</x:f>
        <x:v>-221</x:v>
      </x:c>
      <x:c r="H107" s="47" t="n">
        <x:v>500</x:v>
      </x:c>
      <x:c r="I107" s="30" t="str">
        <x:f>IF(ABS(G107)&lt;=H107,"Pass","Check")</x:f>
        <x:v>Pass</x:v>
      </x:c>
      <x:c r="J107" s="30" t="str">
        <x:v>BPS-ST-2024</x:v>
      </x:c>
      <x:c r="K107" s="56" t="n">
        <x:v>48</x:v>
      </x:c>
      <x:c r="L107" s="30" t="str">
        <x:v>raw/state/st2024a.txt</x:v>
      </x:c>
    </x:row>
    <x:row r="108" ht="21" customHeight="1">
      <x:c r="A108" s="56" t="n">
        <x:v>2024</x:v>
      </x:c>
      <x:c r="B108" s="30" t="str">
        <x:v>2-unit</x:v>
      </x:c>
      <x:c r="C108" s="30" t="str">
        <x:v>estimated</x:v>
      </x:c>
      <x:c r="D108" s="30" t="str">
        <x:v>buildings</x:v>
      </x:c>
      <x:c r="E108" s="47" t="n">
        <x:f>SUMIFS('By structure'!$E$6:$E$701,'By structure'!$A$6:$A$701,A108,'By structure'!$D$6:$D$701,B108)</x:f>
        <x:v>92</x:v>
      </x:c>
      <x:c r="F108" s="47" t="n">
        <x:v>92</x:v>
      </x:c>
      <x:c r="G108" s="47" t="n">
        <x:f>E108-F108</x:f>
        <x:v>0</x:v>
      </x:c>
      <x:c r="H108" s="47" t="n">
        <x:v>0</x:v>
      </x:c>
      <x:c r="I108" s="30" t="str">
        <x:f>IF(ABS(G108)&lt;=H108,"Pass","Check")</x:f>
        <x:v>Pass</x:v>
      </x:c>
      <x:c r="J108" s="30" t="str">
        <x:v>BPS-ST-2024</x:v>
      </x:c>
      <x:c r="K108" s="56" t="n">
        <x:v>48</x:v>
      </x:c>
      <x:c r="L108" s="30" t="str">
        <x:v>raw/state/st2024a.txt</x:v>
      </x:c>
    </x:row>
    <x:row r="109" ht="21" customHeight="1">
      <x:c r="A109" s="56" t="n">
        <x:v>2024</x:v>
      </x:c>
      <x:c r="B109" s="30" t="str">
        <x:v>2-unit</x:v>
      </x:c>
      <x:c r="C109" s="30" t="str">
        <x:v>estimated</x:v>
      </x:c>
      <x:c r="D109" s="30" t="str">
        <x:v>units</x:v>
      </x:c>
      <x:c r="E109" s="47" t="n">
        <x:f>SUMIFS('By structure'!$F$6:$F$701,'By structure'!$A$6:$A$701,A109,'By structure'!$D$6:$D$701,B109)</x:f>
        <x:v>184</x:v>
      </x:c>
      <x:c r="F109" s="47" t="n">
        <x:v>184</x:v>
      </x:c>
      <x:c r="G109" s="47" t="n">
        <x:f>E109-F109</x:f>
        <x:v>0</x:v>
      </x:c>
      <x:c r="H109" s="47" t="n">
        <x:v>0</x:v>
      </x:c>
      <x:c r="I109" s="30" t="str">
        <x:f>IF(ABS(G109)&lt;=H109,"Pass","Check")</x:f>
        <x:v>Pass</x:v>
      </x:c>
      <x:c r="J109" s="30" t="str">
        <x:v>BPS-ST-2024</x:v>
      </x:c>
      <x:c r="K109" s="56" t="n">
        <x:v>48</x:v>
      </x:c>
      <x:c r="L109" s="30" t="str">
        <x:v>raw/state/st2024a.txt</x:v>
      </x:c>
    </x:row>
    <x:row r="110" ht="21" customHeight="1">
      <x:c r="A110" s="56" t="n">
        <x:v>2024</x:v>
      </x:c>
      <x:c r="B110" s="30" t="str">
        <x:v>2-unit</x:v>
      </x:c>
      <x:c r="C110" s="30" t="str">
        <x:v>estimated</x:v>
      </x:c>
      <x:c r="D110" s="30" t="str">
        <x:v>valuation_usd</x:v>
      </x:c>
      <x:c r="E110" s="47" t="n">
        <x:f>SUMIFS('By structure'!$G$6:$G$701,'By structure'!$A$6:$A$701,A110,'By structure'!$D$6:$D$701,B110)</x:f>
        <x:v>38266067</x:v>
      </x:c>
      <x:c r="F110" s="47" t="n">
        <x:v>38266000</x:v>
      </x:c>
      <x:c r="G110" s="47" t="n">
        <x:f>E110-F110</x:f>
        <x:v>67</x:v>
      </x:c>
      <x:c r="H110" s="47" t="n">
        <x:v>500</x:v>
      </x:c>
      <x:c r="I110" s="30" t="str">
        <x:f>IF(ABS(G110)&lt;=H110,"Pass","Check")</x:f>
        <x:v>Pass</x:v>
      </x:c>
      <x:c r="J110" s="30" t="str">
        <x:v>BPS-ST-2024</x:v>
      </x:c>
      <x:c r="K110" s="56" t="n">
        <x:v>48</x:v>
      </x:c>
      <x:c r="L110" s="30" t="str">
        <x:v>raw/state/st2024a.txt</x:v>
      </x:c>
    </x:row>
    <x:row r="111" ht="21" customHeight="1">
      <x:c r="A111" s="56" t="n">
        <x:v>2024</x:v>
      </x:c>
      <x:c r="B111" s="30" t="str">
        <x:v>2-unit</x:v>
      </x:c>
      <x:c r="C111" s="30" t="str">
        <x:v>reported</x:v>
      </x:c>
      <x:c r="D111" s="30" t="str">
        <x:v>buildings</x:v>
      </x:c>
      <x:c r="E111" s="47" t="n">
        <x:f>SUMIFS('By structure'!$I$6:$I$701,'By structure'!$A$6:$A$701,A111,'By structure'!$D$6:$D$701,B111)</x:f>
        <x:v>87</x:v>
      </x:c>
      <x:c r="F111" s="47" t="n">
        <x:v>87</x:v>
      </x:c>
      <x:c r="G111" s="47" t="n">
        <x:f>E111-F111</x:f>
        <x:v>0</x:v>
      </x:c>
      <x:c r="H111" s="47" t="n">
        <x:v>0</x:v>
      </x:c>
      <x:c r="I111" s="30" t="str">
        <x:f>IF(ABS(G111)&lt;=H111,"Pass","Check")</x:f>
        <x:v>Pass</x:v>
      </x:c>
      <x:c r="J111" s="30" t="str">
        <x:v>BPS-ST-2024</x:v>
      </x:c>
      <x:c r="K111" s="56" t="n">
        <x:v>48</x:v>
      </x:c>
      <x:c r="L111" s="30" t="str">
        <x:v>raw/state/st2024a.txt</x:v>
      </x:c>
    </x:row>
    <x:row r="112" ht="21" customHeight="1">
      <x:c r="A112" s="56" t="n">
        <x:v>2024</x:v>
      </x:c>
      <x:c r="B112" s="30" t="str">
        <x:v>2-unit</x:v>
      </x:c>
      <x:c r="C112" s="30" t="str">
        <x:v>reported</x:v>
      </x:c>
      <x:c r="D112" s="30" t="str">
        <x:v>units</x:v>
      </x:c>
      <x:c r="E112" s="47" t="n">
        <x:f>SUMIFS('By structure'!$H$6:$H$701,'By structure'!$A$6:$A$701,A112,'By structure'!$D$6:$D$701,B112)</x:f>
        <x:v>174</x:v>
      </x:c>
      <x:c r="F112" s="47" t="n">
        <x:v>174</x:v>
      </x:c>
      <x:c r="G112" s="47" t="n">
        <x:f>E112-F112</x:f>
        <x:v>0</x:v>
      </x:c>
      <x:c r="H112" s="47" t="n">
        <x:v>0</x:v>
      </x:c>
      <x:c r="I112" s="30" t="str">
        <x:f>IF(ABS(G112)&lt;=H112,"Pass","Check")</x:f>
        <x:v>Pass</x:v>
      </x:c>
      <x:c r="J112" s="30" t="str">
        <x:v>BPS-ST-2024</x:v>
      </x:c>
      <x:c r="K112" s="56" t="n">
        <x:v>48</x:v>
      </x:c>
      <x:c r="L112" s="30" t="str">
        <x:v>raw/state/st2024a.txt</x:v>
      </x:c>
    </x:row>
    <x:row r="113" ht="21" customHeight="1">
      <x:c r="A113" s="56" t="n">
        <x:v>2024</x:v>
      </x:c>
      <x:c r="B113" s="30" t="str">
        <x:v>2-unit</x:v>
      </x:c>
      <x:c r="C113" s="30" t="str">
        <x:v>reported</x:v>
      </x:c>
      <x:c r="D113" s="30" t="str">
        <x:v>valuation_usd</x:v>
      </x:c>
      <x:c r="E113" s="47" t="n">
        <x:f>SUMIFS('By structure'!$J$6:$J$701,'By structure'!$A$6:$A$701,A113,'By structure'!$D$6:$D$701,B113)</x:f>
        <x:v>36292661</x:v>
      </x:c>
      <x:c r="F113" s="47" t="n">
        <x:v>36293000</x:v>
      </x:c>
      <x:c r="G113" s="47" t="n">
        <x:f>E113-F113</x:f>
        <x:v>-339</x:v>
      </x:c>
      <x:c r="H113" s="47" t="n">
        <x:v>500</x:v>
      </x:c>
      <x:c r="I113" s="30" t="str">
        <x:f>IF(ABS(G113)&lt;=H113,"Pass","Check")</x:f>
        <x:v>Pass</x:v>
      </x:c>
      <x:c r="J113" s="30" t="str">
        <x:v>BPS-ST-2024</x:v>
      </x:c>
      <x:c r="K113" s="56" t="n">
        <x:v>48</x:v>
      </x:c>
      <x:c r="L113" s="30" t="str">
        <x:v>raw/state/st2024a.txt</x:v>
      </x:c>
    </x:row>
    <x:row r="114" ht="21" customHeight="1">
      <x:c r="A114" s="56" t="n">
        <x:v>2024</x:v>
      </x:c>
      <x:c r="B114" s="30" t="str">
        <x:v>3-4-unit</x:v>
      </x:c>
      <x:c r="C114" s="30" t="str">
        <x:v>estimated</x:v>
      </x:c>
      <x:c r="D114" s="30" t="str">
        <x:v>buildings</x:v>
      </x:c>
      <x:c r="E114" s="47" t="n">
        <x:f>SUMIFS('By structure'!$E$6:$E$701,'By structure'!$A$6:$A$701,A114,'By structure'!$D$6:$D$701,B114)</x:f>
        <x:v>143</x:v>
      </x:c>
      <x:c r="F114" s="47" t="n">
        <x:v>143</x:v>
      </x:c>
      <x:c r="G114" s="47" t="n">
        <x:f>E114-F114</x:f>
        <x:v>0</x:v>
      </x:c>
      <x:c r="H114" s="47" t="n">
        <x:v>0</x:v>
      </x:c>
      <x:c r="I114" s="30" t="str">
        <x:f>IF(ABS(G114)&lt;=H114,"Pass","Check")</x:f>
        <x:v>Pass</x:v>
      </x:c>
      <x:c r="J114" s="30" t="str">
        <x:v>BPS-ST-2024</x:v>
      </x:c>
      <x:c r="K114" s="56" t="n">
        <x:v>48</x:v>
      </x:c>
      <x:c r="L114" s="30" t="str">
        <x:v>raw/state/st2024a.txt</x:v>
      </x:c>
    </x:row>
    <x:row r="115" ht="21" customHeight="1">
      <x:c r="A115" s="56" t="n">
        <x:v>2024</x:v>
      </x:c>
      <x:c r="B115" s="30" t="str">
        <x:v>3-4-unit</x:v>
      </x:c>
      <x:c r="C115" s="30" t="str">
        <x:v>estimated</x:v>
      </x:c>
      <x:c r="D115" s="30" t="str">
        <x:v>units</x:v>
      </x:c>
      <x:c r="E115" s="47" t="n">
        <x:f>SUMIFS('By structure'!$F$6:$F$701,'By structure'!$A$6:$A$701,A115,'By structure'!$D$6:$D$701,B115)</x:f>
        <x:v>521</x:v>
      </x:c>
      <x:c r="F115" s="47" t="n">
        <x:v>521</x:v>
      </x:c>
      <x:c r="G115" s="47" t="n">
        <x:f>E115-F115</x:f>
        <x:v>0</x:v>
      </x:c>
      <x:c r="H115" s="47" t="n">
        <x:v>0</x:v>
      </x:c>
      <x:c r="I115" s="30" t="str">
        <x:f>IF(ABS(G115)&lt;=H115,"Pass","Check")</x:f>
        <x:v>Pass</x:v>
      </x:c>
      <x:c r="J115" s="30" t="str">
        <x:v>BPS-ST-2024</x:v>
      </x:c>
      <x:c r="K115" s="56" t="n">
        <x:v>48</x:v>
      </x:c>
      <x:c r="L115" s="30" t="str">
        <x:v>raw/state/st2024a.txt</x:v>
      </x:c>
    </x:row>
    <x:row r="116" ht="21" customHeight="1">
      <x:c r="A116" s="56" t="n">
        <x:v>2024</x:v>
      </x:c>
      <x:c r="B116" s="30" t="str">
        <x:v>3-4-unit</x:v>
      </x:c>
      <x:c r="C116" s="30" t="str">
        <x:v>estimated</x:v>
      </x:c>
      <x:c r="D116" s="30" t="str">
        <x:v>valuation_usd</x:v>
      </x:c>
      <x:c r="E116" s="47" t="n">
        <x:f>SUMIFS('By structure'!$G$6:$G$701,'By structure'!$A$6:$A$701,A116,'By structure'!$D$6:$D$701,B116)</x:f>
        <x:v>132301451</x:v>
      </x:c>
      <x:c r="F116" s="47" t="n">
        <x:v>132301000</x:v>
      </x:c>
      <x:c r="G116" s="47" t="n">
        <x:f>E116-F116</x:f>
        <x:v>451</x:v>
      </x:c>
      <x:c r="H116" s="47" t="n">
        <x:v>500</x:v>
      </x:c>
      <x:c r="I116" s="30" t="str">
        <x:f>IF(ABS(G116)&lt;=H116,"Pass","Check")</x:f>
        <x:v>Pass</x:v>
      </x:c>
      <x:c r="J116" s="30" t="str">
        <x:v>BPS-ST-2024</x:v>
      </x:c>
      <x:c r="K116" s="56" t="n">
        <x:v>48</x:v>
      </x:c>
      <x:c r="L116" s="30" t="str">
        <x:v>raw/state/st2024a.txt</x:v>
      </x:c>
    </x:row>
    <x:row r="117" ht="21" customHeight="1">
      <x:c r="A117" s="56" t="n">
        <x:v>2024</x:v>
      </x:c>
      <x:c r="B117" s="30" t="str">
        <x:v>3-4-unit</x:v>
      </x:c>
      <x:c r="C117" s="30" t="str">
        <x:v>reported</x:v>
      </x:c>
      <x:c r="D117" s="30" t="str">
        <x:v>buildings</x:v>
      </x:c>
      <x:c r="E117" s="47" t="n">
        <x:f>SUMIFS('By structure'!$I$6:$I$701,'By structure'!$A$6:$A$701,A117,'By structure'!$D$6:$D$701,B117)</x:f>
        <x:v>127</x:v>
      </x:c>
      <x:c r="F117" s="47" t="n">
        <x:v>127</x:v>
      </x:c>
      <x:c r="G117" s="47" t="n">
        <x:f>E117-F117</x:f>
        <x:v>0</x:v>
      </x:c>
      <x:c r="H117" s="47" t="n">
        <x:v>0</x:v>
      </x:c>
      <x:c r="I117" s="30" t="str">
        <x:f>IF(ABS(G117)&lt;=H117,"Pass","Check")</x:f>
        <x:v>Pass</x:v>
      </x:c>
      <x:c r="J117" s="30" t="str">
        <x:v>BPS-ST-2024</x:v>
      </x:c>
      <x:c r="K117" s="56" t="n">
        <x:v>48</x:v>
      </x:c>
      <x:c r="L117" s="30" t="str">
        <x:v>raw/state/st2024a.txt</x:v>
      </x:c>
    </x:row>
    <x:row r="118" ht="21" customHeight="1">
      <x:c r="A118" s="56" t="n">
        <x:v>2024</x:v>
      </x:c>
      <x:c r="B118" s="30" t="str">
        <x:v>3-4-unit</x:v>
      </x:c>
      <x:c r="C118" s="30" t="str">
        <x:v>reported</x:v>
      </x:c>
      <x:c r="D118" s="30" t="str">
        <x:v>units</x:v>
      </x:c>
      <x:c r="E118" s="47" t="n">
        <x:f>SUMIFS('By structure'!$H$6:$H$701,'By structure'!$A$6:$A$701,A118,'By structure'!$D$6:$D$701,B118)</x:f>
        <x:v>468</x:v>
      </x:c>
      <x:c r="F118" s="47" t="n">
        <x:v>468</x:v>
      </x:c>
      <x:c r="G118" s="47" t="n">
        <x:f>E118-F118</x:f>
        <x:v>0</x:v>
      </x:c>
      <x:c r="H118" s="47" t="n">
        <x:v>0</x:v>
      </x:c>
      <x:c r="I118" s="30" t="str">
        <x:f>IF(ABS(G118)&lt;=H118,"Pass","Check")</x:f>
        <x:v>Pass</x:v>
      </x:c>
      <x:c r="J118" s="30" t="str">
        <x:v>BPS-ST-2024</x:v>
      </x:c>
      <x:c r="K118" s="56" t="n">
        <x:v>48</x:v>
      </x:c>
      <x:c r="L118" s="30" t="str">
        <x:v>raw/state/st2024a.txt</x:v>
      </x:c>
    </x:row>
    <x:row r="119" ht="21" customHeight="1">
      <x:c r="A119" s="56" t="n">
        <x:v>2024</x:v>
      </x:c>
      <x:c r="B119" s="30" t="str">
        <x:v>3-4-unit</x:v>
      </x:c>
      <x:c r="C119" s="30" t="str">
        <x:v>reported</x:v>
      </x:c>
      <x:c r="D119" s="30" t="str">
        <x:v>valuation_usd</x:v>
      </x:c>
      <x:c r="E119" s="47" t="n">
        <x:f>SUMIFS('By structure'!$J$6:$J$701,'By structure'!$A$6:$A$701,A119,'By structure'!$D$6:$D$701,B119)</x:f>
        <x:v>122239537</x:v>
      </x:c>
      <x:c r="F119" s="47" t="n">
        <x:v>122240000</x:v>
      </x:c>
      <x:c r="G119" s="47" t="n">
        <x:f>E119-F119</x:f>
        <x:v>-463</x:v>
      </x:c>
      <x:c r="H119" s="47" t="n">
        <x:v>500</x:v>
      </x:c>
      <x:c r="I119" s="30" t="str">
        <x:f>IF(ABS(G119)&lt;=H119,"Pass","Check")</x:f>
        <x:v>Pass</x:v>
      </x:c>
      <x:c r="J119" s="30" t="str">
        <x:v>BPS-ST-2024</x:v>
      </x:c>
      <x:c r="K119" s="56" t="n">
        <x:v>48</x:v>
      </x:c>
      <x:c r="L119" s="30" t="str">
        <x:v>raw/state/st2024a.txt</x:v>
      </x:c>
    </x:row>
    <x:row r="120" ht="21" customHeight="1">
      <x:c r="A120" s="56" t="n">
        <x:v>2024</x:v>
      </x:c>
      <x:c r="B120" s="30" t="str">
        <x:v>5-plus-unit</x:v>
      </x:c>
      <x:c r="C120" s="30" t="str">
        <x:v>estimated</x:v>
      </x:c>
      <x:c r="D120" s="30" t="str">
        <x:v>buildings</x:v>
      </x:c>
      <x:c r="E120" s="47" t="n">
        <x:f>SUMIFS('By structure'!$E$6:$E$701,'By structure'!$A$6:$A$701,A120,'By structure'!$D$6:$D$701,B120)</x:f>
        <x:v>331</x:v>
      </x:c>
      <x:c r="F120" s="47" t="n">
        <x:v>331</x:v>
      </x:c>
      <x:c r="G120" s="47" t="n">
        <x:f>E120-F120</x:f>
        <x:v>0</x:v>
      </x:c>
      <x:c r="H120" s="47" t="n">
        <x:v>0</x:v>
      </x:c>
      <x:c r="I120" s="30" t="str">
        <x:f>IF(ABS(G120)&lt;=H120,"Pass","Check")</x:f>
        <x:v>Pass</x:v>
      </x:c>
      <x:c r="J120" s="30" t="str">
        <x:v>BPS-ST-2024</x:v>
      </x:c>
      <x:c r="K120" s="56" t="n">
        <x:v>48</x:v>
      </x:c>
      <x:c r="L120" s="30" t="str">
        <x:v>raw/state/st2024a.txt</x:v>
      </x:c>
    </x:row>
    <x:row r="121" ht="21" customHeight="1">
      <x:c r="A121" s="56" t="n">
        <x:v>2024</x:v>
      </x:c>
      <x:c r="B121" s="30" t="str">
        <x:v>5-plus-unit</x:v>
      </x:c>
      <x:c r="C121" s="30" t="str">
        <x:v>estimated</x:v>
      </x:c>
      <x:c r="D121" s="30" t="str">
        <x:v>units</x:v>
      </x:c>
      <x:c r="E121" s="47" t="n">
        <x:f>SUMIFS('By structure'!$F$6:$F$701,'By structure'!$A$6:$A$701,A121,'By structure'!$D$6:$D$701,B121)</x:f>
        <x:v>5523</x:v>
      </x:c>
      <x:c r="F121" s="47" t="n">
        <x:v>5523</x:v>
      </x:c>
      <x:c r="G121" s="47" t="n">
        <x:f>E121-F121</x:f>
        <x:v>0</x:v>
      </x:c>
      <x:c r="H121" s="47" t="n">
        <x:v>0</x:v>
      </x:c>
      <x:c r="I121" s="30" t="str">
        <x:f>IF(ABS(G121)&lt;=H121,"Pass","Check")</x:f>
        <x:v>Pass</x:v>
      </x:c>
      <x:c r="J121" s="30" t="str">
        <x:v>BPS-ST-2024</x:v>
      </x:c>
      <x:c r="K121" s="56" t="n">
        <x:v>48</x:v>
      </x:c>
      <x:c r="L121" s="30" t="str">
        <x:v>raw/state/st2024a.txt</x:v>
      </x:c>
    </x:row>
    <x:row r="122" ht="21" customHeight="1">
      <x:c r="A122" s="56" t="n">
        <x:v>2024</x:v>
      </x:c>
      <x:c r="B122" s="30" t="str">
        <x:v>5-plus-unit</x:v>
      </x:c>
      <x:c r="C122" s="30" t="str">
        <x:v>estimated</x:v>
      </x:c>
      <x:c r="D122" s="30" t="str">
        <x:v>valuation_usd</x:v>
      </x:c>
      <x:c r="E122" s="47" t="n">
        <x:f>SUMIFS('By structure'!$G$6:$G$701,'By structure'!$A$6:$A$701,A122,'By structure'!$D$6:$D$701,B122)</x:f>
        <x:v>1055807805</x:v>
      </x:c>
      <x:c r="F122" s="47" t="n">
        <x:v>1055808000</x:v>
      </x:c>
      <x:c r="G122" s="47" t="n">
        <x:f>E122-F122</x:f>
        <x:v>-195</x:v>
      </x:c>
      <x:c r="H122" s="47" t="n">
        <x:v>500</x:v>
      </x:c>
      <x:c r="I122" s="30" t="str">
        <x:f>IF(ABS(G122)&lt;=H122,"Pass","Check")</x:f>
        <x:v>Pass</x:v>
      </x:c>
      <x:c r="J122" s="30" t="str">
        <x:v>BPS-ST-2024</x:v>
      </x:c>
      <x:c r="K122" s="56" t="n">
        <x:v>48</x:v>
      </x:c>
      <x:c r="L122" s="30" t="str">
        <x:v>raw/state/st2024a.txt</x:v>
      </x:c>
    </x:row>
    <x:row r="123" ht="21" customHeight="1">
      <x:c r="A123" s="56" t="n">
        <x:v>2024</x:v>
      </x:c>
      <x:c r="B123" s="30" t="str">
        <x:v>5-plus-unit</x:v>
      </x:c>
      <x:c r="C123" s="30" t="str">
        <x:v>reported</x:v>
      </x:c>
      <x:c r="D123" s="30" t="str">
        <x:v>buildings</x:v>
      </x:c>
      <x:c r="E123" s="47" t="n">
        <x:f>SUMIFS('By structure'!$I$6:$I$701,'By structure'!$A$6:$A$701,A123,'By structure'!$D$6:$D$701,B123)</x:f>
        <x:v>307</x:v>
      </x:c>
      <x:c r="F123" s="47" t="n">
        <x:v>307</x:v>
      </x:c>
      <x:c r="G123" s="47" t="n">
        <x:f>E123-F123</x:f>
        <x:v>0</x:v>
      </x:c>
      <x:c r="H123" s="47" t="n">
        <x:v>0</x:v>
      </x:c>
      <x:c r="I123" s="30" t="str">
        <x:f>IF(ABS(G123)&lt;=H123,"Pass","Check")</x:f>
        <x:v>Pass</x:v>
      </x:c>
      <x:c r="J123" s="30" t="str">
        <x:v>BPS-ST-2024</x:v>
      </x:c>
      <x:c r="K123" s="56" t="n">
        <x:v>48</x:v>
      </x:c>
      <x:c r="L123" s="30" t="str">
        <x:v>raw/state/st2024a.txt</x:v>
      </x:c>
    </x:row>
    <x:row r="124" ht="21" customHeight="1">
      <x:c r="A124" s="56" t="n">
        <x:v>2024</x:v>
      </x:c>
      <x:c r="B124" s="30" t="str">
        <x:v>5-plus-unit</x:v>
      </x:c>
      <x:c r="C124" s="30" t="str">
        <x:v>reported</x:v>
      </x:c>
      <x:c r="D124" s="30" t="str">
        <x:v>units</x:v>
      </x:c>
      <x:c r="E124" s="47" t="n">
        <x:f>SUMIFS('By structure'!$H$6:$H$701,'By structure'!$A$6:$A$701,A124,'By structure'!$D$6:$D$701,B124)</x:f>
        <x:v>5184</x:v>
      </x:c>
      <x:c r="F124" s="47" t="n">
        <x:v>5184</x:v>
      </x:c>
      <x:c r="G124" s="47" t="n">
        <x:f>E124-F124</x:f>
        <x:v>0</x:v>
      </x:c>
      <x:c r="H124" s="47" t="n">
        <x:v>0</x:v>
      </x:c>
      <x:c r="I124" s="30" t="str">
        <x:f>IF(ABS(G124)&lt;=H124,"Pass","Check")</x:f>
        <x:v>Pass</x:v>
      </x:c>
      <x:c r="J124" s="30" t="str">
        <x:v>BPS-ST-2024</x:v>
      </x:c>
      <x:c r="K124" s="56" t="n">
        <x:v>48</x:v>
      </x:c>
      <x:c r="L124" s="30" t="str">
        <x:v>raw/state/st2024a.txt</x:v>
      </x:c>
    </x:row>
    <x:row r="125" ht="21" customHeight="1">
      <x:c r="A125" s="56" t="n">
        <x:v>2024</x:v>
      </x:c>
      <x:c r="B125" s="30" t="str">
        <x:v>5-plus-unit</x:v>
      </x:c>
      <x:c r="C125" s="30" t="str">
        <x:v>reported</x:v>
      </x:c>
      <x:c r="D125" s="30" t="str">
        <x:v>valuation_usd</x:v>
      </x:c>
      <x:c r="E125" s="47" t="n">
        <x:f>SUMIFS('By structure'!$J$6:$J$701,'By structure'!$A$6:$A$701,A125,'By structure'!$D$6:$D$701,B125)</x:f>
        <x:v>1006138424</x:v>
      </x:c>
      <x:c r="F125" s="47" t="n">
        <x:v>1006138000</x:v>
      </x:c>
      <x:c r="G125" s="47" t="n">
        <x:f>E125-F125</x:f>
        <x:v>424</x:v>
      </x:c>
      <x:c r="H125" s="47" t="n">
        <x:v>500</x:v>
      </x:c>
      <x:c r="I125" s="30" t="str">
        <x:f>IF(ABS(G125)&lt;=H125,"Pass","Check")</x:f>
        <x:v>Pass</x:v>
      </x:c>
      <x:c r="J125" s="30" t="str">
        <x:v>BPS-ST-2024</x:v>
      </x:c>
      <x:c r="K125" s="56" t="n">
        <x:v>48</x:v>
      </x:c>
      <x:c r="L125" s="30" t="str">
        <x:v>raw/state/st2024a.txt</x:v>
      </x:c>
    </x:row>
    <x:row r="126" ht="21" customHeight="1">
      <x:c r="A126" s="56" t="n">
        <x:v>2025</x:v>
      </x:c>
      <x:c r="B126" s="30" t="str">
        <x:v>1-unit</x:v>
      </x:c>
      <x:c r="C126" s="30" t="str">
        <x:v>estimated</x:v>
      </x:c>
      <x:c r="D126" s="30" t="str">
        <x:v>buildings</x:v>
      </x:c>
      <x:c r="E126" s="47" t="n">
        <x:f>SUMIFS('By structure'!$E$6:$E$701,'By structure'!$A$6:$A$701,A126,'By structure'!$D$6:$D$701,B126)</x:f>
        <x:v>16774</x:v>
      </x:c>
      <x:c r="F126" s="47" t="n">
        <x:v>16774</x:v>
      </x:c>
      <x:c r="G126" s="47" t="n">
        <x:f>E126-F126</x:f>
        <x:v>0</x:v>
      </x:c>
      <x:c r="H126" s="47" t="n">
        <x:v>0</x:v>
      </x:c>
      <x:c r="I126" s="30" t="str">
        <x:f>IF(ABS(G126)&lt;=H126,"Pass","Check")</x:f>
        <x:v>Pass</x:v>
      </x:c>
      <x:c r="J126" s="30" t="str">
        <x:v>BPS-ST-2025</x:v>
      </x:c>
      <x:c r="K126" s="56" t="n">
        <x:v>48</x:v>
      </x:c>
      <x:c r="L126" s="30" t="str">
        <x:v>raw/state/st2025a.txt</x:v>
      </x:c>
    </x:row>
    <x:row r="127" ht="21" customHeight="1">
      <x:c r="A127" s="56" t="n">
        <x:v>2025</x:v>
      </x:c>
      <x:c r="B127" s="30" t="str">
        <x:v>1-unit</x:v>
      </x:c>
      <x:c r="C127" s="30" t="str">
        <x:v>estimated</x:v>
      </x:c>
      <x:c r="D127" s="30" t="str">
        <x:v>units</x:v>
      </x:c>
      <x:c r="E127" s="47" t="n">
        <x:f>SUMIFS('By structure'!$F$6:$F$701,'By structure'!$A$6:$A$701,A127,'By structure'!$D$6:$D$701,B127)</x:f>
        <x:v>16774</x:v>
      </x:c>
      <x:c r="F127" s="47" t="n">
        <x:v>16774</x:v>
      </x:c>
      <x:c r="G127" s="47" t="n">
        <x:f>E127-F127</x:f>
        <x:v>0</x:v>
      </x:c>
      <x:c r="H127" s="47" t="n">
        <x:v>0</x:v>
      </x:c>
      <x:c r="I127" s="30" t="str">
        <x:f>IF(ABS(G127)&lt;=H127,"Pass","Check")</x:f>
        <x:v>Pass</x:v>
      </x:c>
      <x:c r="J127" s="30" t="str">
        <x:v>BPS-ST-2025</x:v>
      </x:c>
      <x:c r="K127" s="56" t="n">
        <x:v>48</x:v>
      </x:c>
      <x:c r="L127" s="30" t="str">
        <x:v>raw/state/st2025a.txt</x:v>
      </x:c>
    </x:row>
    <x:row r="128" ht="21" customHeight="1">
      <x:c r="A128" s="56" t="n">
        <x:v>2025</x:v>
      </x:c>
      <x:c r="B128" s="30" t="str">
        <x:v>1-unit</x:v>
      </x:c>
      <x:c r="C128" s="30" t="str">
        <x:v>estimated</x:v>
      </x:c>
      <x:c r="D128" s="30" t="str">
        <x:v>valuation_usd</x:v>
      </x:c>
      <x:c r="E128" s="47" t="n">
        <x:f>SUMIFS('By structure'!$G$6:$G$701,'By structure'!$A$6:$A$701,A128,'By structure'!$D$6:$D$701,B128)</x:f>
        <x:v>6294221647</x:v>
      </x:c>
      <x:c r="F128" s="47" t="n">
        <x:v>6294222000</x:v>
      </x:c>
      <x:c r="G128" s="47" t="n">
        <x:f>E128-F128</x:f>
        <x:v>-353</x:v>
      </x:c>
      <x:c r="H128" s="47" t="n">
        <x:v>500</x:v>
      </x:c>
      <x:c r="I128" s="30" t="str">
        <x:f>IF(ABS(G128)&lt;=H128,"Pass","Check")</x:f>
        <x:v>Pass</x:v>
      </x:c>
      <x:c r="J128" s="30" t="str">
        <x:v>BPS-ST-2025</x:v>
      </x:c>
      <x:c r="K128" s="56" t="n">
        <x:v>48</x:v>
      </x:c>
      <x:c r="L128" s="30" t="str">
        <x:v>raw/state/st2025a.txt</x:v>
      </x:c>
    </x:row>
    <x:row r="129" ht="21" customHeight="1">
      <x:c r="A129" s="56" t="n">
        <x:v>2025</x:v>
      </x:c>
      <x:c r="B129" s="30" t="str">
        <x:v>1-unit</x:v>
      </x:c>
      <x:c r="C129" s="30" t="str">
        <x:v>reported</x:v>
      </x:c>
      <x:c r="D129" s="30" t="str">
        <x:v>buildings</x:v>
      </x:c>
      <x:c r="E129" s="47" t="n">
        <x:f>SUMIFS('By structure'!$I$6:$I$701,'By structure'!$A$6:$A$701,A129,'By structure'!$D$6:$D$701,B129)</x:f>
        <x:v>16164</x:v>
      </x:c>
      <x:c r="F129" s="47" t="n">
        <x:v>16164</x:v>
      </x:c>
      <x:c r="G129" s="47" t="n">
        <x:f>E129-F129</x:f>
        <x:v>0</x:v>
      </x:c>
      <x:c r="H129" s="47" t="n">
        <x:v>0</x:v>
      </x:c>
      <x:c r="I129" s="30" t="str">
        <x:f>IF(ABS(G129)&lt;=H129,"Pass","Check")</x:f>
        <x:v>Pass</x:v>
      </x:c>
      <x:c r="J129" s="30" t="str">
        <x:v>BPS-ST-2025</x:v>
      </x:c>
      <x:c r="K129" s="56" t="n">
        <x:v>48</x:v>
      </x:c>
      <x:c r="L129" s="30" t="str">
        <x:v>raw/state/st2025a.txt</x:v>
      </x:c>
    </x:row>
    <x:row r="130" ht="21" customHeight="1">
      <x:c r="A130" s="56" t="n">
        <x:v>2025</x:v>
      </x:c>
      <x:c r="B130" s="30" t="str">
        <x:v>1-unit</x:v>
      </x:c>
      <x:c r="C130" s="30" t="str">
        <x:v>reported</x:v>
      </x:c>
      <x:c r="D130" s="30" t="str">
        <x:v>units</x:v>
      </x:c>
      <x:c r="E130" s="47" t="n">
        <x:f>SUMIFS('By structure'!$H$6:$H$701,'By structure'!$A$6:$A$701,A130,'By structure'!$D$6:$D$701,B130)</x:f>
        <x:v>16164</x:v>
      </x:c>
      <x:c r="F130" s="47" t="n">
        <x:v>16164</x:v>
      </x:c>
      <x:c r="G130" s="47" t="n">
        <x:f>E130-F130</x:f>
        <x:v>0</x:v>
      </x:c>
      <x:c r="H130" s="47" t="n">
        <x:v>0</x:v>
      </x:c>
      <x:c r="I130" s="30" t="str">
        <x:f>IF(ABS(G130)&lt;=H130,"Pass","Check")</x:f>
        <x:v>Pass</x:v>
      </x:c>
      <x:c r="J130" s="30" t="str">
        <x:v>BPS-ST-2025</x:v>
      </x:c>
      <x:c r="K130" s="56" t="n">
        <x:v>48</x:v>
      </x:c>
      <x:c r="L130" s="30" t="str">
        <x:v>raw/state/st2025a.txt</x:v>
      </x:c>
    </x:row>
    <x:row r="131" ht="21" customHeight="1">
      <x:c r="A131" s="56" t="n">
        <x:v>2025</x:v>
      </x:c>
      <x:c r="B131" s="30" t="str">
        <x:v>1-unit</x:v>
      </x:c>
      <x:c r="C131" s="30" t="str">
        <x:v>reported</x:v>
      </x:c>
      <x:c r="D131" s="30" t="str">
        <x:v>valuation_usd</x:v>
      </x:c>
      <x:c r="E131" s="47" t="n">
        <x:f>SUMIFS('By structure'!$J$6:$J$701,'By structure'!$A$6:$A$701,A131,'By structure'!$D$6:$D$701,B131)</x:f>
        <x:v>6069177247</x:v>
      </x:c>
      <x:c r="F131" s="47" t="n">
        <x:v>6069177000</x:v>
      </x:c>
      <x:c r="G131" s="47" t="n">
        <x:f>E131-F131</x:f>
        <x:v>247</x:v>
      </x:c>
      <x:c r="H131" s="47" t="n">
        <x:v>500</x:v>
      </x:c>
      <x:c r="I131" s="30" t="str">
        <x:f>IF(ABS(G131)&lt;=H131,"Pass","Check")</x:f>
        <x:v>Pass</x:v>
      </x:c>
      <x:c r="J131" s="30" t="str">
        <x:v>BPS-ST-2025</x:v>
      </x:c>
      <x:c r="K131" s="56" t="n">
        <x:v>48</x:v>
      </x:c>
      <x:c r="L131" s="30" t="str">
        <x:v>raw/state/st2025a.txt</x:v>
      </x:c>
    </x:row>
    <x:row r="132" ht="21" customHeight="1">
      <x:c r="A132" s="56" t="n">
        <x:v>2025</x:v>
      </x:c>
      <x:c r="B132" s="30" t="str">
        <x:v>2-unit</x:v>
      </x:c>
      <x:c r="C132" s="30" t="str">
        <x:v>estimated</x:v>
      </x:c>
      <x:c r="D132" s="30" t="str">
        <x:v>buildings</x:v>
      </x:c>
      <x:c r="E132" s="47" t="n">
        <x:f>SUMIFS('By structure'!$E$6:$E$701,'By structure'!$A$6:$A$701,A132,'By structure'!$D$6:$D$701,B132)</x:f>
        <x:v>101</x:v>
      </x:c>
      <x:c r="F132" s="47" t="n">
        <x:v>101</x:v>
      </x:c>
      <x:c r="G132" s="47" t="n">
        <x:f>E132-F132</x:f>
        <x:v>0</x:v>
      </x:c>
      <x:c r="H132" s="47" t="n">
        <x:v>0</x:v>
      </x:c>
      <x:c r="I132" s="30" t="str">
        <x:f>IF(ABS(G132)&lt;=H132,"Pass","Check")</x:f>
        <x:v>Pass</x:v>
      </x:c>
      <x:c r="J132" s="30" t="str">
        <x:v>BPS-ST-2025</x:v>
      </x:c>
      <x:c r="K132" s="56" t="n">
        <x:v>48</x:v>
      </x:c>
      <x:c r="L132" s="30" t="str">
        <x:v>raw/state/st2025a.txt</x:v>
      </x:c>
    </x:row>
    <x:row r="133" ht="21" customHeight="1">
      <x:c r="A133" s="56" t="n">
        <x:v>2025</x:v>
      </x:c>
      <x:c r="B133" s="30" t="str">
        <x:v>2-unit</x:v>
      </x:c>
      <x:c r="C133" s="30" t="str">
        <x:v>estimated</x:v>
      </x:c>
      <x:c r="D133" s="30" t="str">
        <x:v>units</x:v>
      </x:c>
      <x:c r="E133" s="47" t="n">
        <x:f>SUMIFS('By structure'!$F$6:$F$701,'By structure'!$A$6:$A$701,A133,'By structure'!$D$6:$D$701,B133)</x:f>
        <x:v>202</x:v>
      </x:c>
      <x:c r="F133" s="47" t="n">
        <x:v>202</x:v>
      </x:c>
      <x:c r="G133" s="47" t="n">
        <x:f>E133-F133</x:f>
        <x:v>0</x:v>
      </x:c>
      <x:c r="H133" s="47" t="n">
        <x:v>0</x:v>
      </x:c>
      <x:c r="I133" s="30" t="str">
        <x:f>IF(ABS(G133)&lt;=H133,"Pass","Check")</x:f>
        <x:v>Pass</x:v>
      </x:c>
      <x:c r="J133" s="30" t="str">
        <x:v>BPS-ST-2025</x:v>
      </x:c>
      <x:c r="K133" s="56" t="n">
        <x:v>48</x:v>
      </x:c>
      <x:c r="L133" s="30" t="str">
        <x:v>raw/state/st2025a.txt</x:v>
      </x:c>
    </x:row>
    <x:row r="134" ht="21" customHeight="1">
      <x:c r="A134" s="56" t="n">
        <x:v>2025</x:v>
      </x:c>
      <x:c r="B134" s="30" t="str">
        <x:v>2-unit</x:v>
      </x:c>
      <x:c r="C134" s="30" t="str">
        <x:v>estimated</x:v>
      </x:c>
      <x:c r="D134" s="30" t="str">
        <x:v>valuation_usd</x:v>
      </x:c>
      <x:c r="E134" s="47" t="n">
        <x:f>SUMIFS('By structure'!$G$6:$G$701,'By structure'!$A$6:$A$701,A134,'By structure'!$D$6:$D$701,B134)</x:f>
        <x:v>49316115</x:v>
      </x:c>
      <x:c r="F134" s="47" t="n">
        <x:v>49316000</x:v>
      </x:c>
      <x:c r="G134" s="47" t="n">
        <x:f>E134-F134</x:f>
        <x:v>115</x:v>
      </x:c>
      <x:c r="H134" s="47" t="n">
        <x:v>500</x:v>
      </x:c>
      <x:c r="I134" s="30" t="str">
        <x:f>IF(ABS(G134)&lt;=H134,"Pass","Check")</x:f>
        <x:v>Pass</x:v>
      </x:c>
      <x:c r="J134" s="30" t="str">
        <x:v>BPS-ST-2025</x:v>
      </x:c>
      <x:c r="K134" s="56" t="n">
        <x:v>48</x:v>
      </x:c>
      <x:c r="L134" s="30" t="str">
        <x:v>raw/state/st2025a.txt</x:v>
      </x:c>
    </x:row>
    <x:row r="135" ht="21" customHeight="1">
      <x:c r="A135" s="56" t="n">
        <x:v>2025</x:v>
      </x:c>
      <x:c r="B135" s="30" t="str">
        <x:v>2-unit</x:v>
      </x:c>
      <x:c r="C135" s="30" t="str">
        <x:v>reported</x:v>
      </x:c>
      <x:c r="D135" s="30" t="str">
        <x:v>buildings</x:v>
      </x:c>
      <x:c r="E135" s="47" t="n">
        <x:f>SUMIFS('By structure'!$I$6:$I$701,'By structure'!$A$6:$A$701,A135,'By structure'!$D$6:$D$701,B135)</x:f>
        <x:v>89</x:v>
      </x:c>
      <x:c r="F135" s="47" t="n">
        <x:v>89</x:v>
      </x:c>
      <x:c r="G135" s="47" t="n">
        <x:f>E135-F135</x:f>
        <x:v>0</x:v>
      </x:c>
      <x:c r="H135" s="47" t="n">
        <x:v>0</x:v>
      </x:c>
      <x:c r="I135" s="30" t="str">
        <x:f>IF(ABS(G135)&lt;=H135,"Pass","Check")</x:f>
        <x:v>Pass</x:v>
      </x:c>
      <x:c r="J135" s="30" t="str">
        <x:v>BPS-ST-2025</x:v>
      </x:c>
      <x:c r="K135" s="56" t="n">
        <x:v>48</x:v>
      </x:c>
      <x:c r="L135" s="30" t="str">
        <x:v>raw/state/st2025a.txt</x:v>
      </x:c>
    </x:row>
    <x:row r="136" ht="21" customHeight="1">
      <x:c r="A136" s="56" t="n">
        <x:v>2025</x:v>
      </x:c>
      <x:c r="B136" s="30" t="str">
        <x:v>2-unit</x:v>
      </x:c>
      <x:c r="C136" s="30" t="str">
        <x:v>reported</x:v>
      </x:c>
      <x:c r="D136" s="30" t="str">
        <x:v>units</x:v>
      </x:c>
      <x:c r="E136" s="47" t="n">
        <x:f>SUMIFS('By structure'!$H$6:$H$701,'By structure'!$A$6:$A$701,A136,'By structure'!$D$6:$D$701,B136)</x:f>
        <x:v>178</x:v>
      </x:c>
      <x:c r="F136" s="47" t="n">
        <x:v>178</x:v>
      </x:c>
      <x:c r="G136" s="47" t="n">
        <x:f>E136-F136</x:f>
        <x:v>0</x:v>
      </x:c>
      <x:c r="H136" s="47" t="n">
        <x:v>0</x:v>
      </x:c>
      <x:c r="I136" s="30" t="str">
        <x:f>IF(ABS(G136)&lt;=H136,"Pass","Check")</x:f>
        <x:v>Pass</x:v>
      </x:c>
      <x:c r="J136" s="30" t="str">
        <x:v>BPS-ST-2025</x:v>
      </x:c>
      <x:c r="K136" s="56" t="n">
        <x:v>48</x:v>
      </x:c>
      <x:c r="L136" s="30" t="str">
        <x:v>raw/state/st2025a.txt</x:v>
      </x:c>
    </x:row>
    <x:row r="137" ht="21" customHeight="1">
      <x:c r="A137" s="56" t="n">
        <x:v>2025</x:v>
      </x:c>
      <x:c r="B137" s="30" t="str">
        <x:v>2-unit</x:v>
      </x:c>
      <x:c r="C137" s="30" t="str">
        <x:v>reported</x:v>
      </x:c>
      <x:c r="D137" s="30" t="str">
        <x:v>valuation_usd</x:v>
      </x:c>
      <x:c r="E137" s="47" t="n">
        <x:f>SUMIFS('By structure'!$J$6:$J$701,'By structure'!$A$6:$A$701,A137,'By structure'!$D$6:$D$701,B137)</x:f>
        <x:v>44684196</x:v>
      </x:c>
      <x:c r="F137" s="47" t="n">
        <x:v>44684000</x:v>
      </x:c>
      <x:c r="G137" s="47" t="n">
        <x:f>E137-F137</x:f>
        <x:v>196</x:v>
      </x:c>
      <x:c r="H137" s="47" t="n">
        <x:v>500</x:v>
      </x:c>
      <x:c r="I137" s="30" t="str">
        <x:f>IF(ABS(G137)&lt;=H137,"Pass","Check")</x:f>
        <x:v>Pass</x:v>
      </x:c>
      <x:c r="J137" s="30" t="str">
        <x:v>BPS-ST-2025</x:v>
      </x:c>
      <x:c r="K137" s="56" t="n">
        <x:v>48</x:v>
      </x:c>
      <x:c r="L137" s="30" t="str">
        <x:v>raw/state/st2025a.txt</x:v>
      </x:c>
    </x:row>
    <x:row r="138" ht="21" customHeight="1">
      <x:c r="A138" s="56" t="n">
        <x:v>2025</x:v>
      </x:c>
      <x:c r="B138" s="30" t="str">
        <x:v>3-4-unit</x:v>
      </x:c>
      <x:c r="C138" s="30" t="str">
        <x:v>estimated</x:v>
      </x:c>
      <x:c r="D138" s="30" t="str">
        <x:v>buildings</x:v>
      </x:c>
      <x:c r="E138" s="47" t="n">
        <x:f>SUMIFS('By structure'!$E$6:$E$701,'By structure'!$A$6:$A$701,A138,'By structure'!$D$6:$D$701,B138)</x:f>
        <x:v>154</x:v>
      </x:c>
      <x:c r="F138" s="47" t="n">
        <x:v>154</x:v>
      </x:c>
      <x:c r="G138" s="47" t="n">
        <x:f>E138-F138</x:f>
        <x:v>0</x:v>
      </x:c>
      <x:c r="H138" s="47" t="n">
        <x:v>0</x:v>
      </x:c>
      <x:c r="I138" s="30" t="str">
        <x:f>IF(ABS(G138)&lt;=H138,"Pass","Check")</x:f>
        <x:v>Pass</x:v>
      </x:c>
      <x:c r="J138" s="30" t="str">
        <x:v>BPS-ST-2025</x:v>
      </x:c>
      <x:c r="K138" s="56" t="n">
        <x:v>48</x:v>
      </x:c>
      <x:c r="L138" s="30" t="str">
        <x:v>raw/state/st2025a.txt</x:v>
      </x:c>
    </x:row>
    <x:row r="139" ht="21" customHeight="1">
      <x:c r="A139" s="56" t="n">
        <x:v>2025</x:v>
      </x:c>
      <x:c r="B139" s="30" t="str">
        <x:v>3-4-unit</x:v>
      </x:c>
      <x:c r="C139" s="30" t="str">
        <x:v>estimated</x:v>
      </x:c>
      <x:c r="D139" s="30" t="str">
        <x:v>units</x:v>
      </x:c>
      <x:c r="E139" s="47" t="n">
        <x:f>SUMIFS('By structure'!$F$6:$F$701,'By structure'!$A$6:$A$701,A139,'By structure'!$D$6:$D$701,B139)</x:f>
        <x:v>578</x:v>
      </x:c>
      <x:c r="F139" s="47" t="n">
        <x:v>578</x:v>
      </x:c>
      <x:c r="G139" s="47" t="n">
        <x:f>E139-F139</x:f>
        <x:v>0</x:v>
      </x:c>
      <x:c r="H139" s="47" t="n">
        <x:v>0</x:v>
      </x:c>
      <x:c r="I139" s="30" t="str">
        <x:f>IF(ABS(G139)&lt;=H139,"Pass","Check")</x:f>
        <x:v>Pass</x:v>
      </x:c>
      <x:c r="J139" s="30" t="str">
        <x:v>BPS-ST-2025</x:v>
      </x:c>
      <x:c r="K139" s="56" t="n">
        <x:v>48</x:v>
      </x:c>
      <x:c r="L139" s="30" t="str">
        <x:v>raw/state/st2025a.txt</x:v>
      </x:c>
    </x:row>
    <x:row r="140" ht="21" customHeight="1">
      <x:c r="A140" s="56" t="n">
        <x:v>2025</x:v>
      </x:c>
      <x:c r="B140" s="30" t="str">
        <x:v>3-4-unit</x:v>
      </x:c>
      <x:c r="C140" s="30" t="str">
        <x:v>estimated</x:v>
      </x:c>
      <x:c r="D140" s="30" t="str">
        <x:v>valuation_usd</x:v>
      </x:c>
      <x:c r="E140" s="47" t="n">
        <x:f>SUMIFS('By structure'!$G$6:$G$701,'By structure'!$A$6:$A$701,A140,'By structure'!$D$6:$D$701,B140)</x:f>
        <x:v>135795663</x:v>
      </x:c>
      <x:c r="F140" s="47" t="n">
        <x:v>135796000</x:v>
      </x:c>
      <x:c r="G140" s="47" t="n">
        <x:f>E140-F140</x:f>
        <x:v>-337</x:v>
      </x:c>
      <x:c r="H140" s="47" t="n">
        <x:v>500</x:v>
      </x:c>
      <x:c r="I140" s="30" t="str">
        <x:f>IF(ABS(G140)&lt;=H140,"Pass","Check")</x:f>
        <x:v>Pass</x:v>
      </x:c>
      <x:c r="J140" s="30" t="str">
        <x:v>BPS-ST-2025</x:v>
      </x:c>
      <x:c r="K140" s="56" t="n">
        <x:v>48</x:v>
      </x:c>
      <x:c r="L140" s="30" t="str">
        <x:v>raw/state/st2025a.txt</x:v>
      </x:c>
    </x:row>
    <x:row r="141" ht="21" customHeight="1">
      <x:c r="A141" s="56" t="n">
        <x:v>2025</x:v>
      </x:c>
      <x:c r="B141" s="30" t="str">
        <x:v>3-4-unit</x:v>
      </x:c>
      <x:c r="C141" s="30" t="str">
        <x:v>reported</x:v>
      </x:c>
      <x:c r="D141" s="30" t="str">
        <x:v>buildings</x:v>
      </x:c>
      <x:c r="E141" s="47" t="n">
        <x:f>SUMIFS('By structure'!$I$6:$I$701,'By structure'!$A$6:$A$701,A141,'By structure'!$D$6:$D$701,B141)</x:f>
        <x:v>153</x:v>
      </x:c>
      <x:c r="F141" s="47" t="n">
        <x:v>153</x:v>
      </x:c>
      <x:c r="G141" s="47" t="n">
        <x:f>E141-F141</x:f>
        <x:v>0</x:v>
      </x:c>
      <x:c r="H141" s="47" t="n">
        <x:v>0</x:v>
      </x:c>
      <x:c r="I141" s="30" t="str">
        <x:f>IF(ABS(G141)&lt;=H141,"Pass","Check")</x:f>
        <x:v>Pass</x:v>
      </x:c>
      <x:c r="J141" s="30" t="str">
        <x:v>BPS-ST-2025</x:v>
      </x:c>
      <x:c r="K141" s="56" t="n">
        <x:v>48</x:v>
      </x:c>
      <x:c r="L141" s="30" t="str">
        <x:v>raw/state/st2025a.txt</x:v>
      </x:c>
    </x:row>
    <x:row r="142" ht="21" customHeight="1">
      <x:c r="A142" s="56" t="n">
        <x:v>2025</x:v>
      </x:c>
      <x:c r="B142" s="30" t="str">
        <x:v>3-4-unit</x:v>
      </x:c>
      <x:c r="C142" s="30" t="str">
        <x:v>reported</x:v>
      </x:c>
      <x:c r="D142" s="30" t="str">
        <x:v>units</x:v>
      </x:c>
      <x:c r="E142" s="47" t="n">
        <x:f>SUMIFS('By structure'!$H$6:$H$701,'By structure'!$A$6:$A$701,A142,'By structure'!$D$6:$D$701,B142)</x:f>
        <x:v>574</x:v>
      </x:c>
      <x:c r="F142" s="47" t="n">
        <x:v>574</x:v>
      </x:c>
      <x:c r="G142" s="47" t="n">
        <x:f>E142-F142</x:f>
        <x:v>0</x:v>
      </x:c>
      <x:c r="H142" s="47" t="n">
        <x:v>0</x:v>
      </x:c>
      <x:c r="I142" s="30" t="str">
        <x:f>IF(ABS(G142)&lt;=H142,"Pass","Check")</x:f>
        <x:v>Pass</x:v>
      </x:c>
      <x:c r="J142" s="30" t="str">
        <x:v>BPS-ST-2025</x:v>
      </x:c>
      <x:c r="K142" s="56" t="n">
        <x:v>48</x:v>
      </x:c>
      <x:c r="L142" s="30" t="str">
        <x:v>raw/state/st2025a.txt</x:v>
      </x:c>
    </x:row>
    <x:row r="143" ht="21" customHeight="1">
      <x:c r="A143" s="56" t="n">
        <x:v>2025</x:v>
      </x:c>
      <x:c r="B143" s="30" t="str">
        <x:v>3-4-unit</x:v>
      </x:c>
      <x:c r="C143" s="30" t="str">
        <x:v>reported</x:v>
      </x:c>
      <x:c r="D143" s="30" t="str">
        <x:v>valuation_usd</x:v>
      </x:c>
      <x:c r="E143" s="47" t="n">
        <x:f>SUMIFS('By structure'!$J$6:$J$701,'By structure'!$A$6:$A$701,A143,'By structure'!$D$6:$D$701,B143)</x:f>
        <x:v>134920663</x:v>
      </x:c>
      <x:c r="F143" s="47" t="n">
        <x:v>134921000</x:v>
      </x:c>
      <x:c r="G143" s="47" t="n">
        <x:f>E143-F143</x:f>
        <x:v>-337</x:v>
      </x:c>
      <x:c r="H143" s="47" t="n">
        <x:v>500</x:v>
      </x:c>
      <x:c r="I143" s="30" t="str">
        <x:f>IF(ABS(G143)&lt;=H143,"Pass","Check")</x:f>
        <x:v>Pass</x:v>
      </x:c>
      <x:c r="J143" s="30" t="str">
        <x:v>BPS-ST-2025</x:v>
      </x:c>
      <x:c r="K143" s="56" t="n">
        <x:v>48</x:v>
      </x:c>
      <x:c r="L143" s="30" t="str">
        <x:v>raw/state/st2025a.txt</x:v>
      </x:c>
    </x:row>
    <x:row r="144" ht="21" customHeight="1">
      <x:c r="A144" s="56" t="n">
        <x:v>2025</x:v>
      </x:c>
      <x:c r="B144" s="30" t="str">
        <x:v>5-plus-unit</x:v>
      </x:c>
      <x:c r="C144" s="30" t="str">
        <x:v>estimated</x:v>
      </x:c>
      <x:c r="D144" s="30" t="str">
        <x:v>buildings</x:v>
      </x:c>
      <x:c r="E144" s="47" t="n">
        <x:f>SUMIFS('By structure'!$E$6:$E$701,'By structure'!$A$6:$A$701,A144,'By structure'!$D$6:$D$701,B144)</x:f>
        <x:v>398</x:v>
      </x:c>
      <x:c r="F144" s="47" t="n">
        <x:v>398</x:v>
      </x:c>
      <x:c r="G144" s="47" t="n">
        <x:f>E144-F144</x:f>
        <x:v>0</x:v>
      </x:c>
      <x:c r="H144" s="47" t="n">
        <x:v>0</x:v>
      </x:c>
      <x:c r="I144" s="30" t="str">
        <x:f>IF(ABS(G144)&lt;=H144,"Pass","Check")</x:f>
        <x:v>Pass</x:v>
      </x:c>
      <x:c r="J144" s="30" t="str">
        <x:v>BPS-ST-2025</x:v>
      </x:c>
      <x:c r="K144" s="56" t="n">
        <x:v>48</x:v>
      </x:c>
      <x:c r="L144" s="30" t="str">
        <x:v>raw/state/st2025a.txt</x:v>
      </x:c>
    </x:row>
    <x:row r="145" ht="21" customHeight="1">
      <x:c r="A145" s="56" t="n">
        <x:v>2025</x:v>
      </x:c>
      <x:c r="B145" s="30" t="str">
        <x:v>5-plus-unit</x:v>
      </x:c>
      <x:c r="C145" s="30" t="str">
        <x:v>estimated</x:v>
      </x:c>
      <x:c r="D145" s="30" t="str">
        <x:v>units</x:v>
      </x:c>
      <x:c r="E145" s="47" t="n">
        <x:f>SUMIFS('By structure'!$F$6:$F$701,'By structure'!$A$6:$A$701,A145,'By structure'!$D$6:$D$701,B145)</x:f>
        <x:v>9221</x:v>
      </x:c>
      <x:c r="F145" s="47" t="n">
        <x:v>9221</x:v>
      </x:c>
      <x:c r="G145" s="47" t="n">
        <x:f>E145-F145</x:f>
        <x:v>0</x:v>
      </x:c>
      <x:c r="H145" s="47" t="n">
        <x:v>0</x:v>
      </x:c>
      <x:c r="I145" s="30" t="str">
        <x:f>IF(ABS(G145)&lt;=H145,"Pass","Check")</x:f>
        <x:v>Pass</x:v>
      </x:c>
      <x:c r="J145" s="30" t="str">
        <x:v>BPS-ST-2025</x:v>
      </x:c>
      <x:c r="K145" s="56" t="n">
        <x:v>48</x:v>
      </x:c>
      <x:c r="L145" s="30" t="str">
        <x:v>raw/state/st2025a.txt</x:v>
      </x:c>
    </x:row>
    <x:row r="146" ht="21" customHeight="1">
      <x:c r="A146" s="56" t="n">
        <x:v>2025</x:v>
      </x:c>
      <x:c r="B146" s="30" t="str">
        <x:v>5-plus-unit</x:v>
      </x:c>
      <x:c r="C146" s="30" t="str">
        <x:v>estimated</x:v>
      </x:c>
      <x:c r="D146" s="30" t="str">
        <x:v>valuation_usd</x:v>
      </x:c>
      <x:c r="E146" s="47" t="n">
        <x:f>SUMIFS('By structure'!$G$6:$G$701,'By structure'!$A$6:$A$701,A146,'By structure'!$D$6:$D$701,B146)</x:f>
        <x:v>1830128133</x:v>
      </x:c>
      <x:c r="F146" s="47" t="n">
        <x:v>1830128000</x:v>
      </x:c>
      <x:c r="G146" s="47" t="n">
        <x:f>E146-F146</x:f>
        <x:v>133</x:v>
      </x:c>
      <x:c r="H146" s="47" t="n">
        <x:v>500</x:v>
      </x:c>
      <x:c r="I146" s="30" t="str">
        <x:f>IF(ABS(G146)&lt;=H146,"Pass","Check")</x:f>
        <x:v>Pass</x:v>
      </x:c>
      <x:c r="J146" s="30" t="str">
        <x:v>BPS-ST-2025</x:v>
      </x:c>
      <x:c r="K146" s="56" t="n">
        <x:v>48</x:v>
      </x:c>
      <x:c r="L146" s="30" t="str">
        <x:v>raw/state/st2025a.txt</x:v>
      </x:c>
    </x:row>
    <x:row r="147" ht="21" customHeight="1">
      <x:c r="A147" s="56" t="n">
        <x:v>2025</x:v>
      </x:c>
      <x:c r="B147" s="30" t="str">
        <x:v>5-plus-unit</x:v>
      </x:c>
      <x:c r="C147" s="30" t="str">
        <x:v>reported</x:v>
      </x:c>
      <x:c r="D147" s="30" t="str">
        <x:v>buildings</x:v>
      </x:c>
      <x:c r="E147" s="47" t="n">
        <x:f>SUMIFS('By structure'!$I$6:$I$701,'By structure'!$A$6:$A$701,A147,'By structure'!$D$6:$D$701,B147)</x:f>
        <x:v>383</x:v>
      </x:c>
      <x:c r="F147" s="47" t="n">
        <x:v>383</x:v>
      </x:c>
      <x:c r="G147" s="47" t="n">
        <x:f>E147-F147</x:f>
        <x:v>0</x:v>
      </x:c>
      <x:c r="H147" s="47" t="n">
        <x:v>0</x:v>
      </x:c>
      <x:c r="I147" s="30" t="str">
        <x:f>IF(ABS(G147)&lt;=H147,"Pass","Check")</x:f>
        <x:v>Pass</x:v>
      </x:c>
      <x:c r="J147" s="30" t="str">
        <x:v>BPS-ST-2025</x:v>
      </x:c>
      <x:c r="K147" s="56" t="n">
        <x:v>48</x:v>
      </x:c>
      <x:c r="L147" s="30" t="str">
        <x:v>raw/state/st2025a.txt</x:v>
      </x:c>
    </x:row>
    <x:row r="148" ht="21" customHeight="1">
      <x:c r="A148" s="56" t="n">
        <x:v>2025</x:v>
      </x:c>
      <x:c r="B148" s="30" t="str">
        <x:v>5-plus-unit</x:v>
      </x:c>
      <x:c r="C148" s="30" t="str">
        <x:v>reported</x:v>
      </x:c>
      <x:c r="D148" s="30" t="str">
        <x:v>units</x:v>
      </x:c>
      <x:c r="E148" s="47" t="n">
        <x:f>SUMIFS('By structure'!$H$6:$H$701,'By structure'!$A$6:$A$701,A148,'By structure'!$D$6:$D$701,B148)</x:f>
        <x:v>8879</x:v>
      </x:c>
      <x:c r="F148" s="47" t="n">
        <x:v>8879</x:v>
      </x:c>
      <x:c r="G148" s="47" t="n">
        <x:f>E148-F148</x:f>
        <x:v>0</x:v>
      </x:c>
      <x:c r="H148" s="47" t="n">
        <x:v>0</x:v>
      </x:c>
      <x:c r="I148" s="30" t="str">
        <x:f>IF(ABS(G148)&lt;=H148,"Pass","Check")</x:f>
        <x:v>Pass</x:v>
      </x:c>
      <x:c r="J148" s="30" t="str">
        <x:v>BPS-ST-2025</x:v>
      </x:c>
      <x:c r="K148" s="56" t="n">
        <x:v>48</x:v>
      </x:c>
      <x:c r="L148" s="30" t="str">
        <x:v>raw/state/st2025a.txt</x:v>
      </x:c>
    </x:row>
    <x:row r="149" ht="21" customHeight="1">
      <x:c r="A149" s="56" t="n">
        <x:v>2025</x:v>
      </x:c>
      <x:c r="B149" s="30" t="str">
        <x:v>5-plus-unit</x:v>
      </x:c>
      <x:c r="C149" s="30" t="str">
        <x:v>reported</x:v>
      </x:c>
      <x:c r="D149" s="30" t="str">
        <x:v>valuation_usd</x:v>
      </x:c>
      <x:c r="E149" s="47" t="n">
        <x:f>SUMIFS('By structure'!$J$6:$J$701,'By structure'!$A$6:$A$701,A149,'By structure'!$D$6:$D$701,B149)</x:f>
        <x:v>1777348529</x:v>
      </x:c>
      <x:c r="F149" s="47" t="n">
        <x:v>1777349000</x:v>
      </x:c>
      <x:c r="G149" s="47" t="n">
        <x:f>E149-F149</x:f>
        <x:v>-471</x:v>
      </x:c>
      <x:c r="H149" s="47" t="n">
        <x:v>500</x:v>
      </x:c>
      <x:c r="I149" s="30" t="str">
        <x:f>IF(ABS(G149)&lt;=H149,"Pass","Check")</x:f>
        <x:v>Pass</x:v>
      </x:c>
      <x:c r="J149" s="30" t="str">
        <x:v>BPS-ST-2025</x:v>
      </x:c>
      <x:c r="K149" s="56" t="n">
        <x:v>48</x:v>
      </x:c>
      <x:c r="L149" s="30" t="str">
        <x:v>raw/state/st2025a.txt</x:v>
      </x:c>
    </x:row>
    <x:row r="150" ht="21" customHeight="1">
      <x:c r="A150" s="56"/>
      <x:c r="B150" s="30"/>
      <x:c r="C150" s="30"/>
      <x:c r="D150" s="30"/>
      <x:c r="E150" s="47"/>
      <x:c r="F150" s="47"/>
      <x:c r="G150" s="47"/>
      <x:c r="H150" s="47"/>
      <x:c r="I150" s="30"/>
      <x:c r="J150" s="30"/>
      <x:c r="K150" s="56"/>
      <x:c r="L150" s="30"/>
    </x:row>
    <x:row r="151" ht="21" customHeight="1">
      <x:c r="A151" s="56"/>
      <x:c r="B151" s="30"/>
      <x:c r="C151" s="30"/>
      <x:c r="D151" s="30"/>
      <x:c r="E151" s="47"/>
      <x:c r="F151" s="47"/>
      <x:c r="G151" s="47"/>
      <x:c r="H151" s="47"/>
      <x:c r="I151" s="30"/>
      <x:c r="J151" s="30"/>
      <x:c r="K151" s="56"/>
      <x:c r="L151" s="30"/>
    </x:row>
    <x:row r="152" ht="21" customHeight="1">
      <x:c r="A152" s="56"/>
      <x:c r="B152" s="30"/>
      <x:c r="C152" s="30"/>
      <x:c r="D152" s="30"/>
      <x:c r="E152" s="47"/>
      <x:c r="F152" s="47"/>
      <x:c r="G152" s="47"/>
      <x:c r="H152" s="47"/>
      <x:c r="I152" s="30"/>
      <x:c r="J152" s="30"/>
      <x:c r="K152" s="56"/>
      <x:c r="L152" s="30"/>
    </x:row>
    <x:row r="153">
      <x:c r="A153" s="28"/>
      <x:c r="E153" s="49"/>
      <x:c r="F153" s="49"/>
      <x:c r="G153" s="49"/>
      <x:c r="H153" s="49"/>
      <x:c r="K153" s="28"/>
    </x:row>
    <x:row r="154">
      <x:c r="A154" s="28"/>
      <x:c r="E154" s="49"/>
      <x:c r="F154" s="49"/>
      <x:c r="G154" s="49"/>
      <x:c r="H154" s="49"/>
      <x:c r="K154" s="28"/>
    </x:row>
    <x:row r="155">
      <x:c r="A155" s="28"/>
      <x:c r="E155" s="49"/>
      <x:c r="F155" s="49"/>
      <x:c r="G155" s="49"/>
      <x:c r="H155" s="49"/>
      <x:c r="K155" s="28"/>
    </x:row>
    <x:row r="156">
      <x:c r="A156" s="28"/>
      <x:c r="E156" s="49"/>
      <x:c r="F156" s="49"/>
      <x:c r="G156" s="49"/>
      <x:c r="H156" s="49"/>
      <x:c r="K156" s="28"/>
    </x:row>
    <x:row r="157">
      <x:c r="A157" s="28"/>
      <x:c r="E157" s="49"/>
      <x:c r="F157" s="49"/>
      <x:c r="G157" s="49"/>
      <x:c r="H157" s="49"/>
      <x:c r="K157" s="28"/>
    </x:row>
    <x:row r="158">
      <x:c r="A158" s="28"/>
      <x:c r="E158" s="49"/>
      <x:c r="F158" s="49"/>
      <x:c r="G158" s="49"/>
      <x:c r="H158" s="49"/>
      <x:c r="K158" s="28"/>
    </x:row>
    <x:row r="159">
      <x:c r="A159" s="28"/>
      <x:c r="E159" s="49"/>
      <x:c r="F159" s="49"/>
      <x:c r="G159" s="49"/>
      <x:c r="H159" s="49"/>
      <x:c r="K159" s="28"/>
    </x:row>
    <x:row r="160">
      <x:c r="A160" s="28"/>
      <x:c r="E160" s="49"/>
      <x:c r="F160" s="49"/>
      <x:c r="G160" s="49"/>
      <x:c r="H160" s="49"/>
      <x:c r="K160" s="28"/>
    </x:row>
    <x:row r="161">
      <x:c r="A161" s="28"/>
      <x:c r="E161" s="49"/>
      <x:c r="F161" s="49"/>
      <x:c r="G161" s="49"/>
      <x:c r="H161" s="49"/>
      <x:c r="K161" s="28"/>
    </x:row>
    <x:row r="162">
      <x:c r="A162" s="28"/>
      <x:c r="E162" s="49"/>
      <x:c r="F162" s="49"/>
      <x:c r="G162" s="49"/>
      <x:c r="H162" s="49"/>
      <x:c r="K162" s="28"/>
    </x:row>
    <x:row r="163">
      <x:c r="A163" s="28"/>
      <x:c r="E163" s="49"/>
      <x:c r="F163" s="49"/>
      <x:c r="G163" s="49"/>
      <x:c r="H163" s="49"/>
      <x:c r="K163" s="28"/>
    </x:row>
    <x:row r="164">
      <x:c r="A164" s="28"/>
      <x:c r="E164" s="49"/>
      <x:c r="F164" s="49"/>
      <x:c r="G164" s="49"/>
      <x:c r="H164" s="49"/>
      <x:c r="K164" s="28"/>
    </x:row>
    <x:row r="165">
      <x:c r="A165" s="28"/>
      <x:c r="E165" s="49"/>
      <x:c r="F165" s="49"/>
      <x:c r="G165" s="49"/>
      <x:c r="H165" s="49"/>
      <x:c r="K165" s="28"/>
    </x:row>
    <x:row r="166">
      <x:c r="A166" s="28"/>
      <x:c r="E166" s="49"/>
      <x:c r="F166" s="49"/>
      <x:c r="G166" s="49"/>
      <x:c r="H166" s="49"/>
      <x:c r="K166" s="28"/>
    </x:row>
    <x:row r="167">
      <x:c r="A167" s="28"/>
      <x:c r="E167" s="49"/>
      <x:c r="F167" s="49"/>
      <x:c r="G167" s="49"/>
      <x:c r="H167" s="49"/>
      <x:c r="K167" s="28"/>
    </x:row>
    <x:row r="168">
      <x:c r="A168" s="28"/>
      <x:c r="E168" s="49"/>
      <x:c r="F168" s="49"/>
      <x:c r="G168" s="49"/>
      <x:c r="H168" s="49"/>
      <x:c r="K168" s="28"/>
    </x:row>
    <x:row r="169">
      <x:c r="A169" s="28"/>
      <x:c r="E169" s="49"/>
      <x:c r="F169" s="49"/>
      <x:c r="G169" s="49"/>
      <x:c r="H169" s="49"/>
      <x:c r="K169" s="28"/>
    </x:row>
    <x:row r="170">
      <x:c r="A170" s="28"/>
      <x:c r="E170" s="49"/>
      <x:c r="F170" s="49"/>
      <x:c r="G170" s="49"/>
      <x:c r="H170" s="49"/>
      <x:c r="K170" s="28"/>
    </x:row>
    <x:row r="171">
      <x:c r="A171" s="28"/>
      <x:c r="E171" s="49"/>
      <x:c r="F171" s="49"/>
      <x:c r="G171" s="49"/>
      <x:c r="H171" s="49"/>
      <x:c r="K171" s="28"/>
    </x:row>
    <x:row r="172">
      <x:c r="A172" s="28"/>
      <x:c r="E172" s="49"/>
      <x:c r="F172" s="49"/>
      <x:c r="G172" s="49"/>
      <x:c r="H172" s="49"/>
      <x:c r="K172" s="28"/>
    </x:row>
    <x:row r="173">
      <x:c r="A173" s="28"/>
      <x:c r="E173" s="49"/>
      <x:c r="F173" s="49"/>
      <x:c r="G173" s="49"/>
      <x:c r="H173" s="49"/>
      <x:c r="K173" s="28"/>
    </x:row>
    <x:row r="174">
      <x:c r="A174" s="28"/>
      <x:c r="E174" s="49"/>
      <x:c r="F174" s="49"/>
      <x:c r="G174" s="49"/>
      <x:c r="H174" s="49"/>
      <x:c r="K174" s="28"/>
    </x:row>
    <x:row r="175">
      <x:c r="A175" s="28"/>
      <x:c r="E175" s="49"/>
      <x:c r="F175" s="49"/>
      <x:c r="G175" s="49"/>
      <x:c r="H175" s="49"/>
      <x:c r="K175" s="28"/>
    </x:row>
    <x:row r="176">
      <x:c r="A176" s="28"/>
      <x:c r="E176" s="49"/>
      <x:c r="F176" s="49"/>
      <x:c r="G176" s="49"/>
      <x:c r="H176" s="49"/>
      <x:c r="K176" s="28"/>
    </x:row>
    <x:row r="177">
      <x:c r="A177" s="28"/>
      <x:c r="E177" s="49"/>
      <x:c r="F177" s="49"/>
      <x:c r="G177" s="49"/>
      <x:c r="H177" s="49"/>
      <x:c r="K177" s="28"/>
    </x:row>
    <x:row r="178">
      <x:c r="A178" s="28"/>
      <x:c r="E178" s="49"/>
      <x:c r="F178" s="49"/>
      <x:c r="G178" s="49"/>
      <x:c r="H178" s="49"/>
      <x:c r="K178" s="28"/>
    </x:row>
    <x:row r="179">
      <x:c r="A179" s="28"/>
      <x:c r="E179" s="49"/>
      <x:c r="F179" s="49"/>
      <x:c r="G179" s="49"/>
      <x:c r="H179" s="49"/>
      <x:c r="K179" s="28"/>
    </x:row>
    <x:row r="180">
      <x:c r="A180" s="28"/>
      <x:c r="E180" s="49"/>
      <x:c r="F180" s="49"/>
      <x:c r="G180" s="49"/>
      <x:c r="H180" s="49"/>
      <x:c r="K180" s="28"/>
    </x:row>
    <x:row r="181">
      <x:c r="A181" s="28"/>
      <x:c r="E181" s="49"/>
      <x:c r="F181" s="49"/>
      <x:c r="G181" s="49"/>
      <x:c r="H181" s="49"/>
      <x:c r="K181" s="28"/>
    </x:row>
    <x:row r="182">
      <x:c r="A182" s="28"/>
      <x:c r="E182" s="49"/>
      <x:c r="F182" s="49"/>
      <x:c r="G182" s="49"/>
      <x:c r="H182" s="49"/>
      <x:c r="K182" s="28"/>
    </x:row>
    <x:row r="183">
      <x:c r="A183" s="28"/>
      <x:c r="E183" s="49"/>
      <x:c r="F183" s="49"/>
      <x:c r="G183" s="49"/>
      <x:c r="H183" s="49"/>
      <x:c r="K183" s="28"/>
    </x:row>
    <x:row r="184">
      <x:c r="A184" s="28"/>
      <x:c r="E184" s="49"/>
      <x:c r="F184" s="49"/>
      <x:c r="G184" s="49"/>
      <x:c r="H184" s="49"/>
      <x:c r="K184" s="28"/>
    </x:row>
    <x:row r="185">
      <x:c r="A185" s="28"/>
      <x:c r="E185" s="49"/>
      <x:c r="F185" s="49"/>
      <x:c r="G185" s="49"/>
      <x:c r="H185" s="49"/>
      <x:c r="K185" s="28"/>
    </x:row>
    <x:row r="186">
      <x:c r="A186" s="28"/>
      <x:c r="E186" s="49"/>
      <x:c r="F186" s="49"/>
      <x:c r="G186" s="49"/>
      <x:c r="H186" s="49"/>
      <x:c r="K186" s="28"/>
    </x:row>
    <x:row r="187">
      <x:c r="A187" s="28"/>
      <x:c r="E187" s="49"/>
      <x:c r="F187" s="49"/>
      <x:c r="G187" s="49"/>
      <x:c r="H187" s="49"/>
      <x:c r="K187" s="28"/>
    </x:row>
    <x:row r="188">
      <x:c r="A188" s="28"/>
      <x:c r="E188" s="49"/>
      <x:c r="F188" s="49"/>
      <x:c r="G188" s="49"/>
      <x:c r="H188" s="49"/>
      <x:c r="K188" s="28"/>
    </x:row>
    <x:row r="189">
      <x:c r="A189" s="28"/>
      <x:c r="E189" s="49"/>
      <x:c r="F189" s="49"/>
      <x:c r="G189" s="49"/>
      <x:c r="H189" s="49"/>
      <x:c r="K189" s="28"/>
    </x:row>
    <x:row r="190">
      <x:c r="A190" s="28"/>
      <x:c r="E190" s="49"/>
      <x:c r="F190" s="49"/>
      <x:c r="G190" s="49"/>
      <x:c r="H190" s="49"/>
      <x:c r="K190" s="28"/>
    </x:row>
    <x:row r="191">
      <x:c r="A191" s="28"/>
      <x:c r="E191" s="49"/>
      <x:c r="F191" s="49"/>
      <x:c r="G191" s="49"/>
      <x:c r="H191" s="49"/>
      <x:c r="K191" s="28"/>
    </x:row>
    <x:row r="192">
      <x:c r="A192" s="28"/>
      <x:c r="E192" s="49"/>
      <x:c r="F192" s="49"/>
      <x:c r="G192" s="49"/>
      <x:c r="H192" s="49"/>
      <x:c r="K192" s="28"/>
    </x:row>
    <x:row r="193">
      <x:c r="A193" s="28"/>
      <x:c r="E193" s="49"/>
      <x:c r="F193" s="49"/>
      <x:c r="G193" s="49"/>
      <x:c r="H193" s="49"/>
      <x:c r="K193" s="28"/>
    </x:row>
    <x:row r="194">
      <x:c r="A194" s="28"/>
      <x:c r="E194" s="49"/>
      <x:c r="F194" s="49"/>
      <x:c r="G194" s="49"/>
      <x:c r="H194" s="49"/>
      <x:c r="K194" s="28"/>
    </x:row>
    <x:row r="195">
      <x:c r="A195" s="28"/>
      <x:c r="E195" s="49"/>
      <x:c r="F195" s="49"/>
      <x:c r="G195" s="49"/>
      <x:c r="H195" s="49"/>
      <x:c r="K195" s="28"/>
    </x:row>
    <x:row r="196">
      <x:c r="A196" s="28"/>
      <x:c r="E196" s="49"/>
      <x:c r="F196" s="49"/>
      <x:c r="G196" s="49"/>
      <x:c r="H196" s="49"/>
      <x:c r="K196" s="28"/>
    </x:row>
    <x:row r="197">
      <x:c r="A197" s="28"/>
      <x:c r="E197" s="49"/>
      <x:c r="F197" s="49"/>
      <x:c r="G197" s="49"/>
      <x:c r="H197" s="49"/>
      <x:c r="K197" s="28"/>
    </x:row>
    <x:row r="198">
      <x:c r="A198" s="28"/>
      <x:c r="E198" s="49"/>
      <x:c r="F198" s="49"/>
      <x:c r="G198" s="49"/>
      <x:c r="H198" s="49"/>
      <x:c r="K198" s="28"/>
    </x:row>
    <x:row r="199">
      <x:c r="A199" s="28"/>
      <x:c r="E199" s="49"/>
      <x:c r="F199" s="49"/>
      <x:c r="G199" s="49"/>
      <x:c r="H199" s="49"/>
      <x:c r="K199" s="28"/>
    </x:row>
    <x:row r="200">
      <x:c r="A200" s="28"/>
      <x:c r="E200" s="49"/>
      <x:c r="F200" s="49"/>
      <x:c r="G200" s="49"/>
      <x:c r="H200" s="49"/>
      <x:c r="K200" s="28"/>
    </x:row>
  </x:sheetData>
  <x:conditionalFormatting sqref="I6:I149">
    <x:cfRule type="cellIs" dxfId="7" priority="1" operator="equal">
      <x:formula>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1ae29a720442d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2" hidden="0" customWidth="1"/>
    <x:col min="3" max="3" width="12" hidden="0" customWidth="1"/>
    <x:col min="4" max="4" width="11" hidden="0" customWidth="1"/>
    <x:col min="5" max="5" width="68" hidden="0" customWidth="1"/>
    <x:col min="6" max="6" width="3" hidden="0" customWidth="1"/>
    <x:col min="7" max="7" width="10" hidden="0" customWidth="1"/>
    <x:col min="8" max="8" width="12" hidden="0" customWidth="1"/>
  </x:cols>
  <x:sheetData>
    <x:row r="1" ht="31" customHeight="1">
      <x:c r="A1" s="31" t="str">
        <x:v>Validation log</x:v>
      </x:c>
      <x:c r="B1" s="30"/>
      <x:c r="C1" s="30"/>
      <x:c r="D1" s="30"/>
      <x:c r="E1" s="30"/>
      <x:c r="F1" s="30"/>
      <x:c r="G1" s="30"/>
      <x:c r="H1" s="30"/>
    </x:row>
    <x:row r="2" ht="21" customHeight="1">
      <x:c r="A2" s="32" t="str">
        <x:v>Validation completed October 4, 2026. Formula results remain linked to the workbook inputs and independent source controls.</x:v>
      </x:c>
      <x:c r="B2" s="30"/>
      <x:c r="C2" s="30"/>
      <x:c r="D2" s="30"/>
      <x:c r="E2" s="30"/>
      <x:c r="F2" s="30"/>
      <x:c r="G2" s="30"/>
      <x:c r="H2" s="30"/>
    </x:row>
    <x:row r="3" ht="21" customHeight="1">
      <x:c r="A3" s="33"/>
      <x:c r="B3" s="33"/>
      <x:c r="C3" s="33"/>
      <x:c r="D3" s="33"/>
      <x:c r="E3" s="33"/>
      <x:c r="F3" s="33"/>
      <x:c r="G3" s="33"/>
      <x:c r="H3" s="33"/>
    </x:row>
    <x:row r="4" ht="21" customHeight="1">
      <x:c r="A4" s="30"/>
      <x:c r="B4" s="30"/>
      <x:c r="C4" s="30"/>
      <x:c r="D4" s="30"/>
      <x:c r="E4" s="30"/>
      <x:c r="F4" s="30"/>
      <x:c r="G4" s="30"/>
      <x:c r="H4" s="30"/>
    </x:row>
    <x:row r="5" ht="37" customHeight="1">
      <x:c r="A5" s="42" t="str">
        <x:v>Check</x:v>
      </x:c>
      <x:c r="B5" s="43" t="str">
        <x:v>Expected</x:v>
      </x:c>
      <x:c r="C5" s="43" t="str">
        <x:v>Actual</x:v>
      </x:c>
      <x:c r="D5" s="43" t="str">
        <x:v>Pass</x:v>
      </x:c>
      <x:c r="E5" s="44" t="str">
        <x:v>Evidence / interpretation</x:v>
      </x:c>
      <x:c r="F5" s="30"/>
      <x:c r="G5" s="42" t="str">
        <x:v>Year</x:v>
      </x:c>
      <x:c r="H5" s="44" t="str">
        <x:v>Records</x:v>
      </x:c>
    </x:row>
    <x:row r="6" ht="35" customHeight="1">
      <x:c r="A6" s="65" t="str">
        <x:v>Total county-year records</x:v>
      </x:c>
      <x:c r="B6" s="71" t="n">
        <x:v>174</x:v>
      </x:c>
      <x:c r="C6" s="71" t="n">
        <x:f>COUNTA('County annual'!B6:B179)</x:f>
        <x:v>174</x:v>
      </x:c>
      <x:c r="D6" s="65" t="str">
        <x:f>IF(C6=B6,"Pass","Check")</x:f>
        <x:v>Pass</x:v>
      </x:c>
      <x:c r="E6" s="73" t="str">
        <x:v>Annual data has 29 counties × 6 years.</x:v>
      </x:c>
      <x:c r="F6" s="30"/>
      <x:c r="G6" s="56" t="n">
        <x:v>2020</x:v>
      </x:c>
      <x:c r="H6" s="56" t="n">
        <x:f>COUNTIFS('County annual'!$A$6:$A$179,G6)</x:f>
        <x:v>29</x:v>
      </x:c>
    </x:row>
    <x:row r="7" ht="35" customHeight="1">
      <x:c r="A7" s="30" t="str">
        <x:v>Unique county-year records</x:v>
      </x:c>
      <x:c r="B7" s="47" t="n">
        <x:v>174</x:v>
      </x:c>
      <x:c r="C7" s="47" t="n">
        <x:f>COUNTIFS('County annual'!Q6:Q179,1)</x:f>
        <x:v>174</x:v>
      </x:c>
      <x:c r="D7" s="30" t="str">
        <x:f>IF(C7=B7,"Pass","Check")</x:f>
        <x:v>Pass</x:v>
      </x:c>
      <x:c r="E7" s="70" t="str">
        <x:v>Each row must have exactly one matching year/FIPS key.</x:v>
      </x:c>
      <x:c r="F7" s="30"/>
      <x:c r="G7" s="56" t="n">
        <x:v>2021</x:v>
      </x:c>
      <x:c r="H7" s="56" t="n">
        <x:f>COUNTIFS('County annual'!$A$6:$A$179,G7)</x:f>
        <x:v>29</x:v>
      </x:c>
    </x:row>
    <x:row r="8" ht="35" customHeight="1">
      <x:c r="A8" s="65" t="str">
        <x:v>Years with 29 records</x:v>
      </x:c>
      <x:c r="B8" s="71" t="n">
        <x:v>6</x:v>
      </x:c>
      <x:c r="C8" s="71" t="n">
        <x:f>COUNTIFS(H6:H11,29)</x:f>
        <x:v>6</x:v>
      </x:c>
      <x:c r="D8" s="65" t="str">
        <x:f>IF(C8=B8,"Pass","Check")</x:f>
        <x:v>Pass</x:v>
      </x:c>
      <x:c r="E8" s="73" t="str">
        <x:v>Annual counts are shown at right.</x:v>
      </x:c>
      <x:c r="F8" s="30"/>
      <x:c r="G8" s="56" t="n">
        <x:v>2022</x:v>
      </x:c>
      <x:c r="H8" s="56" t="n">
        <x:f>COUNTIFS('County annual'!$A$6:$A$179,G8)</x:f>
        <x:v>29</x:v>
      </x:c>
    </x:row>
    <x:row r="9" ht="35" customHeight="1">
      <x:c r="A9" s="30" t="str">
        <x:v>Expected county-years present once</x:v>
      </x:c>
      <x:c r="B9" s="47" t="n">
        <x:v>174</x:v>
      </x:c>
      <x:c r="C9" s="47" t="n">
        <x:f>COUNTIFS('County coverage'!C6:H34,1)</x:f>
        <x:v>174</x:v>
      </x:c>
      <x:c r="D9" s="30" t="str">
        <x:f>IF(C9=B9,"Pass","Check")</x:f>
        <x:v>Pass</x:v>
      </x:c>
      <x:c r="E9" s="70" t="str">
        <x:v>Compared with the separate county FIPS roster.</x:v>
      </x:c>
      <x:c r="F9" s="30"/>
      <x:c r="G9" s="56" t="n">
        <x:v>2023</x:v>
      </x:c>
      <x:c r="H9" s="56" t="n">
        <x:f>COUNTIFS('County annual'!$A$6:$A$179,G9)</x:f>
        <x:v>29</x:v>
      </x:c>
    </x:row>
    <x:row r="10" ht="35" customHeight="1">
      <x:c r="A10" s="65" t="str">
        <x:v>Blank year / county / FIPS cells</x:v>
      </x:c>
      <x:c r="B10" s="71" t="n">
        <x:v>0</x:v>
      </x:c>
      <x:c r="C10" s="71" t="n">
        <x:f>COUNTBLANK('County annual'!A6:C179)</x:f>
        <x:v>0</x:v>
      </x:c>
      <x:c r="D10" s="65" t="str">
        <x:f>IF(C10=B10,"Pass","Check")</x:f>
        <x:v>Pass</x:v>
      </x:c>
      <x:c r="E10" s="73" t="str">
        <x:v>Blank identifiers would prevent reliable joins.</x:v>
      </x:c>
      <x:c r="F10" s="30"/>
      <x:c r="G10" s="56" t="n">
        <x:v>2024</x:v>
      </x:c>
      <x:c r="H10" s="56" t="n">
        <x:f>COUNTIFS('County annual'!$A$6:$A$179,G10)</x:f>
        <x:v>29</x:v>
      </x:c>
    </x:row>
    <x:row r="11" ht="35" customHeight="1">
      <x:c r="A11" s="30" t="str">
        <x:v>Numeric housing-category inputs</x:v>
      </x:c>
      <x:c r="B11" s="47" t="n">
        <x:v>696</x:v>
      </x:c>
      <x:c r="C11" s="47" t="n">
        <x:f>COUNT('County annual'!D6:G179)</x:f>
        <x:v>696</x:v>
      </x:c>
      <x:c r="D11" s="30" t="str">
        <x:f>IF(C11=B11,"Pass","Check")</x:f>
        <x:v>Pass</x:v>
      </x:c>
      <x:c r="E11" s="70" t="str">
        <x:v>174 rows × 4 housing categories.</x:v>
      </x:c>
      <x:c r="F11" s="30"/>
      <x:c r="G11" s="56" t="n">
        <x:v>2025</x:v>
      </x:c>
      <x:c r="H11" s="56" t="n">
        <x:f>COUNTIFS('County annual'!$A$6:$A$179,G11)</x:f>
        <x:v>29</x:v>
      </x:c>
    </x:row>
    <x:row r="12" ht="35" customHeight="1">
      <x:c r="A12" s="65" t="str">
        <x:v>Negative housing-category inputs</x:v>
      </x:c>
      <x:c r="B12" s="71" t="n">
        <x:v>0</x:v>
      </x:c>
      <x:c r="C12" s="71" t="n">
        <x:f>COUNTIFS('County annual'!D6:G179,"&lt;0")</x:f>
        <x:v>0</x:v>
      </x:c>
      <x:c r="D12" s="65" t="str">
        <x:f>IF(C12=B12,"Pass","Check")</x:f>
        <x:v>Pass</x:v>
      </x:c>
      <x:c r="E12" s="73" t="str">
        <x:v>Authorized unit counts must be nonnegative.</x:v>
      </x:c>
      <x:c r="F12" s="30"/>
      <x:c r="G12" s="56"/>
      <x:c r="H12" s="56"/>
    </x:row>
    <x:row r="13" ht="35" customHeight="1">
      <x:c r="A13" s="30" t="str">
        <x:v>County-years matching source lines</x:v>
      </x:c>
      <x:c r="B13" s="47" t="n">
        <x:v>174</x:v>
      </x:c>
      <x:c r="C13" s="47" t="n">
        <x:f>COUNTIFS('Source comparison'!R6:R179,"Match")</x:f>
        <x:v>174</x:v>
      </x:c>
      <x:c r="D13" s="30" t="str">
        <x:f>IF(C13=B13,"Pass","Check")</x:f>
        <x:v>Pass</x:v>
      </x:c>
      <x:c r="E13" s="70" t="str">
        <x:v>Full comparison, not a sample: four unit categories plus totals, values and reported units.</x:v>
      </x:c>
      <x:c r="F13" s="30"/>
      <x:c r="G13" s="56"/>
      <x:c r="H13" s="56"/>
    </x:row>
    <x:row r="14" ht="35" customHeight="1">
      <x:c r="A14" s="65" t="str">
        <x:v>County-to-state controls within tolerance</x:v>
      </x:c>
      <x:c r="B14" s="71" t="n">
        <x:v>144</x:v>
      </x:c>
      <x:c r="C14" s="71" t="n">
        <x:f>COUNTIFS('State reconciliation'!I6:I149,"Pass")</x:f>
        <x:v>144</x:v>
      </x:c>
      <x:c r="D14" s="65" t="str">
        <x:f>IF(C14=B14,"Pass","Check")</x:f>
        <x:v>Pass</x:v>
      </x:c>
      <x:c r="E14" s="73" t="str">
        <x:v>Counts exact; nominal USD differences no larger than $500.</x:v>
      </x:c>
      <x:c r="F14" s="30"/>
      <x:c r="G14" s="56"/>
      <x:c r="H14" s="56"/>
    </x:row>
    <x:row r="15" ht="35" customHeight="1">
      <x:c r="A15" s="30" t="str">
        <x:v>Negative structure measures</x:v>
      </x:c>
      <x:c r="B15" s="47" t="n">
        <x:v>0</x:v>
      </x:c>
      <x:c r="C15" s="47" t="n">
        <x:f>COUNTIFS('By structure'!E6:J701,"&lt;0")</x:f>
        <x:v>0</x:v>
      </x:c>
      <x:c r="D15" s="30" t="str">
        <x:f>IF(C15=B15,"Pass","Check")</x:f>
        <x:v>Pass</x:v>
      </x:c>
      <x:c r="E15" s="70" t="str">
        <x:v>Estimated and reported buildings, units and values.</x:v>
      </x:c>
      <x:c r="F15" s="30"/>
      <x:c r="G15" s="56"/>
      <x:c r="H15" s="56"/>
    </x:row>
    <x:row r="16" ht="35" customHeight="1">
      <x:c r="A16" s="65" t="str">
        <x:v>Numeric structure measures</x:v>
      </x:c>
      <x:c r="B16" s="71" t="n">
        <x:v>4176</x:v>
      </x:c>
      <x:c r="C16" s="71" t="n">
        <x:f>COUNT('By structure'!E6:J701)</x:f>
        <x:v>4176</x:v>
      </x:c>
      <x:c r="D16" s="65" t="str">
        <x:f>IF(C16=B16,"Pass","Check")</x:f>
        <x:v>Pass</x:v>
      </x:c>
      <x:c r="E16" s="73" t="str">
        <x:v>696 records × 6 numeric measures.</x:v>
      </x:c>
      <x:c r="F16" s="30"/>
      <x:c r="G16" s="56"/>
      <x:c r="H16" s="56"/>
    </x:row>
    <x:row r="17" ht="35" customHeight="1">
      <x:c r="A17" s="30" t="str">
        <x:v>Invalid imputed unit shares</x:v>
      </x:c>
      <x:c r="B17" s="47" t="n">
        <x:v>0</x:v>
      </x:c>
      <x:c r="C17" s="47" t="n">
        <x:f>COUNTIFS('County annual'!L6:L179,"&lt;0")+COUNTIFS('County annual'!L6:L179,"&gt;1")</x:f>
        <x:v>0</x:v>
      </x:c>
      <x:c r="D17" s="30" t="str">
        <x:f>IF(C17=B17,"Pass","Check")</x:f>
        <x:v>Pass</x:v>
      </x:c>
      <x:c r="E17" s="70" t="str">
        <x:v>Shares must be between 0% and 100%; blank is allowed when units are zero.</x:v>
      </x:c>
      <x:c r="F17" s="30"/>
      <x:c r="G17" s="56"/>
      <x:c r="H17" s="56"/>
    </x:row>
    <x:row r="18" ht="21" customHeight="1">
      <x:c r="A18" s="30"/>
      <x:c r="B18" s="47"/>
      <x:c r="C18" s="47"/>
      <x:c r="D18" s="30"/>
      <x:c r="E18" s="30"/>
      <x:c r="F18" s="30"/>
      <x:c r="G18" s="56"/>
      <x:c r="H18" s="56"/>
    </x:row>
    <x:row r="19" ht="21" customHeight="1">
      <x:c r="A19" s="30"/>
      <x:c r="B19" s="47"/>
      <x:c r="C19" s="47"/>
      <x:c r="D19" s="30"/>
      <x:c r="E19" s="30"/>
      <x:c r="F19" s="30"/>
      <x:c r="G19" s="56"/>
      <x:c r="H19" s="56"/>
    </x:row>
    <x:row r="20" ht="21" customHeight="1">
      <x:c r="A20" s="30" t="str">
        <x:v>All workbook checks pass</x:v>
      </x:c>
      <x:c r="B20" s="47"/>
      <x:c r="C20" s="47"/>
      <x:c r="D20" s="30" t="str">
        <x:f>IF(COUNTIFS(D6:D17,"Pass")=12,"Pass","Check")</x:f>
        <x:v>Pass</x:v>
      </x:c>
      <x:c r="E20" s="30"/>
      <x:c r="F20" s="30"/>
      <x:c r="G20" s="56"/>
      <x:c r="H20" s="56"/>
    </x:row>
    <x:row r="21" ht="21" customHeight="1">
      <x:c r="A21" s="30"/>
      <x:c r="B21" s="47"/>
      <x:c r="C21" s="47"/>
      <x:c r="D21" s="30"/>
      <x:c r="E21" s="30"/>
      <x:c r="F21" s="30"/>
      <x:c r="G21" s="56"/>
      <x:c r="H21" s="56"/>
    </x:row>
    <x:row r="22" ht="21" customHeight="1">
      <x:c r="A22" s="30"/>
      <x:c r="B22" s="47"/>
      <x:c r="C22" s="47"/>
      <x:c r="D22" s="30"/>
      <x:c r="E22" s="30"/>
      <x:c r="F22" s="30"/>
      <x:c r="G22" s="56"/>
      <x:c r="H22" s="56"/>
    </x:row>
    <x:row r="23" ht="21" customHeight="1">
      <x:c r="A23" s="70" t="str">
        <x:v>A source match verifies preparation, not whether authorized housing was built. Census estimates include imputation; the survey coverage changed in 2023.</x:v>
      </x:c>
      <x:c r="B23" s="72"/>
      <x:c r="C23" s="72"/>
      <x:c r="D23" s="70"/>
      <x:c r="E23" s="70"/>
      <x:c r="F23" s="30"/>
      <x:c r="G23" s="56"/>
      <x:c r="H23" s="56"/>
    </x:row>
    <x:row r="24" ht="21" customHeight="1">
      <x:c r="A24" s="70"/>
      <x:c r="B24" s="72"/>
      <x:c r="C24" s="72"/>
      <x:c r="D24" s="70"/>
      <x:c r="E24" s="70"/>
      <x:c r="F24" s="30"/>
      <x:c r="G24" s="56"/>
      <x:c r="H24" s="56"/>
    </x:row>
    <x:row r="25" ht="21" customHeight="1">
      <x:c r="A25" s="30"/>
      <x:c r="B25" s="47"/>
      <x:c r="C25" s="47"/>
      <x:c r="D25" s="30"/>
      <x:c r="E25" s="30"/>
      <x:c r="F25" s="30"/>
      <x:c r="G25" s="56"/>
      <x:c r="H25" s="56"/>
    </x:row>
    <x:row r="26" ht="21" customHeight="1">
      <x:c r="A26" s="30"/>
      <x:c r="B26" s="47"/>
      <x:c r="C26" s="47"/>
      <x:c r="D26" s="30"/>
      <x:c r="E26" s="30"/>
      <x:c r="F26" s="30"/>
      <x:c r="G26" s="56"/>
      <x:c r="H26" s="56"/>
    </x:row>
    <x:row r="27" ht="21" customHeight="1">
      <x:c r="A27" s="30"/>
      <x:c r="B27" s="47"/>
      <x:c r="C27" s="47"/>
      <x:c r="D27" s="30"/>
      <x:c r="E27" s="30"/>
      <x:c r="F27" s="30"/>
      <x:c r="G27" s="56"/>
      <x:c r="H27" s="56"/>
    </x:row>
    <x:row r="28" ht="21" customHeight="1">
      <x:c r="A28" s="30"/>
      <x:c r="B28" s="47"/>
      <x:c r="C28" s="47"/>
      <x:c r="D28" s="30"/>
      <x:c r="E28" s="30"/>
      <x:c r="F28" s="30"/>
      <x:c r="G28" s="56"/>
      <x:c r="H28" s="56"/>
    </x:row>
    <x:row r="29">
      <x:c r="B29" s="49"/>
      <x:c r="C29" s="49"/>
      <x:c r="G29" s="28"/>
      <x:c r="H29" s="28"/>
    </x:row>
    <x:row r="30">
      <x:c r="B30" s="49"/>
      <x:c r="C30" s="49"/>
      <x:c r="G30" s="28"/>
      <x:c r="H30" s="28"/>
    </x:row>
    <x:row r="31">
      <x:c r="B31" s="49"/>
      <x:c r="C31" s="49"/>
      <x:c r="G31" s="28"/>
      <x:c r="H31" s="28"/>
    </x:row>
    <x:row r="32">
      <x:c r="B32" s="49"/>
      <x:c r="C32" s="49"/>
      <x:c r="G32" s="28"/>
      <x:c r="H32" s="28"/>
    </x:row>
    <x:row r="33">
      <x:c r="B33" s="49"/>
      <x:c r="C33" s="49"/>
      <x:c r="G33" s="28"/>
      <x:c r="H33" s="28"/>
    </x:row>
    <x:row r="34">
      <x:c r="B34" s="49"/>
      <x:c r="C34" s="49"/>
      <x:c r="G34" s="28"/>
      <x:c r="H34" s="28"/>
    </x:row>
    <x:row r="35">
      <x:c r="B35" s="49"/>
      <x:c r="C35" s="49"/>
      <x:c r="G35" s="28"/>
      <x:c r="H35" s="28"/>
    </x:row>
    <x:row r="36">
      <x:c r="B36" s="49"/>
      <x:c r="C36" s="49"/>
      <x:c r="G36" s="28"/>
      <x:c r="H36" s="28"/>
    </x:row>
    <x:row r="37">
      <x:c r="B37" s="49"/>
      <x:c r="C37" s="49"/>
      <x:c r="G37" s="28"/>
      <x:c r="H37" s="28"/>
    </x:row>
    <x:row r="38">
      <x:c r="B38" s="49"/>
      <x:c r="C38" s="49"/>
      <x:c r="G38" s="28"/>
      <x:c r="H38" s="28"/>
    </x:row>
    <x:row r="39">
      <x:c r="B39" s="49"/>
      <x:c r="C39" s="49"/>
      <x:c r="G39" s="28"/>
      <x:c r="H39" s="28"/>
    </x:row>
    <x:row r="40">
      <x:c r="B40" s="49"/>
      <x:c r="C40" s="49"/>
      <x:c r="G40" s="28"/>
      <x:c r="H40" s="28"/>
    </x:row>
    <x:row r="41">
      <x:c r="B41" s="49"/>
      <x:c r="C41" s="49"/>
      <x:c r="G41" s="28"/>
      <x:c r="H41" s="28"/>
    </x:row>
    <x:row r="42">
      <x:c r="B42" s="49"/>
      <x:c r="C42" s="49"/>
      <x:c r="G42" s="28"/>
      <x:c r="H42" s="28"/>
    </x:row>
    <x:row r="43">
      <x:c r="B43" s="49"/>
      <x:c r="C43" s="49"/>
      <x:c r="G43" s="28"/>
      <x:c r="H43" s="28"/>
    </x:row>
    <x:row r="44">
      <x:c r="B44" s="49"/>
      <x:c r="C44" s="49"/>
      <x:c r="G44" s="28"/>
      <x:c r="H44" s="28"/>
    </x:row>
    <x:row r="45">
      <x:c r="B45" s="49"/>
      <x:c r="C45" s="49"/>
      <x:c r="G45" s="28"/>
      <x:c r="H45" s="28"/>
    </x:row>
    <x:row r="46">
      <x:c r="B46" s="49"/>
      <x:c r="C46" s="49"/>
      <x:c r="G46" s="28"/>
      <x:c r="H46" s="28"/>
    </x:row>
    <x:row r="47">
      <x:c r="B47" s="49"/>
      <x:c r="C47" s="49"/>
      <x:c r="G47" s="28"/>
      <x:c r="H47" s="28"/>
    </x:row>
    <x:row r="48">
      <x:c r="B48" s="49"/>
      <x:c r="C48" s="49"/>
      <x:c r="G48" s="28"/>
      <x:c r="H48" s="28"/>
    </x:row>
    <x:row r="49">
      <x:c r="B49" s="49"/>
      <x:c r="C49" s="49"/>
      <x:c r="G49" s="28"/>
      <x:c r="H49" s="28"/>
    </x:row>
    <x:row r="50">
      <x:c r="B50" s="49"/>
      <x:c r="C50" s="49"/>
      <x:c r="G50" s="28"/>
      <x:c r="H50" s="28"/>
    </x:row>
    <x:row r="51">
      <x:c r="B51" s="49"/>
      <x:c r="C51" s="49"/>
      <x:c r="G51" s="28"/>
      <x:c r="H51" s="28"/>
    </x:row>
    <x:row r="52">
      <x:c r="B52" s="49"/>
      <x:c r="C52" s="49"/>
      <x:c r="G52" s="28"/>
      <x:c r="H52" s="28"/>
    </x:row>
    <x:row r="53">
      <x:c r="B53" s="49"/>
      <x:c r="C53" s="49"/>
      <x:c r="G53" s="28"/>
      <x:c r="H53" s="28"/>
    </x:row>
    <x:row r="54">
      <x:c r="B54" s="49"/>
      <x:c r="C54" s="49"/>
      <x:c r="G54" s="28"/>
      <x:c r="H54" s="28"/>
    </x:row>
    <x:row r="55">
      <x:c r="B55" s="49"/>
      <x:c r="C55" s="49"/>
      <x:c r="G55" s="28"/>
      <x:c r="H55" s="28"/>
    </x:row>
    <x:row r="56">
      <x:c r="B56" s="49"/>
      <x:c r="C56" s="49"/>
      <x:c r="G56" s="28"/>
      <x:c r="H56" s="28"/>
    </x:row>
    <x:row r="57">
      <x:c r="B57" s="49"/>
      <x:c r="C57" s="49"/>
      <x:c r="G57" s="28"/>
      <x:c r="H57" s="28"/>
    </x:row>
    <x:row r="58">
      <x:c r="B58" s="49"/>
      <x:c r="C58" s="49"/>
      <x:c r="G58" s="28"/>
      <x:c r="H58" s="28"/>
    </x:row>
    <x:row r="59">
      <x:c r="B59" s="49"/>
      <x:c r="C59" s="49"/>
      <x:c r="G59" s="28"/>
      <x:c r="H59" s="28"/>
    </x:row>
    <x:row r="60">
      <x:c r="B60" s="49"/>
      <x:c r="C60" s="49"/>
      <x:c r="G60" s="28"/>
      <x:c r="H60" s="28"/>
    </x:row>
    <x:row r="61">
      <x:c r="B61" s="49"/>
      <x:c r="C61" s="49"/>
      <x:c r="G61" s="28"/>
      <x:c r="H61" s="28"/>
    </x:row>
    <x:row r="62">
      <x:c r="B62" s="49"/>
      <x:c r="C62" s="49"/>
      <x:c r="G62" s="28"/>
      <x:c r="H62" s="28"/>
    </x:row>
    <x:row r="63">
      <x:c r="B63" s="49"/>
      <x:c r="C63" s="49"/>
      <x:c r="G63" s="28"/>
      <x:c r="H63" s="28"/>
    </x:row>
    <x:row r="64">
      <x:c r="B64" s="49"/>
      <x:c r="C64" s="49"/>
      <x:c r="G64" s="28"/>
      <x:c r="H64" s="28"/>
    </x:row>
    <x:row r="65">
      <x:c r="B65" s="49"/>
      <x:c r="C65" s="49"/>
      <x:c r="G65" s="28"/>
      <x:c r="H65" s="28"/>
    </x:row>
    <x:row r="66">
      <x:c r="B66" s="49"/>
      <x:c r="C66" s="49"/>
      <x:c r="G66" s="28"/>
      <x:c r="H66" s="28"/>
    </x:row>
    <x:row r="67">
      <x:c r="B67" s="49"/>
      <x:c r="C67" s="49"/>
      <x:c r="G67" s="28"/>
      <x:c r="H67" s="28"/>
    </x:row>
    <x:row r="68">
      <x:c r="B68" s="49"/>
      <x:c r="C68" s="49"/>
      <x:c r="G68" s="28"/>
      <x:c r="H68" s="28"/>
    </x:row>
    <x:row r="69">
      <x:c r="B69" s="49"/>
      <x:c r="C69" s="49"/>
      <x:c r="G69" s="28"/>
      <x:c r="H69" s="28"/>
    </x:row>
    <x:row r="70">
      <x:c r="B70" s="49"/>
      <x:c r="C70" s="49"/>
      <x:c r="G70" s="28"/>
      <x:c r="H70" s="28"/>
    </x:row>
    <x:row r="71">
      <x:c r="B71" s="49"/>
      <x:c r="C71" s="49"/>
      <x:c r="G71" s="28"/>
      <x:c r="H71" s="28"/>
    </x:row>
    <x:row r="72">
      <x:c r="B72" s="49"/>
      <x:c r="C72" s="49"/>
      <x:c r="G72" s="28"/>
      <x:c r="H72" s="28"/>
    </x:row>
    <x:row r="73">
      <x:c r="B73" s="49"/>
      <x:c r="C73" s="49"/>
      <x:c r="G73" s="28"/>
      <x:c r="H73" s="28"/>
    </x:row>
    <x:row r="74">
      <x:c r="B74" s="49"/>
      <x:c r="C74" s="49"/>
      <x:c r="G74" s="28"/>
      <x:c r="H74" s="28"/>
    </x:row>
    <x:row r="75">
      <x:c r="B75" s="49"/>
      <x:c r="C75" s="49"/>
      <x:c r="G75" s="28"/>
      <x:c r="H75" s="28"/>
    </x:row>
    <x:row r="76">
      <x:c r="B76" s="49"/>
      <x:c r="C76" s="49"/>
      <x:c r="G76" s="28"/>
      <x:c r="H76" s="28"/>
    </x:row>
    <x:row r="77">
      <x:c r="B77" s="49"/>
      <x:c r="C77" s="49"/>
      <x:c r="G77" s="28"/>
      <x:c r="H77" s="28"/>
    </x:row>
    <x:row r="78">
      <x:c r="B78" s="49"/>
      <x:c r="C78" s="49"/>
      <x:c r="G78" s="28"/>
      <x:c r="H78" s="28"/>
    </x:row>
    <x:row r="79">
      <x:c r="B79" s="49"/>
      <x:c r="C79" s="49"/>
      <x:c r="G79" s="28"/>
      <x:c r="H79" s="28"/>
    </x:row>
    <x:row r="80">
      <x:c r="B80" s="49"/>
      <x:c r="C80" s="49"/>
      <x:c r="G80" s="28"/>
      <x:c r="H80" s="28"/>
    </x:row>
    <x:row r="81">
      <x:c r="B81" s="49"/>
      <x:c r="C81" s="49"/>
      <x:c r="G81" s="28"/>
      <x:c r="H81" s="28"/>
    </x:row>
    <x:row r="82">
      <x:c r="B82" s="49"/>
      <x:c r="C82" s="49"/>
      <x:c r="G82" s="28"/>
      <x:c r="H82" s="28"/>
    </x:row>
    <x:row r="83">
      <x:c r="B83" s="49"/>
      <x:c r="C83" s="49"/>
      <x:c r="G83" s="28"/>
      <x:c r="H83" s="28"/>
    </x:row>
    <x:row r="84">
      <x:c r="B84" s="49"/>
      <x:c r="C84" s="49"/>
      <x:c r="G84" s="28"/>
      <x:c r="H84" s="28"/>
    </x:row>
    <x:row r="85">
      <x:c r="B85" s="49"/>
      <x:c r="C85" s="49"/>
      <x:c r="G85" s="28"/>
      <x:c r="H85" s="28"/>
    </x:row>
    <x:row r="86">
      <x:c r="B86" s="49"/>
      <x:c r="C86" s="49"/>
      <x:c r="G86" s="28"/>
      <x:c r="H86" s="28"/>
    </x:row>
    <x:row r="87">
      <x:c r="B87" s="49"/>
      <x:c r="C87" s="49"/>
      <x:c r="G87" s="28"/>
      <x:c r="H87" s="28"/>
    </x:row>
    <x:row r="88">
      <x:c r="B88" s="49"/>
      <x:c r="C88" s="49"/>
      <x:c r="G88" s="28"/>
      <x:c r="H88" s="28"/>
    </x:row>
    <x:row r="89">
      <x:c r="B89" s="49"/>
      <x:c r="C89" s="49"/>
      <x:c r="G89" s="28"/>
      <x:c r="H89" s="28"/>
    </x:row>
    <x:row r="90">
      <x:c r="B90" s="49"/>
      <x:c r="C90" s="49"/>
      <x:c r="G90" s="28"/>
      <x:c r="H90" s="28"/>
    </x:row>
    <x:row r="91">
      <x:c r="B91" s="49"/>
      <x:c r="C91" s="49"/>
      <x:c r="G91" s="28"/>
      <x:c r="H91" s="28"/>
    </x:row>
    <x:row r="92">
      <x:c r="B92" s="49"/>
      <x:c r="C92" s="49"/>
      <x:c r="G92" s="28"/>
      <x:c r="H92" s="28"/>
    </x:row>
    <x:row r="93">
      <x:c r="B93" s="49"/>
      <x:c r="C93" s="49"/>
      <x:c r="G93" s="28"/>
      <x:c r="H93" s="28"/>
    </x:row>
    <x:row r="94">
      <x:c r="B94" s="49"/>
      <x:c r="C94" s="49"/>
      <x:c r="G94" s="28"/>
      <x:c r="H94" s="28"/>
    </x:row>
    <x:row r="95">
      <x:c r="B95" s="49"/>
      <x:c r="C95" s="49"/>
      <x:c r="G95" s="28"/>
      <x:c r="H95" s="28"/>
    </x:row>
    <x:row r="96">
      <x:c r="B96" s="49"/>
      <x:c r="C96" s="49"/>
      <x:c r="G96" s="28"/>
      <x:c r="H96" s="28"/>
    </x:row>
    <x:row r="97">
      <x:c r="B97" s="49"/>
      <x:c r="C97" s="49"/>
      <x:c r="G97" s="28"/>
      <x:c r="H97" s="28"/>
    </x:row>
    <x:row r="98">
      <x:c r="B98" s="49"/>
      <x:c r="C98" s="49"/>
      <x:c r="G98" s="28"/>
      <x:c r="H98" s="28"/>
    </x:row>
    <x:row r="99">
      <x:c r="B99" s="49"/>
      <x:c r="C99" s="49"/>
      <x:c r="G99" s="28"/>
      <x:c r="H99" s="28"/>
    </x:row>
    <x:row r="100">
      <x:c r="B100" s="49"/>
      <x:c r="C100" s="49"/>
      <x:c r="G100" s="28"/>
      <x:c r="H100" s="28"/>
    </x:row>
    <x:row r="101">
      <x:c r="B101" s="49"/>
      <x:c r="C101" s="49"/>
      <x:c r="G101" s="28"/>
      <x:c r="H101" s="28"/>
    </x:row>
    <x:row r="102">
      <x:c r="B102" s="49"/>
      <x:c r="C102" s="49"/>
      <x:c r="G102" s="28"/>
      <x:c r="H102" s="28"/>
    </x:row>
    <x:row r="103">
      <x:c r="B103" s="49"/>
      <x:c r="C103" s="49"/>
      <x:c r="G103" s="28"/>
      <x:c r="H103" s="28"/>
    </x:row>
    <x:row r="104">
      <x:c r="B104" s="49"/>
      <x:c r="C104" s="49"/>
      <x:c r="G104" s="28"/>
      <x:c r="H104" s="28"/>
    </x:row>
    <x:row r="105">
      <x:c r="B105" s="49"/>
      <x:c r="C105" s="49"/>
      <x:c r="G105" s="28"/>
      <x:c r="H105" s="28"/>
    </x:row>
    <x:row r="106">
      <x:c r="B106" s="49"/>
      <x:c r="C106" s="49"/>
      <x:c r="G106" s="28"/>
      <x:c r="H106" s="28"/>
    </x:row>
    <x:row r="107">
      <x:c r="B107" s="49"/>
      <x:c r="C107" s="49"/>
      <x:c r="G107" s="28"/>
      <x:c r="H107" s="28"/>
    </x:row>
    <x:row r="108">
      <x:c r="B108" s="49"/>
      <x:c r="C108" s="49"/>
      <x:c r="G108" s="28"/>
      <x:c r="H108" s="28"/>
    </x:row>
    <x:row r="109">
      <x:c r="B109" s="49"/>
      <x:c r="C109" s="49"/>
      <x:c r="G109" s="28"/>
      <x:c r="H109" s="28"/>
    </x:row>
    <x:row r="110">
      <x:c r="B110" s="49"/>
      <x:c r="C110" s="49"/>
      <x:c r="G110" s="28"/>
      <x:c r="H110" s="28"/>
    </x:row>
    <x:row r="111">
      <x:c r="B111" s="49"/>
      <x:c r="C111" s="49"/>
      <x:c r="G111" s="28"/>
      <x:c r="H111" s="28"/>
    </x:row>
    <x:row r="112">
      <x:c r="B112" s="49"/>
      <x:c r="C112" s="49"/>
      <x:c r="G112" s="28"/>
      <x:c r="H112" s="28"/>
    </x:row>
    <x:row r="113">
      <x:c r="B113" s="49"/>
      <x:c r="C113" s="49"/>
      <x:c r="G113" s="28"/>
      <x:c r="H113" s="28"/>
    </x:row>
    <x:row r="114">
      <x:c r="B114" s="49"/>
      <x:c r="C114" s="49"/>
      <x:c r="G114" s="28"/>
      <x:c r="H114" s="28"/>
    </x:row>
    <x:row r="115">
      <x:c r="B115" s="49"/>
      <x:c r="C115" s="49"/>
      <x:c r="G115" s="28"/>
      <x:c r="H115" s="28"/>
    </x:row>
    <x:row r="116">
      <x:c r="B116" s="49"/>
      <x:c r="C116" s="49"/>
      <x:c r="G116" s="28"/>
      <x:c r="H116" s="28"/>
    </x:row>
    <x:row r="117">
      <x:c r="B117" s="49"/>
      <x:c r="C117" s="49"/>
      <x:c r="G117" s="28"/>
      <x:c r="H117" s="28"/>
    </x:row>
    <x:row r="118">
      <x:c r="B118" s="49"/>
      <x:c r="C118" s="49"/>
      <x:c r="G118" s="28"/>
      <x:c r="H118" s="28"/>
    </x:row>
    <x:row r="119">
      <x:c r="B119" s="49"/>
      <x:c r="C119" s="49"/>
      <x:c r="G119" s="28"/>
      <x:c r="H119" s="28"/>
    </x:row>
    <x:row r="120">
      <x:c r="B120" s="49"/>
      <x:c r="C120" s="49"/>
      <x:c r="G120" s="28"/>
      <x:c r="H120" s="28"/>
    </x:row>
    <x:row r="121">
      <x:c r="B121" s="49"/>
      <x:c r="C121" s="49"/>
      <x:c r="G121" s="28"/>
      <x:c r="H121" s="28"/>
    </x:row>
    <x:row r="122">
      <x:c r="B122" s="49"/>
      <x:c r="C122" s="49"/>
      <x:c r="G122" s="28"/>
      <x:c r="H122" s="28"/>
    </x:row>
    <x:row r="123">
      <x:c r="B123" s="49"/>
      <x:c r="C123" s="49"/>
      <x:c r="G123" s="28"/>
      <x:c r="H123" s="28"/>
    </x:row>
    <x:row r="124">
      <x:c r="B124" s="49"/>
      <x:c r="C124" s="49"/>
      <x:c r="G124" s="28"/>
      <x:c r="H124" s="28"/>
    </x:row>
    <x:row r="125">
      <x:c r="B125" s="49"/>
      <x:c r="C125" s="49"/>
      <x:c r="G125" s="28"/>
      <x:c r="H125" s="28"/>
    </x:row>
    <x:row r="126">
      <x:c r="B126" s="49"/>
      <x:c r="C126" s="49"/>
      <x:c r="G126" s="28"/>
      <x:c r="H126" s="28"/>
    </x:row>
    <x:row r="127">
      <x:c r="B127" s="49"/>
      <x:c r="C127" s="49"/>
      <x:c r="G127" s="28"/>
      <x:c r="H127" s="28"/>
    </x:row>
    <x:row r="128">
      <x:c r="B128" s="49"/>
      <x:c r="C128" s="49"/>
      <x:c r="G128" s="28"/>
      <x:c r="H128" s="28"/>
    </x:row>
    <x:row r="129">
      <x:c r="B129" s="49"/>
      <x:c r="C129" s="49"/>
      <x:c r="G129" s="28"/>
      <x:c r="H129" s="28"/>
    </x:row>
    <x:row r="130">
      <x:c r="B130" s="49"/>
      <x:c r="C130" s="49"/>
      <x:c r="G130" s="28"/>
      <x:c r="H130" s="28"/>
    </x:row>
    <x:row r="131">
      <x:c r="B131" s="49"/>
      <x:c r="C131" s="49"/>
      <x:c r="G131" s="28"/>
      <x:c r="H131" s="28"/>
    </x:row>
    <x:row r="132">
      <x:c r="B132" s="49"/>
      <x:c r="C132" s="49"/>
      <x:c r="G132" s="28"/>
      <x:c r="H132" s="28"/>
    </x:row>
    <x:row r="133">
      <x:c r="B133" s="49"/>
      <x:c r="C133" s="49"/>
      <x:c r="G133" s="28"/>
      <x:c r="H133" s="28"/>
    </x:row>
    <x:row r="134">
      <x:c r="B134" s="49"/>
      <x:c r="C134" s="49"/>
      <x:c r="G134" s="28"/>
      <x:c r="H134" s="28"/>
    </x:row>
    <x:row r="135">
      <x:c r="B135" s="49"/>
      <x:c r="C135" s="49"/>
      <x:c r="G135" s="28"/>
      <x:c r="H135" s="28"/>
    </x:row>
    <x:row r="136">
      <x:c r="B136" s="49"/>
      <x:c r="C136" s="49"/>
      <x:c r="G136" s="28"/>
      <x:c r="H136" s="28"/>
    </x:row>
    <x:row r="137">
      <x:c r="B137" s="49"/>
      <x:c r="C137" s="49"/>
      <x:c r="G137" s="28"/>
      <x:c r="H137" s="28"/>
    </x:row>
    <x:row r="138">
      <x:c r="B138" s="49"/>
      <x:c r="C138" s="49"/>
      <x:c r="G138" s="28"/>
      <x:c r="H138" s="28"/>
    </x:row>
    <x:row r="139">
      <x:c r="B139" s="49"/>
      <x:c r="C139" s="49"/>
      <x:c r="G139" s="28"/>
      <x:c r="H139" s="28"/>
    </x:row>
    <x:row r="140">
      <x:c r="B140" s="49"/>
      <x:c r="C140" s="49"/>
      <x:c r="G140" s="28"/>
      <x:c r="H140" s="28"/>
    </x:row>
    <x:row r="141">
      <x:c r="B141" s="49"/>
      <x:c r="C141" s="49"/>
      <x:c r="G141" s="28"/>
      <x:c r="H141" s="28"/>
    </x:row>
    <x:row r="142">
      <x:c r="B142" s="49"/>
      <x:c r="C142" s="49"/>
      <x:c r="G142" s="28"/>
      <x:c r="H142" s="28"/>
    </x:row>
    <x:row r="143">
      <x:c r="B143" s="49"/>
      <x:c r="C143" s="49"/>
      <x:c r="G143" s="28"/>
      <x:c r="H143" s="28"/>
    </x:row>
    <x:row r="144">
      <x:c r="B144" s="49"/>
      <x:c r="C144" s="49"/>
      <x:c r="G144" s="28"/>
      <x:c r="H144" s="28"/>
    </x:row>
    <x:row r="145">
      <x:c r="B145" s="49"/>
      <x:c r="C145" s="49"/>
      <x:c r="G145" s="28"/>
      <x:c r="H145" s="28"/>
    </x:row>
    <x:row r="146">
      <x:c r="B146" s="49"/>
      <x:c r="C146" s="49"/>
      <x:c r="G146" s="28"/>
      <x:c r="H146" s="28"/>
    </x:row>
    <x:row r="147">
      <x:c r="B147" s="49"/>
      <x:c r="C147" s="49"/>
      <x:c r="G147" s="28"/>
      <x:c r="H147" s="28"/>
    </x:row>
    <x:row r="148">
      <x:c r="B148" s="49"/>
      <x:c r="C148" s="49"/>
      <x:c r="G148" s="28"/>
      <x:c r="H148" s="28"/>
    </x:row>
    <x:row r="149">
      <x:c r="B149" s="49"/>
      <x:c r="C149" s="49"/>
      <x:c r="G149" s="28"/>
      <x:c r="H149" s="28"/>
    </x:row>
    <x:row r="150">
      <x:c r="B150" s="49"/>
      <x:c r="C150" s="49"/>
      <x:c r="G150" s="28"/>
      <x:c r="H150" s="28"/>
    </x:row>
    <x:row r="151">
      <x:c r="B151" s="49"/>
      <x:c r="C151" s="49"/>
      <x:c r="G151" s="28"/>
      <x:c r="H151" s="28"/>
    </x:row>
    <x:row r="152">
      <x:c r="B152" s="49"/>
      <x:c r="C152" s="49"/>
      <x:c r="G152" s="28"/>
      <x:c r="H152" s="28"/>
    </x:row>
    <x:row r="153">
      <x:c r="B153" s="49"/>
      <x:c r="C153" s="49"/>
      <x:c r="G153" s="28"/>
      <x:c r="H153" s="28"/>
    </x:row>
    <x:row r="154">
      <x:c r="B154" s="49"/>
      <x:c r="C154" s="49"/>
      <x:c r="G154" s="28"/>
      <x:c r="H154" s="28"/>
    </x:row>
    <x:row r="155">
      <x:c r="B155" s="49"/>
      <x:c r="C155" s="49"/>
      <x:c r="G155" s="28"/>
      <x:c r="H155" s="28"/>
    </x:row>
    <x:row r="156">
      <x:c r="B156" s="49"/>
      <x:c r="C156" s="49"/>
      <x:c r="G156" s="28"/>
      <x:c r="H156" s="28"/>
    </x:row>
    <x:row r="157">
      <x:c r="B157" s="49"/>
      <x:c r="C157" s="49"/>
      <x:c r="G157" s="28"/>
      <x:c r="H157" s="28"/>
    </x:row>
    <x:row r="158">
      <x:c r="B158" s="49"/>
      <x:c r="C158" s="49"/>
      <x:c r="G158" s="28"/>
      <x:c r="H158" s="28"/>
    </x:row>
    <x:row r="159">
      <x:c r="B159" s="49"/>
      <x:c r="C159" s="49"/>
      <x:c r="G159" s="28"/>
      <x:c r="H159" s="28"/>
    </x:row>
    <x:row r="160">
      <x:c r="B160" s="49"/>
      <x:c r="C160" s="49"/>
      <x:c r="G160" s="28"/>
      <x:c r="H160" s="28"/>
    </x:row>
    <x:row r="161">
      <x:c r="B161" s="49"/>
      <x:c r="C161" s="49"/>
      <x:c r="G161" s="28"/>
      <x:c r="H161" s="28"/>
    </x:row>
    <x:row r="162">
      <x:c r="B162" s="49"/>
      <x:c r="C162" s="49"/>
      <x:c r="G162" s="28"/>
      <x:c r="H162" s="28"/>
    </x:row>
    <x:row r="163">
      <x:c r="B163" s="49"/>
      <x:c r="C163" s="49"/>
      <x:c r="G163" s="28"/>
      <x:c r="H163" s="28"/>
    </x:row>
    <x:row r="164">
      <x:c r="B164" s="49"/>
      <x:c r="C164" s="49"/>
      <x:c r="G164" s="28"/>
      <x:c r="H164" s="28"/>
    </x:row>
    <x:row r="165">
      <x:c r="B165" s="49"/>
      <x:c r="C165" s="49"/>
      <x:c r="G165" s="28"/>
      <x:c r="H165" s="28"/>
    </x:row>
    <x:row r="166">
      <x:c r="B166" s="49"/>
      <x:c r="C166" s="49"/>
      <x:c r="G166" s="28"/>
      <x:c r="H166" s="28"/>
    </x:row>
    <x:row r="167">
      <x:c r="B167" s="49"/>
      <x:c r="C167" s="49"/>
      <x:c r="G167" s="28"/>
      <x:c r="H167" s="28"/>
    </x:row>
    <x:row r="168">
      <x:c r="B168" s="49"/>
      <x:c r="C168" s="49"/>
      <x:c r="G168" s="28"/>
      <x:c r="H168" s="28"/>
    </x:row>
    <x:row r="169">
      <x:c r="B169" s="49"/>
      <x:c r="C169" s="49"/>
      <x:c r="G169" s="28"/>
      <x:c r="H169" s="28"/>
    </x:row>
    <x:row r="170">
      <x:c r="B170" s="49"/>
      <x:c r="C170" s="49"/>
      <x:c r="G170" s="28"/>
      <x:c r="H170" s="28"/>
    </x:row>
    <x:row r="171">
      <x:c r="B171" s="49"/>
      <x:c r="C171" s="49"/>
      <x:c r="G171" s="28"/>
      <x:c r="H171" s="28"/>
    </x:row>
    <x:row r="172">
      <x:c r="B172" s="49"/>
      <x:c r="C172" s="49"/>
      <x:c r="G172" s="28"/>
      <x:c r="H172" s="28"/>
    </x:row>
    <x:row r="173">
      <x:c r="B173" s="49"/>
      <x:c r="C173" s="49"/>
      <x:c r="G173" s="28"/>
      <x:c r="H173" s="28"/>
    </x:row>
    <x:row r="174">
      <x:c r="B174" s="49"/>
      <x:c r="C174" s="49"/>
      <x:c r="G174" s="28"/>
      <x:c r="H174" s="28"/>
    </x:row>
    <x:row r="175">
      <x:c r="B175" s="49"/>
      <x:c r="C175" s="49"/>
      <x:c r="G175" s="28"/>
      <x:c r="H175" s="28"/>
    </x:row>
    <x:row r="176">
      <x:c r="B176" s="49"/>
      <x:c r="C176" s="49"/>
      <x:c r="G176" s="28"/>
      <x:c r="H176" s="28"/>
    </x:row>
    <x:row r="177">
      <x:c r="B177" s="49"/>
      <x:c r="C177" s="49"/>
      <x:c r="G177" s="28"/>
      <x:c r="H177" s="28"/>
    </x:row>
    <x:row r="178">
      <x:c r="B178" s="49"/>
      <x:c r="C178" s="49"/>
      <x:c r="G178" s="28"/>
      <x:c r="H178" s="28"/>
    </x:row>
    <x:row r="179">
      <x:c r="B179" s="49"/>
      <x:c r="C179" s="49"/>
      <x:c r="G179" s="28"/>
      <x:c r="H179" s="28"/>
    </x:row>
    <x:row r="180">
      <x:c r="B180" s="49"/>
      <x:c r="C180" s="49"/>
      <x:c r="G180" s="28"/>
      <x:c r="H180" s="28"/>
    </x:row>
    <x:row r="181">
      <x:c r="B181" s="49"/>
      <x:c r="C181" s="49"/>
      <x:c r="G181" s="28"/>
      <x:c r="H181" s="28"/>
    </x:row>
    <x:row r="182">
      <x:c r="B182" s="49"/>
      <x:c r="C182" s="49"/>
      <x:c r="G182" s="28"/>
      <x:c r="H182" s="28"/>
    </x:row>
    <x:row r="183">
      <x:c r="B183" s="49"/>
      <x:c r="C183" s="49"/>
      <x:c r="G183" s="28"/>
      <x:c r="H183" s="28"/>
    </x:row>
    <x:row r="184">
      <x:c r="B184" s="49"/>
      <x:c r="C184" s="49"/>
      <x:c r="G184" s="28"/>
      <x:c r="H184" s="28"/>
    </x:row>
    <x:row r="185">
      <x:c r="B185" s="49"/>
      <x:c r="C185" s="49"/>
      <x:c r="G185" s="28"/>
      <x:c r="H185" s="28"/>
    </x:row>
    <x:row r="186">
      <x:c r="B186" s="49"/>
      <x:c r="C186" s="49"/>
      <x:c r="G186" s="28"/>
      <x:c r="H186" s="28"/>
    </x:row>
    <x:row r="187">
      <x:c r="B187" s="49"/>
      <x:c r="C187" s="49"/>
      <x:c r="G187" s="28"/>
      <x:c r="H187" s="28"/>
    </x:row>
    <x:row r="188">
      <x:c r="B188" s="49"/>
      <x:c r="C188" s="49"/>
      <x:c r="G188" s="28"/>
      <x:c r="H188" s="28"/>
    </x:row>
    <x:row r="189">
      <x:c r="B189" s="49"/>
      <x:c r="C189" s="49"/>
      <x:c r="G189" s="28"/>
      <x:c r="H189" s="28"/>
    </x:row>
    <x:row r="190">
      <x:c r="B190" s="49"/>
      <x:c r="C190" s="49"/>
      <x:c r="G190" s="28"/>
      <x:c r="H190" s="28"/>
    </x:row>
    <x:row r="191">
      <x:c r="B191" s="49"/>
      <x:c r="C191" s="49"/>
      <x:c r="G191" s="28"/>
      <x:c r="H191" s="28"/>
    </x:row>
    <x:row r="192">
      <x:c r="B192" s="49"/>
      <x:c r="C192" s="49"/>
      <x:c r="G192" s="28"/>
      <x:c r="H192" s="28"/>
    </x:row>
    <x:row r="193">
      <x:c r="B193" s="49"/>
      <x:c r="C193" s="49"/>
      <x:c r="G193" s="28"/>
      <x:c r="H193" s="28"/>
    </x:row>
    <x:row r="194">
      <x:c r="B194" s="49"/>
      <x:c r="C194" s="49"/>
      <x:c r="G194" s="28"/>
      <x:c r="H194" s="28"/>
    </x:row>
    <x:row r="195">
      <x:c r="B195" s="49"/>
      <x:c r="C195" s="49"/>
      <x:c r="G195" s="28"/>
      <x:c r="H195" s="28"/>
    </x:row>
    <x:row r="196">
      <x:c r="B196" s="49"/>
      <x:c r="C196" s="49"/>
      <x:c r="G196" s="28"/>
      <x:c r="H196" s="28"/>
    </x:row>
    <x:row r="197">
      <x:c r="B197" s="49"/>
      <x:c r="C197" s="49"/>
      <x:c r="G197" s="28"/>
      <x:c r="H197" s="28"/>
    </x:row>
    <x:row r="198">
      <x:c r="B198" s="49"/>
      <x:c r="C198" s="49"/>
      <x:c r="G198" s="28"/>
      <x:c r="H198" s="28"/>
    </x:row>
    <x:row r="199">
      <x:c r="B199" s="49"/>
      <x:c r="C199" s="49"/>
      <x:c r="G199" s="28"/>
      <x:c r="H199" s="28"/>
    </x:row>
    <x:row r="200">
      <x:c r="B200" s="49"/>
      <x:c r="C200" s="49"/>
      <x:c r="G200" s="28"/>
      <x:c r="H200" s="28"/>
    </x:row>
  </x:sheetData>
  <x:mergeCells>
    <x:mergeCell ref="A23:E24"/>
  </x:mergeCells>
  <x:conditionalFormatting sqref="D6:D17">
    <x:cfRule type="cellIs" dxfId="8" priority="1" operator="equal">
      <x:formula>"Check"</x:formula>
    </x:cfRule>
  </x:conditionalFormatting>
  <x:conditionalFormatting sqref="D20:D20">
    <x:cfRule type="cellIs" dxfId="9" priority="2" operator="equal">
      <x:formula>"Check"</x:formula>
    </x:cfRule>
  </x:conditionalFormatting>
  <x:pageMargins left="0.7" right="0.7" top="0.75" bottom="0.75" header="0.3" footer="0.3"/>
</x:worksheet>
</file>