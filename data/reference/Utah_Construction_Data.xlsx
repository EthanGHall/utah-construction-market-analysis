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/>
  </mc:AlternateContent>
  <xr:revisionPtr revIDLastSave="0" documentId="11_D44F93DC579A51893B86095DFB5BC8FBED35EBDF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 here" sheetId="1" r:id="rId1"/>
    <sheet name="County annual" sheetId="2" r:id="rId2"/>
    <sheet name="By structure" sheetId="3" r:id="rId3"/>
    <sheet name="Sources" sheetId="4" r:id="rId4"/>
    <sheet name="Diction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9" i="2" l="1"/>
  <c r="L179" i="2" s="1"/>
  <c r="J179" i="2"/>
  <c r="I179" i="2"/>
  <c r="H179" i="2"/>
  <c r="K178" i="2"/>
  <c r="J178" i="2"/>
  <c r="I178" i="2"/>
  <c r="H178" i="2"/>
  <c r="L178" i="2" s="1"/>
  <c r="K177" i="2"/>
  <c r="J177" i="2"/>
  <c r="I177" i="2"/>
  <c r="H177" i="2"/>
  <c r="L177" i="2" s="1"/>
  <c r="K176" i="2"/>
  <c r="L176" i="2" s="1"/>
  <c r="J176" i="2"/>
  <c r="I176" i="2"/>
  <c r="H176" i="2"/>
  <c r="K175" i="2"/>
  <c r="J175" i="2"/>
  <c r="I175" i="2"/>
  <c r="H175" i="2"/>
  <c r="L175" i="2" s="1"/>
  <c r="K174" i="2"/>
  <c r="L174" i="2" s="1"/>
  <c r="J174" i="2"/>
  <c r="I174" i="2"/>
  <c r="H174" i="2"/>
  <c r="L173" i="2"/>
  <c r="K173" i="2"/>
  <c r="J173" i="2"/>
  <c r="I173" i="2"/>
  <c r="H173" i="2"/>
  <c r="K172" i="2"/>
  <c r="L172" i="2" s="1"/>
  <c r="J172" i="2"/>
  <c r="I172" i="2"/>
  <c r="H172" i="2"/>
  <c r="K171" i="2"/>
  <c r="L171" i="2" s="1"/>
  <c r="J171" i="2"/>
  <c r="I171" i="2"/>
  <c r="H171" i="2"/>
  <c r="L170" i="2"/>
  <c r="K170" i="2"/>
  <c r="J170" i="2"/>
  <c r="I170" i="2"/>
  <c r="H170" i="2"/>
  <c r="K169" i="2"/>
  <c r="J169" i="2"/>
  <c r="I169" i="2"/>
  <c r="H169" i="2"/>
  <c r="L169" i="2" s="1"/>
  <c r="K168" i="2"/>
  <c r="J168" i="2"/>
  <c r="I168" i="2"/>
  <c r="H168" i="2"/>
  <c r="L168" i="2" s="1"/>
  <c r="L167" i="2"/>
  <c r="K167" i="2"/>
  <c r="J167" i="2"/>
  <c r="I167" i="2"/>
  <c r="H167" i="2"/>
  <c r="K166" i="2"/>
  <c r="J166" i="2"/>
  <c r="I166" i="2"/>
  <c r="H166" i="2"/>
  <c r="L166" i="2" s="1"/>
  <c r="K165" i="2"/>
  <c r="J165" i="2"/>
  <c r="I165" i="2"/>
  <c r="H165" i="2"/>
  <c r="L165" i="2" s="1"/>
  <c r="K164" i="2"/>
  <c r="J164" i="2"/>
  <c r="I164" i="2"/>
  <c r="H164" i="2"/>
  <c r="L164" i="2" s="1"/>
  <c r="K163" i="2"/>
  <c r="J163" i="2"/>
  <c r="I163" i="2"/>
  <c r="H163" i="2"/>
  <c r="L163" i="2" s="1"/>
  <c r="K162" i="2"/>
  <c r="J162" i="2"/>
  <c r="I162" i="2"/>
  <c r="H162" i="2"/>
  <c r="L162" i="2" s="1"/>
  <c r="K161" i="2"/>
  <c r="L161" i="2" s="1"/>
  <c r="J161" i="2"/>
  <c r="I161" i="2"/>
  <c r="H161" i="2"/>
  <c r="L160" i="2"/>
  <c r="K160" i="2"/>
  <c r="J160" i="2"/>
  <c r="I160" i="2"/>
  <c r="H160" i="2"/>
  <c r="K159" i="2"/>
  <c r="J159" i="2"/>
  <c r="I159" i="2"/>
  <c r="H159" i="2"/>
  <c r="L159" i="2" s="1"/>
  <c r="K158" i="2"/>
  <c r="J158" i="2"/>
  <c r="I158" i="2"/>
  <c r="H158" i="2"/>
  <c r="L158" i="2" s="1"/>
  <c r="K157" i="2"/>
  <c r="J157" i="2"/>
  <c r="I157" i="2"/>
  <c r="H157" i="2"/>
  <c r="L157" i="2" s="1"/>
  <c r="K156" i="2"/>
  <c r="L156" i="2" s="1"/>
  <c r="J156" i="2"/>
  <c r="I156" i="2"/>
  <c r="H156" i="2"/>
  <c r="K155" i="2"/>
  <c r="J155" i="2"/>
  <c r="I155" i="2"/>
  <c r="H155" i="2"/>
  <c r="L155" i="2" s="1"/>
  <c r="K154" i="2"/>
  <c r="L154" i="2" s="1"/>
  <c r="J154" i="2"/>
  <c r="I154" i="2"/>
  <c r="H154" i="2"/>
  <c r="K153" i="2"/>
  <c r="L153" i="2" s="1"/>
  <c r="J153" i="2"/>
  <c r="I153" i="2"/>
  <c r="H153" i="2"/>
  <c r="K152" i="2"/>
  <c r="J152" i="2"/>
  <c r="I152" i="2"/>
  <c r="H152" i="2"/>
  <c r="L152" i="2" s="1"/>
  <c r="K151" i="2"/>
  <c r="L151" i="2" s="1"/>
  <c r="J151" i="2"/>
  <c r="I151" i="2"/>
  <c r="H151" i="2"/>
  <c r="K150" i="2"/>
  <c r="J150" i="2"/>
  <c r="I150" i="2"/>
  <c r="H150" i="2"/>
  <c r="L150" i="2" s="1"/>
  <c r="L149" i="2"/>
  <c r="K149" i="2"/>
  <c r="J149" i="2"/>
  <c r="I149" i="2"/>
  <c r="H149" i="2"/>
  <c r="K148" i="2"/>
  <c r="L148" i="2" s="1"/>
  <c r="J148" i="2"/>
  <c r="I148" i="2"/>
  <c r="H148" i="2"/>
  <c r="K147" i="2"/>
  <c r="J147" i="2"/>
  <c r="I147" i="2"/>
  <c r="H147" i="2"/>
  <c r="L147" i="2" s="1"/>
  <c r="L146" i="2"/>
  <c r="K146" i="2"/>
  <c r="J146" i="2"/>
  <c r="I146" i="2"/>
  <c r="H146" i="2"/>
  <c r="K145" i="2"/>
  <c r="J145" i="2"/>
  <c r="I145" i="2"/>
  <c r="H145" i="2"/>
  <c r="L145" i="2" s="1"/>
  <c r="K144" i="2"/>
  <c r="J144" i="2"/>
  <c r="I144" i="2"/>
  <c r="H144" i="2"/>
  <c r="L144" i="2" s="1"/>
  <c r="L143" i="2"/>
  <c r="K143" i="2"/>
  <c r="J143" i="2"/>
  <c r="I143" i="2"/>
  <c r="H143" i="2"/>
  <c r="K142" i="2"/>
  <c r="J142" i="2"/>
  <c r="I142" i="2"/>
  <c r="H142" i="2"/>
  <c r="L142" i="2" s="1"/>
  <c r="K141" i="2"/>
  <c r="J141" i="2"/>
  <c r="I141" i="2"/>
  <c r="H141" i="2"/>
  <c r="L141" i="2" s="1"/>
  <c r="K140" i="2"/>
  <c r="J140" i="2"/>
  <c r="I140" i="2"/>
  <c r="H140" i="2"/>
  <c r="L140" i="2" s="1"/>
  <c r="K139" i="2"/>
  <c r="J139" i="2"/>
  <c r="I139" i="2"/>
  <c r="H139" i="2"/>
  <c r="L139" i="2" s="1"/>
  <c r="K138" i="2"/>
  <c r="J138" i="2"/>
  <c r="I138" i="2"/>
  <c r="H138" i="2"/>
  <c r="L138" i="2" s="1"/>
  <c r="K137" i="2"/>
  <c r="L137" i="2" s="1"/>
  <c r="J137" i="2"/>
  <c r="I137" i="2"/>
  <c r="H137" i="2"/>
  <c r="L136" i="2"/>
  <c r="K136" i="2"/>
  <c r="J136" i="2"/>
  <c r="I136" i="2"/>
  <c r="H136" i="2"/>
  <c r="K135" i="2"/>
  <c r="J135" i="2"/>
  <c r="I135" i="2"/>
  <c r="H135" i="2"/>
  <c r="L135" i="2" s="1"/>
  <c r="K134" i="2"/>
  <c r="J134" i="2"/>
  <c r="I134" i="2"/>
  <c r="H134" i="2"/>
  <c r="L134" i="2" s="1"/>
  <c r="K133" i="2"/>
  <c r="J133" i="2"/>
  <c r="I133" i="2"/>
  <c r="H133" i="2"/>
  <c r="L133" i="2" s="1"/>
  <c r="K132" i="2"/>
  <c r="L132" i="2" s="1"/>
  <c r="J132" i="2"/>
  <c r="I132" i="2"/>
  <c r="H132" i="2"/>
  <c r="K131" i="2"/>
  <c r="J131" i="2"/>
  <c r="I131" i="2"/>
  <c r="H131" i="2"/>
  <c r="L131" i="2" s="1"/>
  <c r="K130" i="2"/>
  <c r="L130" i="2" s="1"/>
  <c r="J130" i="2"/>
  <c r="I130" i="2"/>
  <c r="H130" i="2"/>
  <c r="K129" i="2"/>
  <c r="L129" i="2" s="1"/>
  <c r="J129" i="2"/>
  <c r="I129" i="2"/>
  <c r="H129" i="2"/>
  <c r="K128" i="2"/>
  <c r="J128" i="2"/>
  <c r="I128" i="2"/>
  <c r="H128" i="2"/>
  <c r="L128" i="2" s="1"/>
  <c r="K127" i="2"/>
  <c r="L127" i="2" s="1"/>
  <c r="J127" i="2"/>
  <c r="I127" i="2"/>
  <c r="H127" i="2"/>
  <c r="K126" i="2"/>
  <c r="J126" i="2"/>
  <c r="I126" i="2"/>
  <c r="H126" i="2"/>
  <c r="L126" i="2" s="1"/>
  <c r="L125" i="2"/>
  <c r="K125" i="2"/>
  <c r="J125" i="2"/>
  <c r="I125" i="2"/>
  <c r="H125" i="2"/>
  <c r="K124" i="2"/>
  <c r="L124" i="2" s="1"/>
  <c r="J124" i="2"/>
  <c r="I124" i="2"/>
  <c r="H124" i="2"/>
  <c r="K123" i="2"/>
  <c r="J123" i="2"/>
  <c r="I123" i="2"/>
  <c r="H123" i="2"/>
  <c r="L123" i="2" s="1"/>
  <c r="L122" i="2"/>
  <c r="K122" i="2"/>
  <c r="J122" i="2"/>
  <c r="I122" i="2"/>
  <c r="H122" i="2"/>
  <c r="K121" i="2"/>
  <c r="J121" i="2"/>
  <c r="I121" i="2"/>
  <c r="H121" i="2"/>
  <c r="L121" i="2" s="1"/>
  <c r="K120" i="2"/>
  <c r="J120" i="2"/>
  <c r="I120" i="2"/>
  <c r="H120" i="2"/>
  <c r="L120" i="2" s="1"/>
  <c r="L119" i="2"/>
  <c r="K119" i="2"/>
  <c r="J119" i="2"/>
  <c r="I119" i="2"/>
  <c r="H119" i="2"/>
  <c r="K118" i="2"/>
  <c r="J118" i="2"/>
  <c r="I118" i="2"/>
  <c r="H118" i="2"/>
  <c r="L118" i="2" s="1"/>
  <c r="K117" i="2"/>
  <c r="J117" i="2"/>
  <c r="I117" i="2"/>
  <c r="H117" i="2"/>
  <c r="L117" i="2" s="1"/>
  <c r="K116" i="2"/>
  <c r="J116" i="2"/>
  <c r="I116" i="2"/>
  <c r="H116" i="2"/>
  <c r="L116" i="2" s="1"/>
  <c r="K115" i="2"/>
  <c r="J115" i="2"/>
  <c r="I115" i="2"/>
  <c r="H115" i="2"/>
  <c r="L115" i="2" s="1"/>
  <c r="K114" i="2"/>
  <c r="J114" i="2"/>
  <c r="I114" i="2"/>
  <c r="H114" i="2"/>
  <c r="L114" i="2" s="1"/>
  <c r="K113" i="2"/>
  <c r="L113" i="2" s="1"/>
  <c r="J113" i="2"/>
  <c r="I113" i="2"/>
  <c r="H113" i="2"/>
  <c r="L112" i="2"/>
  <c r="K112" i="2"/>
  <c r="J112" i="2"/>
  <c r="I112" i="2"/>
  <c r="H112" i="2"/>
  <c r="K111" i="2"/>
  <c r="J111" i="2"/>
  <c r="I111" i="2"/>
  <c r="H111" i="2"/>
  <c r="L111" i="2" s="1"/>
  <c r="K110" i="2"/>
  <c r="J110" i="2"/>
  <c r="I110" i="2"/>
  <c r="H110" i="2"/>
  <c r="L110" i="2" s="1"/>
  <c r="K109" i="2"/>
  <c r="J109" i="2"/>
  <c r="I109" i="2"/>
  <c r="H109" i="2"/>
  <c r="L109" i="2" s="1"/>
  <c r="K108" i="2"/>
  <c r="L108" i="2" s="1"/>
  <c r="J108" i="2"/>
  <c r="I108" i="2"/>
  <c r="H108" i="2"/>
  <c r="K107" i="2"/>
  <c r="J107" i="2"/>
  <c r="I107" i="2"/>
  <c r="H107" i="2"/>
  <c r="L107" i="2" s="1"/>
  <c r="K106" i="2"/>
  <c r="L106" i="2" s="1"/>
  <c r="J106" i="2"/>
  <c r="I106" i="2"/>
  <c r="H106" i="2"/>
  <c r="K105" i="2"/>
  <c r="L105" i="2" s="1"/>
  <c r="J105" i="2"/>
  <c r="I105" i="2"/>
  <c r="H105" i="2"/>
  <c r="K104" i="2"/>
  <c r="J104" i="2"/>
  <c r="I104" i="2"/>
  <c r="H104" i="2"/>
  <c r="L104" i="2" s="1"/>
  <c r="K103" i="2"/>
  <c r="L103" i="2" s="1"/>
  <c r="J103" i="2"/>
  <c r="I103" i="2"/>
  <c r="H103" i="2"/>
  <c r="K102" i="2"/>
  <c r="J102" i="2"/>
  <c r="I102" i="2"/>
  <c r="H102" i="2"/>
  <c r="L102" i="2" s="1"/>
  <c r="L101" i="2"/>
  <c r="K101" i="2"/>
  <c r="J101" i="2"/>
  <c r="I101" i="2"/>
  <c r="H101" i="2"/>
  <c r="K100" i="2"/>
  <c r="L100" i="2" s="1"/>
  <c r="J100" i="2"/>
  <c r="I100" i="2"/>
  <c r="H100" i="2"/>
  <c r="K99" i="2"/>
  <c r="J99" i="2"/>
  <c r="I99" i="2"/>
  <c r="H99" i="2"/>
  <c r="L99" i="2" s="1"/>
  <c r="L98" i="2"/>
  <c r="K98" i="2"/>
  <c r="J98" i="2"/>
  <c r="I98" i="2"/>
  <c r="H98" i="2"/>
  <c r="K97" i="2"/>
  <c r="J97" i="2"/>
  <c r="I97" i="2"/>
  <c r="H97" i="2"/>
  <c r="L97" i="2" s="1"/>
  <c r="K96" i="2"/>
  <c r="J96" i="2"/>
  <c r="I96" i="2"/>
  <c r="H96" i="2"/>
  <c r="L96" i="2" s="1"/>
  <c r="L95" i="2"/>
  <c r="K95" i="2"/>
  <c r="J95" i="2"/>
  <c r="I95" i="2"/>
  <c r="H95" i="2"/>
  <c r="K94" i="2"/>
  <c r="J94" i="2"/>
  <c r="I94" i="2"/>
  <c r="H94" i="2"/>
  <c r="L94" i="2" s="1"/>
  <c r="K93" i="2"/>
  <c r="J93" i="2"/>
  <c r="I93" i="2"/>
  <c r="H93" i="2"/>
  <c r="L93" i="2" s="1"/>
  <c r="K92" i="2"/>
  <c r="J92" i="2"/>
  <c r="I92" i="2"/>
  <c r="H92" i="2"/>
  <c r="L92" i="2" s="1"/>
  <c r="K91" i="2"/>
  <c r="J91" i="2"/>
  <c r="I91" i="2"/>
  <c r="H91" i="2"/>
  <c r="L91" i="2" s="1"/>
  <c r="K90" i="2"/>
  <c r="J90" i="2"/>
  <c r="I90" i="2"/>
  <c r="H90" i="2"/>
  <c r="L90" i="2" s="1"/>
  <c r="K89" i="2"/>
  <c r="L89" i="2" s="1"/>
  <c r="J89" i="2"/>
  <c r="I89" i="2"/>
  <c r="H89" i="2"/>
  <c r="L88" i="2"/>
  <c r="K88" i="2"/>
  <c r="J88" i="2"/>
  <c r="I88" i="2"/>
  <c r="H88" i="2"/>
  <c r="K87" i="2"/>
  <c r="J87" i="2"/>
  <c r="I87" i="2"/>
  <c r="H87" i="2"/>
  <c r="L87" i="2" s="1"/>
  <c r="K86" i="2"/>
  <c r="J86" i="2"/>
  <c r="I86" i="2"/>
  <c r="H86" i="2"/>
  <c r="L86" i="2" s="1"/>
  <c r="K85" i="2"/>
  <c r="J85" i="2"/>
  <c r="I85" i="2"/>
  <c r="H85" i="2"/>
  <c r="L85" i="2" s="1"/>
  <c r="K84" i="2"/>
  <c r="L84" i="2" s="1"/>
  <c r="J84" i="2"/>
  <c r="I84" i="2"/>
  <c r="H84" i="2"/>
  <c r="K83" i="2"/>
  <c r="J83" i="2"/>
  <c r="I83" i="2"/>
  <c r="H83" i="2"/>
  <c r="L83" i="2" s="1"/>
  <c r="K82" i="2"/>
  <c r="L82" i="2" s="1"/>
  <c r="J82" i="2"/>
  <c r="I82" i="2"/>
  <c r="H82" i="2"/>
  <c r="K81" i="2"/>
  <c r="L81" i="2" s="1"/>
  <c r="J81" i="2"/>
  <c r="I81" i="2"/>
  <c r="H81" i="2"/>
  <c r="K80" i="2"/>
  <c r="J80" i="2"/>
  <c r="I80" i="2"/>
  <c r="H80" i="2"/>
  <c r="L80" i="2" s="1"/>
  <c r="K79" i="2"/>
  <c r="L79" i="2" s="1"/>
  <c r="J79" i="2"/>
  <c r="I79" i="2"/>
  <c r="H79" i="2"/>
  <c r="K78" i="2"/>
  <c r="J78" i="2"/>
  <c r="I78" i="2"/>
  <c r="H78" i="2"/>
  <c r="L78" i="2" s="1"/>
  <c r="L77" i="2"/>
  <c r="K77" i="2"/>
  <c r="J77" i="2"/>
  <c r="I77" i="2"/>
  <c r="H77" i="2"/>
  <c r="K76" i="2"/>
  <c r="L76" i="2" s="1"/>
  <c r="J76" i="2"/>
  <c r="I76" i="2"/>
  <c r="H76" i="2"/>
  <c r="K75" i="2"/>
  <c r="J75" i="2"/>
  <c r="I75" i="2"/>
  <c r="H75" i="2"/>
  <c r="L75" i="2" s="1"/>
  <c r="L74" i="2"/>
  <c r="K74" i="2"/>
  <c r="J74" i="2"/>
  <c r="I74" i="2"/>
  <c r="H74" i="2"/>
  <c r="K73" i="2"/>
  <c r="J73" i="2"/>
  <c r="I73" i="2"/>
  <c r="H73" i="2"/>
  <c r="L73" i="2" s="1"/>
  <c r="K72" i="2"/>
  <c r="J72" i="2"/>
  <c r="I72" i="2"/>
  <c r="H72" i="2"/>
  <c r="L72" i="2" s="1"/>
  <c r="L71" i="2"/>
  <c r="K71" i="2"/>
  <c r="J71" i="2"/>
  <c r="I71" i="2"/>
  <c r="H71" i="2"/>
  <c r="K70" i="2"/>
  <c r="J70" i="2"/>
  <c r="I70" i="2"/>
  <c r="H70" i="2"/>
  <c r="L70" i="2" s="1"/>
  <c r="K69" i="2"/>
  <c r="J69" i="2"/>
  <c r="I69" i="2"/>
  <c r="H69" i="2"/>
  <c r="L69" i="2" s="1"/>
  <c r="K68" i="2"/>
  <c r="J68" i="2"/>
  <c r="I68" i="2"/>
  <c r="H68" i="2"/>
  <c r="L68" i="2" s="1"/>
  <c r="K67" i="2"/>
  <c r="J67" i="2"/>
  <c r="I67" i="2"/>
  <c r="H67" i="2"/>
  <c r="L67" i="2" s="1"/>
  <c r="K66" i="2"/>
  <c r="J66" i="2"/>
  <c r="I66" i="2"/>
  <c r="H66" i="2"/>
  <c r="L66" i="2" s="1"/>
  <c r="K65" i="2"/>
  <c r="L65" i="2" s="1"/>
  <c r="J65" i="2"/>
  <c r="I65" i="2"/>
  <c r="H65" i="2"/>
  <c r="L64" i="2"/>
  <c r="K64" i="2"/>
  <c r="J64" i="2"/>
  <c r="I64" i="2"/>
  <c r="H64" i="2"/>
  <c r="K63" i="2"/>
  <c r="J63" i="2"/>
  <c r="I63" i="2"/>
  <c r="H63" i="2"/>
  <c r="L63" i="2" s="1"/>
  <c r="K62" i="2"/>
  <c r="J62" i="2"/>
  <c r="I62" i="2"/>
  <c r="H62" i="2"/>
  <c r="L62" i="2" s="1"/>
  <c r="K61" i="2"/>
  <c r="J61" i="2"/>
  <c r="I61" i="2"/>
  <c r="H61" i="2"/>
  <c r="L61" i="2" s="1"/>
  <c r="K60" i="2"/>
  <c r="L60" i="2" s="1"/>
  <c r="J60" i="2"/>
  <c r="I60" i="2"/>
  <c r="H60" i="2"/>
  <c r="K59" i="2"/>
  <c r="J59" i="2"/>
  <c r="I59" i="2"/>
  <c r="H59" i="2"/>
  <c r="L59" i="2" s="1"/>
  <c r="K58" i="2"/>
  <c r="L58" i="2" s="1"/>
  <c r="J58" i="2"/>
  <c r="I58" i="2"/>
  <c r="H58" i="2"/>
  <c r="K57" i="2"/>
  <c r="L57" i="2" s="1"/>
  <c r="J57" i="2"/>
  <c r="I57" i="2"/>
  <c r="H57" i="2"/>
  <c r="K56" i="2"/>
  <c r="J56" i="2"/>
  <c r="I56" i="2"/>
  <c r="H56" i="2"/>
  <c r="L56" i="2" s="1"/>
  <c r="K55" i="2"/>
  <c r="L55" i="2" s="1"/>
  <c r="J55" i="2"/>
  <c r="I55" i="2"/>
  <c r="H55" i="2"/>
  <c r="K54" i="2"/>
  <c r="J54" i="2"/>
  <c r="I54" i="2"/>
  <c r="H54" i="2"/>
  <c r="L54" i="2" s="1"/>
  <c r="L53" i="2"/>
  <c r="K53" i="2"/>
  <c r="J53" i="2"/>
  <c r="I53" i="2"/>
  <c r="H53" i="2"/>
  <c r="K52" i="2"/>
  <c r="L52" i="2" s="1"/>
  <c r="J52" i="2"/>
  <c r="I52" i="2"/>
  <c r="H52" i="2"/>
  <c r="K51" i="2"/>
  <c r="J51" i="2"/>
  <c r="I51" i="2"/>
  <c r="H51" i="2"/>
  <c r="L51" i="2" s="1"/>
  <c r="L50" i="2"/>
  <c r="K50" i="2"/>
  <c r="J50" i="2"/>
  <c r="I50" i="2"/>
  <c r="H50" i="2"/>
  <c r="K49" i="2"/>
  <c r="J49" i="2"/>
  <c r="I49" i="2"/>
  <c r="H49" i="2"/>
  <c r="L49" i="2" s="1"/>
  <c r="K48" i="2"/>
  <c r="J48" i="2"/>
  <c r="I48" i="2"/>
  <c r="H48" i="2"/>
  <c r="L48" i="2" s="1"/>
  <c r="L47" i="2"/>
  <c r="K47" i="2"/>
  <c r="J47" i="2"/>
  <c r="I47" i="2"/>
  <c r="H47" i="2"/>
  <c r="K46" i="2"/>
  <c r="J46" i="2"/>
  <c r="I46" i="2"/>
  <c r="H46" i="2"/>
  <c r="L46" i="2" s="1"/>
  <c r="K45" i="2"/>
  <c r="J45" i="2"/>
  <c r="I45" i="2"/>
  <c r="H45" i="2"/>
  <c r="L45" i="2" s="1"/>
  <c r="K44" i="2"/>
  <c r="J44" i="2"/>
  <c r="I44" i="2"/>
  <c r="H44" i="2"/>
  <c r="L44" i="2" s="1"/>
  <c r="K43" i="2"/>
  <c r="J43" i="2"/>
  <c r="I43" i="2"/>
  <c r="H43" i="2"/>
  <c r="L43" i="2" s="1"/>
  <c r="K42" i="2"/>
  <c r="J42" i="2"/>
  <c r="I42" i="2"/>
  <c r="H42" i="2"/>
  <c r="L42" i="2" s="1"/>
  <c r="K41" i="2"/>
  <c r="L41" i="2" s="1"/>
  <c r="J41" i="2"/>
  <c r="I41" i="2"/>
  <c r="H41" i="2"/>
  <c r="L40" i="2"/>
  <c r="K40" i="2"/>
  <c r="J40" i="2"/>
  <c r="I40" i="2"/>
  <c r="H40" i="2"/>
  <c r="K39" i="2"/>
  <c r="J39" i="2"/>
  <c r="I39" i="2"/>
  <c r="H39" i="2"/>
  <c r="L39" i="2" s="1"/>
  <c r="K38" i="2"/>
  <c r="J38" i="2"/>
  <c r="I38" i="2"/>
  <c r="H38" i="2"/>
  <c r="L38" i="2" s="1"/>
  <c r="K37" i="2"/>
  <c r="J37" i="2"/>
  <c r="I37" i="2"/>
  <c r="H37" i="2"/>
  <c r="L37" i="2" s="1"/>
  <c r="K36" i="2"/>
  <c r="J36" i="2"/>
  <c r="I36" i="2"/>
  <c r="H36" i="2"/>
  <c r="L36" i="2" s="1"/>
  <c r="K35" i="2"/>
  <c r="J35" i="2"/>
  <c r="I35" i="2"/>
  <c r="H35" i="2"/>
  <c r="L35" i="2" s="1"/>
  <c r="K34" i="2"/>
  <c r="L34" i="2" s="1"/>
  <c r="J34" i="2"/>
  <c r="I34" i="2"/>
  <c r="H34" i="2"/>
  <c r="K33" i="2"/>
  <c r="L33" i="2" s="1"/>
  <c r="J33" i="2"/>
  <c r="I33" i="2"/>
  <c r="H33" i="2"/>
  <c r="K32" i="2"/>
  <c r="J32" i="2"/>
  <c r="I32" i="2"/>
  <c r="H32" i="2"/>
  <c r="L32" i="2" s="1"/>
  <c r="K31" i="2"/>
  <c r="L31" i="2" s="1"/>
  <c r="J31" i="2"/>
  <c r="I31" i="2"/>
  <c r="H31" i="2"/>
  <c r="K30" i="2"/>
  <c r="J30" i="2"/>
  <c r="I30" i="2"/>
  <c r="H30" i="2"/>
  <c r="L30" i="2" s="1"/>
  <c r="L29" i="2"/>
  <c r="K29" i="2"/>
  <c r="J29" i="2"/>
  <c r="I29" i="2"/>
  <c r="H29" i="2"/>
  <c r="K28" i="2"/>
  <c r="L28" i="2" s="1"/>
  <c r="J28" i="2"/>
  <c r="I28" i="2"/>
  <c r="H28" i="2"/>
  <c r="K27" i="2"/>
  <c r="J27" i="2"/>
  <c r="I27" i="2"/>
  <c r="H27" i="2"/>
  <c r="L27" i="2" s="1"/>
  <c r="L26" i="2"/>
  <c r="K26" i="2"/>
  <c r="J26" i="2"/>
  <c r="I26" i="2"/>
  <c r="H26" i="2"/>
  <c r="K25" i="2"/>
  <c r="J25" i="2"/>
  <c r="I25" i="2"/>
  <c r="H25" i="2"/>
  <c r="L25" i="2" s="1"/>
  <c r="K24" i="2"/>
  <c r="J24" i="2"/>
  <c r="I24" i="2"/>
  <c r="H24" i="2"/>
  <c r="L24" i="2" s="1"/>
  <c r="L23" i="2"/>
  <c r="K23" i="2"/>
  <c r="J23" i="2"/>
  <c r="I23" i="2"/>
  <c r="H23" i="2"/>
  <c r="K22" i="2"/>
  <c r="J22" i="2"/>
  <c r="I22" i="2"/>
  <c r="H22" i="2"/>
  <c r="L22" i="2" s="1"/>
  <c r="K21" i="2"/>
  <c r="J21" i="2"/>
  <c r="I21" i="2"/>
  <c r="H21" i="2"/>
  <c r="L21" i="2" s="1"/>
  <c r="K20" i="2"/>
  <c r="J20" i="2"/>
  <c r="I20" i="2"/>
  <c r="H20" i="2"/>
  <c r="L20" i="2" s="1"/>
  <c r="K19" i="2"/>
  <c r="J19" i="2"/>
  <c r="I19" i="2"/>
  <c r="H19" i="2"/>
  <c r="L19" i="2" s="1"/>
  <c r="K18" i="2"/>
  <c r="J18" i="2"/>
  <c r="I18" i="2"/>
  <c r="H18" i="2"/>
  <c r="L18" i="2" s="1"/>
  <c r="K17" i="2"/>
  <c r="L17" i="2" s="1"/>
  <c r="J17" i="2"/>
  <c r="I17" i="2"/>
  <c r="H17" i="2"/>
  <c r="L16" i="2"/>
  <c r="K16" i="2"/>
  <c r="J16" i="2"/>
  <c r="I16" i="2"/>
  <c r="H16" i="2"/>
  <c r="K15" i="2"/>
  <c r="J15" i="2"/>
  <c r="I15" i="2"/>
  <c r="H15" i="2"/>
  <c r="L15" i="2" s="1"/>
  <c r="K14" i="2"/>
  <c r="J14" i="2"/>
  <c r="I14" i="2"/>
  <c r="H14" i="2"/>
  <c r="L14" i="2" s="1"/>
  <c r="K13" i="2"/>
  <c r="J13" i="2"/>
  <c r="I13" i="2"/>
  <c r="H13" i="2"/>
  <c r="L13" i="2" s="1"/>
  <c r="K12" i="2"/>
  <c r="J12" i="2"/>
  <c r="I12" i="2"/>
  <c r="H12" i="2"/>
  <c r="L12" i="2" s="1"/>
  <c r="K11" i="2"/>
  <c r="J11" i="2"/>
  <c r="I11" i="2"/>
  <c r="H11" i="2"/>
  <c r="L11" i="2" s="1"/>
  <c r="K10" i="2"/>
  <c r="L10" i="2" s="1"/>
  <c r="J10" i="2"/>
  <c r="I10" i="2"/>
  <c r="H10" i="2"/>
  <c r="K9" i="2"/>
  <c r="L9" i="2" s="1"/>
  <c r="J9" i="2"/>
  <c r="I9" i="2"/>
  <c r="H9" i="2"/>
  <c r="K8" i="2"/>
  <c r="J8" i="2"/>
  <c r="I8" i="2"/>
  <c r="H8" i="2"/>
  <c r="L8" i="2" s="1"/>
  <c r="K7" i="2"/>
  <c r="L7" i="2" s="1"/>
  <c r="J7" i="2"/>
  <c r="I7" i="2"/>
  <c r="H7" i="2"/>
  <c r="K6" i="2"/>
  <c r="J6" i="2"/>
  <c r="I6" i="2"/>
  <c r="H6" i="2"/>
  <c r="L6" i="2" s="1"/>
</calcChain>
</file>

<file path=xl/sharedStrings.xml><?xml version="1.0" encoding="utf-8"?>
<sst xmlns="http://schemas.openxmlformats.org/spreadsheetml/2006/main" count="4210" uniqueCount="376">
  <si>
    <t>Utah construction market data</t>
  </si>
  <si>
    <t>Data package for Ethan Hall • collected October 1, 2026</t>
  </si>
  <si>
    <t>Project</t>
  </si>
  <si>
    <t>Where Should a Utah Construction Supplier Expand? An independent case study for a hypothetical supplier.</t>
  </si>
  <si>
    <t>Coverage</t>
  </si>
  <si>
    <t>All 29 Utah counties; 2021–2025 analysis, with 2020 retained as a baseline for 2021 growth.</t>
  </si>
  <si>
    <t>Start with</t>
  </si>
  <si>
    <t>County annual: 174 county-year rows. Filter Period role to analysis for the five-year project.</t>
  </si>
  <si>
    <t>Go deeper</t>
  </si>
  <si>
    <t>By structure: 696 rows covering 1-unit, 2-unit, 3–4-unit and 5+ unit residential buildings.</t>
  </si>
  <si>
    <t>Measures</t>
  </si>
  <si>
    <t>Buildings, housing units and permit valuation. A building can contain many units. These are not counts of permit documents.</t>
  </si>
  <si>
    <t>Source trace</t>
  </si>
  <si>
    <t>Match Source ID to Sources. Source line points to the exact line in the unchanged original text file, including headers.</t>
  </si>
  <si>
    <t>What passed</t>
  </si>
  <si>
    <t>19 data checks, including 144 county-to-state comparisons. Counts match exactly; values agree within $500 per state category.</t>
  </si>
  <si>
    <t>Avoid double counting</t>
  </si>
  <si>
    <t>Estimated values include reported data and imputation. Never add estimated and reported-only measures.</t>
  </si>
  <si>
    <t>2023 coverage change</t>
  </si>
  <si>
    <t>Census moved from the fixed 2014 permit-office universe to annual updates. Interpret growth across 2022–2023 with that caveat.</t>
  </si>
  <si>
    <t>Dollar scale</t>
  </si>
  <si>
    <t>County valuations are whole nominal USD. State control files are in thousands; the package converts them for reconciliation.</t>
  </si>
  <si>
    <t>Scope limit</t>
  </si>
  <si>
    <t>The data describes authorizations of new private residential construction. It does not establish starts, completions, sales or supplier profits.</t>
  </si>
  <si>
    <t>Imputation</t>
  </si>
  <si>
    <t>Imputed unit share = (estimated units − reported units) / estimated units. Blank if the denominator is zero; not a response rate.</t>
  </si>
  <si>
    <t>Other package files</t>
  </si>
  <si>
    <t>CSV files for SQL and Power BI; source snapshots; a full dictionary; reconciliation results; and a reproducible preparation script.</t>
  </si>
  <si>
    <t>Next analysis</t>
  </si>
  <si>
    <t>Compare market size, yearly change, structure mix and annual consistency. Keep rankings and recommendations separate from these source data.</t>
  </si>
  <si>
    <t>Open the Data Guide for source notes, file instructions and project boundaries.</t>
  </si>
  <si>
    <t>Utah residential construction | County annual data</t>
  </si>
  <si>
    <t>2021–2025 analysis • 2020 baseline • estimates include Census imputation • Sources and Dictionary explain the fields</t>
  </si>
  <si>
    <t>Year</t>
  </si>
  <si>
    <t>County</t>
  </si>
  <si>
    <t>County FIPS</t>
  </si>
  <si>
    <t>1-unit units</t>
  </si>
  <si>
    <t>2-unit units</t>
  </si>
  <si>
    <t>3–4-unit units</t>
  </si>
  <si>
    <t>5+ units</t>
  </si>
  <si>
    <t>Total units</t>
  </si>
  <si>
    <t>Multifamily units</t>
  </si>
  <si>
    <t>Valuation USD</t>
  </si>
  <si>
    <t>Reported units</t>
  </si>
  <si>
    <t>Imputed unit share</t>
  </si>
  <si>
    <t>Period role</t>
  </si>
  <si>
    <t>Coverage basis</t>
  </si>
  <si>
    <t>Source ID</t>
  </si>
  <si>
    <t>Source line</t>
  </si>
  <si>
    <t>Beaver County</t>
  </si>
  <si>
    <t>49001</t>
  </si>
  <si>
    <t>baseline</t>
  </si>
  <si>
    <t>2014 fixed universe</t>
  </si>
  <si>
    <t>BPS-CO-2020</t>
  </si>
  <si>
    <t>Box Elder County</t>
  </si>
  <si>
    <t>49003</t>
  </si>
  <si>
    <t>Cache County</t>
  </si>
  <si>
    <t>49005</t>
  </si>
  <si>
    <t>Carbon County</t>
  </si>
  <si>
    <t>49007</t>
  </si>
  <si>
    <t>Daggett County</t>
  </si>
  <si>
    <t>49009</t>
  </si>
  <si>
    <t>Davis County</t>
  </si>
  <si>
    <t>49011</t>
  </si>
  <si>
    <t>Duchesne County</t>
  </si>
  <si>
    <t>49013</t>
  </si>
  <si>
    <t>Emery County</t>
  </si>
  <si>
    <t>49015</t>
  </si>
  <si>
    <t>Garfield County</t>
  </si>
  <si>
    <t>49017</t>
  </si>
  <si>
    <t>Grand County</t>
  </si>
  <si>
    <t>49019</t>
  </si>
  <si>
    <t>Iron County</t>
  </si>
  <si>
    <t>49021</t>
  </si>
  <si>
    <t>Juab County</t>
  </si>
  <si>
    <t>49023</t>
  </si>
  <si>
    <t>Kane County</t>
  </si>
  <si>
    <t>49025</t>
  </si>
  <si>
    <t>Millard County</t>
  </si>
  <si>
    <t>49027</t>
  </si>
  <si>
    <t>Morgan County</t>
  </si>
  <si>
    <t>49029</t>
  </si>
  <si>
    <t>Piute County</t>
  </si>
  <si>
    <t>49031</t>
  </si>
  <si>
    <t>Rich County</t>
  </si>
  <si>
    <t>49033</t>
  </si>
  <si>
    <t>Salt Lake County</t>
  </si>
  <si>
    <t>49035</t>
  </si>
  <si>
    <t>San Juan County</t>
  </si>
  <si>
    <t>49037</t>
  </si>
  <si>
    <t>Sanpete County</t>
  </si>
  <si>
    <t>49039</t>
  </si>
  <si>
    <t>Sevier County</t>
  </si>
  <si>
    <t>49041</t>
  </si>
  <si>
    <t>Summit County</t>
  </si>
  <si>
    <t>49043</t>
  </si>
  <si>
    <t>Tooele County</t>
  </si>
  <si>
    <t>49045</t>
  </si>
  <si>
    <t>Uintah County</t>
  </si>
  <si>
    <t>49047</t>
  </si>
  <si>
    <t>Utah County</t>
  </si>
  <si>
    <t>49049</t>
  </si>
  <si>
    <t>Wasatch County</t>
  </si>
  <si>
    <t>49051</t>
  </si>
  <si>
    <t>Washington County</t>
  </si>
  <si>
    <t>49053</t>
  </si>
  <si>
    <t>Wayne County</t>
  </si>
  <si>
    <t>49055</t>
  </si>
  <si>
    <t>Weber County</t>
  </si>
  <si>
    <t>49057</t>
  </si>
  <si>
    <t>analysis</t>
  </si>
  <si>
    <t>BPS-CO-2021</t>
  </si>
  <si>
    <t>BPS-CO-2022</t>
  </si>
  <si>
    <t>annually updated universe</t>
  </si>
  <si>
    <t>BPS-CO-2023</t>
  </si>
  <si>
    <t>BPS-CO-2024</t>
  </si>
  <si>
    <t>BPS-CO-2025</t>
  </si>
  <si>
    <t>Utah residential construction | Structure detail</t>
  </si>
  <si>
    <t>Four structure types per county and year • estimated measures already include reported data • do not add both blocks</t>
  </si>
  <si>
    <t>Structure type</t>
  </si>
  <si>
    <t>Est. buildings</t>
  </si>
  <si>
    <t>Est. units</t>
  </si>
  <si>
    <t>Est. valuation USD</t>
  </si>
  <si>
    <t>Reported buildings</t>
  </si>
  <si>
    <t>Reported valuation USD</t>
  </si>
  <si>
    <t>1-unit</t>
  </si>
  <si>
    <t>2-unit</t>
  </si>
  <si>
    <t>3-4-unit</t>
  </si>
  <si>
    <t>5-plus-unit</t>
  </si>
  <si>
    <t>Source register | U.S. Census Bureau</t>
  </si>
  <si>
    <t>Downloaded October 1, 2026 • unchanged originals are included in the package • source IDs connect records to their origin</t>
  </si>
  <si>
    <t>Source title</t>
  </si>
  <si>
    <t>Original URL</t>
  </si>
  <si>
    <t>Local snapshot</t>
  </si>
  <si>
    <t>Retrieved at UTC</t>
  </si>
  <si>
    <t>SHA-256</t>
  </si>
  <si>
    <t>Census BPS county annual file, 2020</t>
  </si>
  <si>
    <t>https://www2.census.gov/econ/bps/County/co2020a.txt</t>
  </si>
  <si>
    <t>raw/county/co2020a.txt</t>
  </si>
  <si>
    <t>04efba6d3ffecd19340dece9d76d01343f8b97647617c79422c04e227e2d7293</t>
  </si>
  <si>
    <t>BPS-ST-2020</t>
  </si>
  <si>
    <t>Census BPS state annual file, 2020</t>
  </si>
  <si>
    <t>https://www2.census.gov/econ/bps/State/st2020a.txt</t>
  </si>
  <si>
    <t>raw/state/st2020a.txt</t>
  </si>
  <si>
    <t>446533087cb10997e488f081d05a2f04179468a04bd543316c0167763965cfd4</t>
  </si>
  <si>
    <t>Census BPS county annual file, 2021</t>
  </si>
  <si>
    <t>https://www2.census.gov/econ/bps/County/co2021a.txt</t>
  </si>
  <si>
    <t>raw/county/co2021a.txt</t>
  </si>
  <si>
    <t>ce2c9aa7b7c036ddbc99d6dc398ddf71e4a0ad0fc2782db883b559ca264f14b6</t>
  </si>
  <si>
    <t>BPS-ST-2021</t>
  </si>
  <si>
    <t>Census BPS state annual file, 2021</t>
  </si>
  <si>
    <t>https://www2.census.gov/econ/bps/State/st2021a.txt</t>
  </si>
  <si>
    <t>raw/state/st2021a.txt</t>
  </si>
  <si>
    <t>82fea768a93c91a702c91727d8dea64d2573f835dc9858b11d0e63a4092c524b</t>
  </si>
  <si>
    <t>Census BPS county annual file, 2022</t>
  </si>
  <si>
    <t>https://www2.census.gov/econ/bps/County/co2022a.txt</t>
  </si>
  <si>
    <t>raw/county/co2022a.txt</t>
  </si>
  <si>
    <t>0a88c16861ede81b04f8785e1c626e772510f33f1de9452f7592d86d308e2b5c</t>
  </si>
  <si>
    <t>BPS-ST-2022</t>
  </si>
  <si>
    <t>Census BPS state annual file, 2022</t>
  </si>
  <si>
    <t>https://www2.census.gov/econ/bps/State/st2022a.txt</t>
  </si>
  <si>
    <t>raw/state/st2022a.txt</t>
  </si>
  <si>
    <t>c973dde1f227de2c825ac0ce20b604979291080c7a1f70e9c953bf5a13980790</t>
  </si>
  <si>
    <t>Census BPS county annual file, 2023</t>
  </si>
  <si>
    <t>https://www2.census.gov/econ/bps/County/co2023a.txt</t>
  </si>
  <si>
    <t>raw/county/co2023a.txt</t>
  </si>
  <si>
    <t>fab11d759e905ff61838b8dfa41c0f2082e150cad07a20c65ddd620a007aa158</t>
  </si>
  <si>
    <t>BPS-ST-2023</t>
  </si>
  <si>
    <t>Census BPS state annual file, 2023</t>
  </si>
  <si>
    <t>https://www2.census.gov/econ/bps/State/st2023a.txt</t>
  </si>
  <si>
    <t>raw/state/st2023a.txt</t>
  </si>
  <si>
    <t>c3915919cc2b58ccb2be6c9e6000f064236aeaa9d032f9352d60c0f484b4a583</t>
  </si>
  <si>
    <t>Census BPS county annual file, 2024</t>
  </si>
  <si>
    <t>https://www2.census.gov/econ/bps/County/co2024a.txt</t>
  </si>
  <si>
    <t>raw/county/co2024a.txt</t>
  </si>
  <si>
    <t>a64c2dd19be96c469763c10d637575a584ef16a6878f451bba80c847bcafc8c6</t>
  </si>
  <si>
    <t>BPS-ST-2024</t>
  </si>
  <si>
    <t>Census BPS state annual file, 2024</t>
  </si>
  <si>
    <t>https://www2.census.gov/econ/bps/State/st2024a.txt</t>
  </si>
  <si>
    <t>raw/state/st2024a.txt</t>
  </si>
  <si>
    <t>8dd34fb3bc362a0d6c1e6832161432dd833aff9be49ebebc128335635c59e7d0</t>
  </si>
  <si>
    <t>Census BPS county annual file, 2025</t>
  </si>
  <si>
    <t>https://www2.census.gov/econ/bps/County/co2025a.txt</t>
  </si>
  <si>
    <t>raw/county/co2025a.txt</t>
  </si>
  <si>
    <t>5d523b1ff172c886ee7f2bc770c82c8c5470b5aaaec5f63441a18c621c80b30e</t>
  </si>
  <si>
    <t>BPS-ST-2025</t>
  </si>
  <si>
    <t>Census BPS state annual file, 2025</t>
  </si>
  <si>
    <t>https://www2.census.gov/econ/bps/State/st2025a.txt</t>
  </si>
  <si>
    <t>raw/state/st2025a.txt</t>
  </si>
  <si>
    <t>eab29258ada8389b9f469c566eb6eb074cf128aa94c471e89f818a20a4d83afb</t>
  </si>
  <si>
    <t>DOC-CNTYASC</t>
  </si>
  <si>
    <t>County ASCII file layout</t>
  </si>
  <si>
    <t>https://www2.census.gov/econ/bps/Documentation/cntyasc.pdf</t>
  </si>
  <si>
    <t>sources/cntyasc.pdf</t>
  </si>
  <si>
    <t>21653ec1dc0f9a0a2a610f6698e004d40cdcab9855aeec766ace8ce81f30b2e8</t>
  </si>
  <si>
    <t>DOC-STATEASC</t>
  </si>
  <si>
    <t>State ASCII file layout</t>
  </si>
  <si>
    <t>https://www2.census.gov/econ/bps/Documentation/stateasc.pdf</t>
  </si>
  <si>
    <t>sources/stateasc.pdf</t>
  </si>
  <si>
    <t>c80b331127952f2ca0eead1c63ebfa632facad0095ef2e3038140079d41a8cb4</t>
  </si>
  <si>
    <t>DOC-2022-UPDATE</t>
  </si>
  <si>
    <t>2022 county file revision notice</t>
  </si>
  <si>
    <t>https://www2.census.gov/econ/bps/County/co2022aupdatednotice.txt</t>
  </si>
  <si>
    <t>sources/co2022aupdatednotice.txt</t>
  </si>
  <si>
    <t>bc83046236dd0647eb2b4edf7133348de67c0fd81f49b2a3dcd1b38e25df0142</t>
  </si>
  <si>
    <t>DOC-DEFINITIONS</t>
  </si>
  <si>
    <t>Building Permits Survey definitions</t>
  </si>
  <si>
    <t>https://www.census.gov/construction/bps/definitions.html</t>
  </si>
  <si>
    <t>sources/definitions.html</t>
  </si>
  <si>
    <t>8cd51d879cd8341daada8c8e2c0c811dd629c7b3848a496ca7c37a910f0b3e0a</t>
  </si>
  <si>
    <t>DOC-METHODOLOGY</t>
  </si>
  <si>
    <t>Building Permits Survey methodology</t>
  </si>
  <si>
    <t>https://www.census.gov/construction/bps/methodology.html</t>
  </si>
  <si>
    <t>sources/methodology.html</t>
  </si>
  <si>
    <t>3fc799ee772ad82198cf4307b2eb1af054113fbd5f7d683f6dbba6afc77f39e7</t>
  </si>
  <si>
    <t>DOC-ANNOUNCEMENTS</t>
  </si>
  <si>
    <t>Building Permits Survey announcements</t>
  </si>
  <si>
    <t>https://www.census.gov/construction/bps/announcements.html</t>
  </si>
  <si>
    <t>sources/announcements.html</t>
  </si>
  <si>
    <t>6f4ef838806ae776a4535d7d2426dc3cdb072196caa8cf5cc0d1f40f5bb748d3</t>
  </si>
  <si>
    <t>DOC-BPS-HOME</t>
  </si>
  <si>
    <t>Building Permits Survey home page</t>
  </si>
  <si>
    <t>https://www.census.gov/construction/bps/index.html</t>
  </si>
  <si>
    <t>sources/bps_home.html</t>
  </si>
  <si>
    <t>588752df4f306456e012485fd4b40296e70842557003d9464d449ff58af36f97</t>
  </si>
  <si>
    <t>DOC-2023-FAQ</t>
  </si>
  <si>
    <t>2023 universe change frequently asked questions</t>
  </si>
  <si>
    <t>https://www.census.gov/construction/pdf/bps_2023_faqs.pdf</t>
  </si>
  <si>
    <t>sources/bps_2023_faqs.pdf</t>
  </si>
  <si>
    <t>19dda7b27ce99d42788d898f2c0b19eec6ef9509fd54d6d3620077f1e5714a4e</t>
  </si>
  <si>
    <t>DOC-C404-FORM</t>
  </si>
  <si>
    <t>C-404 building permits survey sample form</t>
  </si>
  <si>
    <t>https://www.census.gov/construction/bps/pdf/c404_06142024_sample_final.pdf</t>
  </si>
  <si>
    <t>sources/c404_sample.pdf</t>
  </si>
  <si>
    <t>f419cc2cf6f92772d11ced2ae060f69bdbb60ef80ee55159f68466ee5b94ac9b</t>
  </si>
  <si>
    <t>Data dictionary | CSV field definitions</t>
  </si>
  <si>
    <t>Filter Dataset to see one table • amounts are nominal USD unless explicitly labeled thousand USD • FIPS identifiers are text</t>
  </si>
  <si>
    <t>Dataset</t>
  </si>
  <si>
    <t>Field</t>
  </si>
  <si>
    <t>Data type</t>
  </si>
  <si>
    <t>Unit</t>
  </si>
  <si>
    <t>Definition</t>
  </si>
  <si>
    <t>Source or derivation</t>
  </si>
  <si>
    <t>county_annual</t>
  </si>
  <si>
    <t>year</t>
  </si>
  <si>
    <t>integer</t>
  </si>
  <si>
    <t>calendar year</t>
  </si>
  <si>
    <t>Annual period; 2020 is only the growth baseline.</t>
  </si>
  <si>
    <t>County field 1; state field 1 uses YYYY99.</t>
  </si>
  <si>
    <t>state_fips</t>
  </si>
  <si>
    <t>text</t>
  </si>
  <si>
    <t>code</t>
  </si>
  <si>
    <t>Two-character state identifier; Utah is 49.</t>
  </si>
  <si>
    <t>County/state field 2.</t>
  </si>
  <si>
    <t>county_fips</t>
  </si>
  <si>
    <t>Three-character county identifier; preserve leading zeros.</t>
  </si>
  <si>
    <t>County field 3.</t>
  </si>
  <si>
    <t>county_fips5</t>
  </si>
  <si>
    <t>Five-character unique county identifier.</t>
  </si>
  <si>
    <t>state_fips + county_fips; primary-key component.</t>
  </si>
  <si>
    <t>county_name</t>
  </si>
  <si>
    <t>name</t>
  </si>
  <si>
    <t>Census county name, with leading/trailing spaces removed.</t>
  </si>
  <si>
    <t>County field 6.</t>
  </si>
  <si>
    <t>single_family_units</t>
  </si>
  <si>
    <t>count</t>
  </si>
  <si>
    <t>Units in 1-unit buildings, including qualifying attached homes.</t>
  </si>
  <si>
    <t>county_by_structure estimated_units for 101.</t>
  </si>
  <si>
    <t>two_unit_units</t>
  </si>
  <si>
    <t>Units in 2-unit buildings.</t>
  </si>
  <si>
    <t>county_by_structure estimated_units for 103.</t>
  </si>
  <si>
    <t>three_four_unit_units</t>
  </si>
  <si>
    <t>Units in 3-4-unit buildings.</t>
  </si>
  <si>
    <t>county_by_structure estimated_units for 104.</t>
  </si>
  <si>
    <t>five_plus_unit_units</t>
  </si>
  <si>
    <t>Units in buildings containing at least 5 units.</t>
  </si>
  <si>
    <t>county_by_structure estimated_units for 105.</t>
  </si>
  <si>
    <t>total_buildings</t>
  </si>
  <si>
    <t>Total estimated residential buildings authorized.</t>
  </si>
  <si>
    <t>Sum estimated_buildings across all four structure types.</t>
  </si>
  <si>
    <t>total_units</t>
  </si>
  <si>
    <t>Total estimated housing units authorized; includes imputation.</t>
  </si>
  <si>
    <t>Sum estimated_units across all four structure types.</t>
  </si>
  <si>
    <t>multifamily_units</t>
  </si>
  <si>
    <t>Estimated units in structures containing two or more units.</t>
  </si>
  <si>
    <t>two_unit_units + three_four_unit_units + five_plus_unit_units.</t>
  </si>
  <si>
    <t>total_valuation_usd</t>
  </si>
  <si>
    <t>USD</t>
  </si>
  <si>
    <t>Total estimated nominal permit valuation.</t>
  </si>
  <si>
    <t>Sum estimated_valuation_usd across all four structure types.</t>
  </si>
  <si>
    <t>reported_buildings</t>
  </si>
  <si>
    <t>Reported-only residential buildings authorized.</t>
  </si>
  <si>
    <t>Sum reported_buildings across all four structure types.</t>
  </si>
  <si>
    <t>reported_units</t>
  </si>
  <si>
    <t>Reported-only housing units authorized.</t>
  </si>
  <si>
    <t>Sum reported_units across all four structure types.</t>
  </si>
  <si>
    <t>reported_valuation_usd</t>
  </si>
  <si>
    <t>Reported-only nominal permit valuation.</t>
  </si>
  <si>
    <t>Sum reported_valuation_usd across all four structure types.</t>
  </si>
  <si>
    <t>imputed_units</t>
  </si>
  <si>
    <t>Units added through Census imputation.</t>
  </si>
  <si>
    <t>total_units - reported_units.</t>
  </si>
  <si>
    <t>imputed_unit_share</t>
  </si>
  <si>
    <t>decimal / nullable</t>
  </si>
  <si>
    <t>proportion 0-1</t>
  </si>
  <si>
    <t>Share of estimated units contributed by imputation; not an office response rate or confidence score.</t>
  </si>
  <si>
    <t>imputed_units / total_units; blank if total_units is zero.</t>
  </si>
  <si>
    <t>period_role</t>
  </si>
  <si>
    <t>category</t>
  </si>
  <si>
    <t>baseline for 2020; analysis for 2021-2025.</t>
  </si>
  <si>
    <t>Assigned from year; exclude baseline from five-year averages/rankings.</t>
  </si>
  <si>
    <t>coverage_basis</t>
  </si>
  <si>
    <t>method</t>
  </si>
  <si>
    <t>Survey permit-office universe used for the annual estimate.</t>
  </si>
  <si>
    <t>2014 fixed universe through 2022; annually updated from 2023. See DOC-2023-FAQ.</t>
  </si>
  <si>
    <t>source_id</t>
  </si>
  <si>
    <t>key</t>
  </si>
  <si>
    <t>Join to sources/download_manifest.csv to find URL and retrieval metadata.</t>
  </si>
  <si>
    <t>Annual county BPS-CO-YYYY or state BPS-ST-YYYY.</t>
  </si>
  <si>
    <t>source_file</t>
  </si>
  <si>
    <t>relative path</t>
  </si>
  <si>
    <t>Location of unchanged original file inside this package.</t>
  </si>
  <si>
    <t>raw/county/coYYYYa.txt or raw/state/stYYYYa.txt.</t>
  </si>
  <si>
    <t>source_line</t>
  </si>
  <si>
    <t>line number</t>
  </si>
  <si>
    <t>One-based physical source line including header rows.</t>
  </si>
  <si>
    <t>Recorded while parsing original text file.</t>
  </si>
  <si>
    <t>county_by_structure</t>
  </si>
  <si>
    <t>structure_code</t>
  </si>
  <si>
    <t>101 = 1 unit; 103 = 2 units; 104 = 3-4 units; 105 = 5+ units.</t>
  </si>
  <si>
    <t>C-404 item codes assigned from source column groups.</t>
  </si>
  <si>
    <t>structure_type</t>
  </si>
  <si>
    <t>Number of housing units per residential building.</t>
  </si>
  <si>
    <t>Mapped from structure_code.</t>
  </si>
  <si>
    <t>housing_group</t>
  </si>
  <si>
    <t>single_family = code 101; multifamily = codes 103/104/105.</t>
  </si>
  <si>
    <t>Mapped from structure_code; single family includes qualifying attached homes.</t>
  </si>
  <si>
    <t>estimated_buildings</t>
  </si>
  <si>
    <t>Residential buildings authorized; not individual permit-document counts. Includes reported data and Census imputation.</t>
  </si>
  <si>
    <t>County fields 7, 10, 13, 16, respectively for codes 101/103/104/105.</t>
  </si>
  <si>
    <t>estimated_units</t>
  </si>
  <si>
    <t>Housing units authorized within residential buildings. Includes reported data and Census imputation.</t>
  </si>
  <si>
    <t>County fields 8, 11, 14, 17, respectively for codes 101/103/104/105.</t>
  </si>
  <si>
    <t>estimated_valuation_usd</t>
  </si>
  <si>
    <t>Permit valuation in whole nominal U.S. dollars; not sales, profit, or inflation-adjusted cost. Includes reported data and Census imputation.</t>
  </si>
  <si>
    <t>County fields 9, 12, 15, 18, respectively for codes 101/103/104/105.</t>
  </si>
  <si>
    <t>Residential buildings authorized; not individual permit-document counts. Reported-only data; excludes Census imputation.</t>
  </si>
  <si>
    <t>County fields 19, 22, 25, 28, respectively for codes 101/103/104/105.</t>
  </si>
  <si>
    <t>Housing units authorized within residential buildings. Reported-only data; excludes Census imputation.</t>
  </si>
  <si>
    <t>County fields 20, 23, 26, 29, respectively for codes 101/103/104/105.</t>
  </si>
  <si>
    <t>Permit valuation in whole nominal U.S. dollars; not sales, profit, or inflation-adjusted cost. Reported-only data; excludes Census imputation.</t>
  </si>
  <si>
    <t>County fields 21, 24, 27, 30, respectively for codes 101/103/104/105.</t>
  </si>
  <si>
    <t>counties</t>
  </si>
  <si>
    <t>utah_state_controls</t>
  </si>
  <si>
    <t>state_name</t>
  </si>
  <si>
    <t>State name.</t>
  </si>
  <si>
    <t>State field 5.</t>
  </si>
  <si>
    <t>Estimated state buildings; separate state-file control.</t>
  </si>
  <si>
    <t>State fields 6, 9, 12, 15, respectively for codes 101/103/104/105.</t>
  </si>
  <si>
    <t>Estimated state units; separate state-file control.</t>
  </si>
  <si>
    <t>State fields 7, 10, 13, 16, respectively for codes 101/103/104/105.</t>
  </si>
  <si>
    <t>estimated_valuation_thousand_usd</t>
  </si>
  <si>
    <t>thousand USD</t>
  </si>
  <si>
    <t>Estimated state valuation thousand usd; separate state-file control.</t>
  </si>
  <si>
    <t>State fields 8, 11, 14, 17, respectively for codes 101/103/104/105.</t>
  </si>
  <si>
    <t>Estimated state valuation converted from rounded thousands; a reconciliation control.</t>
  </si>
  <si>
    <t>estimated_valuation_thousand_usd * 1000.</t>
  </si>
  <si>
    <t>Reported state buildings; separate state-file control.</t>
  </si>
  <si>
    <t>State fields 18, 21, 24, 27, respectively for codes 101/103/104/105.</t>
  </si>
  <si>
    <t>Reported state units; separate state-file control.</t>
  </si>
  <si>
    <t>State fields 19, 22, 25, 28, respectively for codes 101/103/104/105.</t>
  </si>
  <si>
    <t>reported_valuation_thousand_usd</t>
  </si>
  <si>
    <t>Reported state valuation thousand usd; separate state-file control.</t>
  </si>
  <si>
    <t>State fields 20, 23, 26, 29, respectively for codes 101/103/104/105.</t>
  </si>
  <si>
    <t>Reported state valuation converted from rounded thousands; a reconciliation control.</t>
  </si>
  <si>
    <t>reported_valuation_thousand_usd * 1000.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</si>
</sst>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 x14ac:knownFonts="1">
    <font>
      <sz val="11"/>
      <name val="Carlito"/>
    </font>
    <font>
      <sz val="10"/>
      <color rgb="FF253746"/>
      <name val="Arial"/>
    </font>
    <font>
      <b/>
      <sz val="16"/>
      <color rgb="FF17324D"/>
      <name val="Arial"/>
    </font>
    <font>
      <sz val="10"/>
      <color rgb="FF617489"/>
      <name val="Arial"/>
    </font>
    <font>
      <b/>
      <sz val="10"/>
      <color rgb="FFFFFFFF"/>
      <name val="Arial"/>
    </font>
    <font>
      <sz val="11"/>
      <color rgb="FF253746"/>
      <name val="Arial"/>
    </font>
    <font>
      <sz val="11"/>
      <color rgb="FF617489"/>
      <name val="Arial"/>
    </font>
    <font>
      <b/>
      <sz val="11"/>
      <color rgb="FF17324D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EE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3" fontId="1" fillId="4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1" fontId="1" fillId="4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5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ntyannualTable" displayName="CountyannualTable" ref="A5:P179" totalsRowShown="0">
  <autoFilter ref="A5:P179" xr:uid="{00000000-0009-0000-0100-000001000000}"/>
  <tableColumns count="16">
    <tableColumn id="1" xr3:uid="{00000000-0010-0000-0000-000001000000}" name="Year"/>
    <tableColumn id="2" xr3:uid="{00000000-0010-0000-0000-000002000000}" name="County"/>
    <tableColumn id="3" xr3:uid="{00000000-0010-0000-0000-000003000000}" name="County FIPS"/>
    <tableColumn id="4" xr3:uid="{00000000-0010-0000-0000-000004000000}" name="1-unit units"/>
    <tableColumn id="5" xr3:uid="{00000000-0010-0000-0000-000005000000}" name="2-unit units"/>
    <tableColumn id="6" xr3:uid="{00000000-0010-0000-0000-000006000000}" name="3–4-unit units"/>
    <tableColumn id="7" xr3:uid="{00000000-0010-0000-0000-000007000000}" name="5+ units"/>
    <tableColumn id="8" xr3:uid="{00000000-0010-0000-0000-000008000000}" name="Total units"/>
    <tableColumn id="9" xr3:uid="{00000000-0010-0000-0000-000009000000}" name="Multifamily units"/>
    <tableColumn id="10" xr3:uid="{00000000-0010-0000-0000-00000A000000}" name="Valuation USD"/>
    <tableColumn id="11" xr3:uid="{00000000-0010-0000-0000-00000B000000}" name="Reported units"/>
    <tableColumn id="12" xr3:uid="{00000000-0010-0000-0000-00000C000000}" name="Imputed unit share"/>
    <tableColumn id="13" xr3:uid="{00000000-0010-0000-0000-00000D000000}" name="Period role"/>
    <tableColumn id="14" xr3:uid="{00000000-0010-0000-0000-00000E000000}" name="Coverage basis"/>
    <tableColumn id="15" xr3:uid="{00000000-0010-0000-0000-00000F000000}" name="Source ID"/>
    <tableColumn id="16" xr3:uid="{00000000-0010-0000-0000-000010000000}" name="Source li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ystructureTable" displayName="BystructureTable" ref="A5:L701" totalsRowShown="0">
  <autoFilter ref="A5:L701" xr:uid="{00000000-0009-0000-0100-000002000000}"/>
  <tableColumns count="12">
    <tableColumn id="1" xr3:uid="{00000000-0010-0000-0100-000001000000}" name="Year"/>
    <tableColumn id="2" xr3:uid="{00000000-0010-0000-0100-000002000000}" name="County"/>
    <tableColumn id="3" xr3:uid="{00000000-0010-0000-0100-000003000000}" name="County FIPS"/>
    <tableColumn id="4" xr3:uid="{00000000-0010-0000-0100-000004000000}" name="Structure type"/>
    <tableColumn id="5" xr3:uid="{00000000-0010-0000-0100-000005000000}" name="Est. buildings"/>
    <tableColumn id="6" xr3:uid="{00000000-0010-0000-0100-000006000000}" name="Est. units"/>
    <tableColumn id="7" xr3:uid="{00000000-0010-0000-0100-000007000000}" name="Est. valuation USD"/>
    <tableColumn id="8" xr3:uid="{00000000-0010-0000-0100-000008000000}" name="Reported units"/>
    <tableColumn id="9" xr3:uid="{00000000-0010-0000-0100-000009000000}" name="Reported buildings"/>
    <tableColumn id="10" xr3:uid="{00000000-0010-0000-0100-00000A000000}" name="Reported valuation USD"/>
    <tableColumn id="11" xr3:uid="{00000000-0010-0000-0100-00000B000000}" name="Source ID"/>
    <tableColumn id="12" xr3:uid="{00000000-0010-0000-0100-00000C000000}" name="Source li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5:F26" totalsRowShown="0">
  <autoFilter ref="A5:F26" xr:uid="{00000000-0009-0000-0100-000003000000}"/>
  <tableColumns count="6">
    <tableColumn id="1" xr3:uid="{00000000-0010-0000-0200-000001000000}" name="Source ID"/>
    <tableColumn id="2" xr3:uid="{00000000-0010-0000-0200-000002000000}" name="Source title"/>
    <tableColumn id="3" xr3:uid="{00000000-0010-0000-0200-000003000000}" name="Original URL"/>
    <tableColumn id="4" xr3:uid="{00000000-0010-0000-0200-000004000000}" name="Local snapshot"/>
    <tableColumn id="5" xr3:uid="{00000000-0010-0000-0200-000005000000}" name="Retrieved at UTC"/>
    <tableColumn id="6" xr3:uid="{00000000-0010-0000-0200-000006000000}" name="SHA-2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ctionaryTable" displayName="DictionaryTable" ref="A5:F67" totalsRowShown="0">
  <autoFilter ref="A5:F67" xr:uid="{00000000-0009-0000-0100-000004000000}"/>
  <tableColumns count="6">
    <tableColumn id="1" xr3:uid="{00000000-0010-0000-0300-000001000000}" name="Dataset"/>
    <tableColumn id="2" xr3:uid="{00000000-0010-0000-0300-000002000000}" name="Field"/>
    <tableColumn id="3" xr3:uid="{00000000-0010-0000-0300-000003000000}" name="Data type"/>
    <tableColumn id="4" xr3:uid="{00000000-0010-0000-0300-000004000000}" name="Unit"/>
    <tableColumn id="5" xr3:uid="{00000000-0010-0000-0300-000005000000}" name="Definition"/>
    <tableColumn id="6" xr3:uid="{00000000-0010-0000-0300-000006000000}" name="Source or deriv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F35"/>
  <sheetViews>
    <sheetView showGridLines="0" topLeftCell="A29" workbookViewId="0"/>
  </sheetViews>
  <sheetFormatPr defaultRowHeight="14.5" x14ac:dyDescent="0.35"/>
  <cols>
    <col min="1" max="1" width="4.26953125" customWidth="1"/>
    <col min="2" max="2" width="25.6328125" customWidth="1"/>
    <col min="3" max="3" width="86.26953125" customWidth="1"/>
    <col min="4" max="6" width="1.90625" customWidth="1"/>
  </cols>
  <sheetData>
    <row r="1" spans="1:6" x14ac:dyDescent="0.35">
      <c r="A1" s="18"/>
      <c r="B1" s="18"/>
      <c r="C1" s="18"/>
      <c r="D1" s="18"/>
      <c r="E1" s="18"/>
      <c r="F1" s="18"/>
    </row>
    <row r="2" spans="1:6" ht="32" customHeight="1" x14ac:dyDescent="0.4">
      <c r="A2" s="18"/>
      <c r="B2" s="19" t="s">
        <v>0</v>
      </c>
      <c r="C2" s="18"/>
      <c r="D2" s="18"/>
      <c r="E2" s="18"/>
      <c r="F2" s="18"/>
    </row>
    <row r="3" spans="1:6" x14ac:dyDescent="0.35">
      <c r="A3" s="18"/>
      <c r="B3" s="20" t="s">
        <v>1</v>
      </c>
      <c r="C3" s="18"/>
      <c r="D3" s="18"/>
      <c r="E3" s="18"/>
      <c r="F3" s="18"/>
    </row>
    <row r="4" spans="1:6" x14ac:dyDescent="0.35">
      <c r="A4" s="18"/>
      <c r="B4" s="18"/>
      <c r="C4" s="18"/>
      <c r="D4" s="18"/>
      <c r="E4" s="18"/>
      <c r="F4" s="18"/>
    </row>
    <row r="5" spans="1:6" ht="55" customHeight="1" x14ac:dyDescent="0.35">
      <c r="A5" s="18"/>
      <c r="B5" s="23" t="s">
        <v>2</v>
      </c>
      <c r="C5" s="24" t="s">
        <v>3</v>
      </c>
      <c r="D5" s="18"/>
      <c r="E5" s="18"/>
      <c r="F5" s="18"/>
    </row>
    <row r="6" spans="1:6" ht="55" customHeight="1" x14ac:dyDescent="0.35">
      <c r="A6" s="18"/>
      <c r="B6" s="22" t="s">
        <v>4</v>
      </c>
      <c r="C6" s="21" t="s">
        <v>5</v>
      </c>
      <c r="D6" s="18"/>
      <c r="E6" s="18"/>
      <c r="F6" s="18"/>
    </row>
    <row r="7" spans="1:6" ht="55" customHeight="1" x14ac:dyDescent="0.35">
      <c r="A7" s="18"/>
      <c r="B7" s="23" t="s">
        <v>6</v>
      </c>
      <c r="C7" s="24" t="s">
        <v>7</v>
      </c>
      <c r="D7" s="18"/>
      <c r="E7" s="18"/>
      <c r="F7" s="18"/>
    </row>
    <row r="8" spans="1:6" ht="55" customHeight="1" x14ac:dyDescent="0.35">
      <c r="A8" s="18"/>
      <c r="B8" s="22" t="s">
        <v>8</v>
      </c>
      <c r="C8" s="21" t="s">
        <v>9</v>
      </c>
      <c r="D8" s="18"/>
      <c r="E8" s="18"/>
      <c r="F8" s="18"/>
    </row>
    <row r="9" spans="1:6" ht="55" customHeight="1" x14ac:dyDescent="0.35">
      <c r="A9" s="18"/>
      <c r="B9" s="23" t="s">
        <v>10</v>
      </c>
      <c r="C9" s="24" t="s">
        <v>11</v>
      </c>
      <c r="D9" s="18"/>
      <c r="E9" s="18"/>
      <c r="F9" s="18"/>
    </row>
    <row r="10" spans="1:6" ht="55" customHeight="1" x14ac:dyDescent="0.35">
      <c r="A10" s="18"/>
      <c r="B10" s="22" t="s">
        <v>12</v>
      </c>
      <c r="C10" s="21" t="s">
        <v>13</v>
      </c>
      <c r="D10" s="18"/>
      <c r="E10" s="18"/>
      <c r="F10" s="18"/>
    </row>
    <row r="11" spans="1:6" ht="55" customHeight="1" x14ac:dyDescent="0.35">
      <c r="A11" s="18"/>
      <c r="B11" s="23" t="s">
        <v>14</v>
      </c>
      <c r="C11" s="24" t="s">
        <v>15</v>
      </c>
      <c r="D11" s="18"/>
      <c r="E11" s="18"/>
      <c r="F11" s="18"/>
    </row>
    <row r="12" spans="1:6" ht="55" customHeight="1" x14ac:dyDescent="0.35">
      <c r="A12" s="18"/>
      <c r="B12" s="22" t="s">
        <v>16</v>
      </c>
      <c r="C12" s="21" t="s">
        <v>17</v>
      </c>
      <c r="D12" s="18"/>
      <c r="E12" s="18"/>
      <c r="F12" s="18"/>
    </row>
    <row r="13" spans="1:6" ht="55" customHeight="1" x14ac:dyDescent="0.35">
      <c r="A13" s="18"/>
      <c r="B13" s="23" t="s">
        <v>18</v>
      </c>
      <c r="C13" s="24" t="s">
        <v>19</v>
      </c>
      <c r="D13" s="18"/>
      <c r="E13" s="18"/>
      <c r="F13" s="18"/>
    </row>
    <row r="14" spans="1:6" ht="55" customHeight="1" x14ac:dyDescent="0.35">
      <c r="A14" s="18"/>
      <c r="B14" s="22" t="s">
        <v>20</v>
      </c>
      <c r="C14" s="21" t="s">
        <v>21</v>
      </c>
      <c r="D14" s="18"/>
      <c r="E14" s="18"/>
      <c r="F14" s="18"/>
    </row>
    <row r="15" spans="1:6" ht="55" customHeight="1" x14ac:dyDescent="0.35">
      <c r="A15" s="18"/>
      <c r="B15" s="23" t="s">
        <v>22</v>
      </c>
      <c r="C15" s="24" t="s">
        <v>23</v>
      </c>
      <c r="D15" s="18"/>
      <c r="E15" s="18"/>
      <c r="F15" s="18"/>
    </row>
    <row r="16" spans="1:6" ht="55" customHeight="1" x14ac:dyDescent="0.35">
      <c r="A16" s="18"/>
      <c r="B16" s="22" t="s">
        <v>24</v>
      </c>
      <c r="C16" s="21" t="s">
        <v>25</v>
      </c>
      <c r="D16" s="18"/>
      <c r="E16" s="18"/>
      <c r="F16" s="18"/>
    </row>
    <row r="17" spans="1:6" ht="55" customHeight="1" x14ac:dyDescent="0.35">
      <c r="A17" s="18"/>
      <c r="B17" s="23" t="s">
        <v>26</v>
      </c>
      <c r="C17" s="24" t="s">
        <v>27</v>
      </c>
      <c r="D17" s="18"/>
      <c r="E17" s="18"/>
      <c r="F17" s="18"/>
    </row>
    <row r="18" spans="1:6" ht="55" customHeight="1" x14ac:dyDescent="0.35">
      <c r="A18" s="18"/>
      <c r="B18" s="22" t="s">
        <v>28</v>
      </c>
      <c r="C18" s="21" t="s">
        <v>29</v>
      </c>
      <c r="D18" s="18"/>
      <c r="E18" s="18"/>
      <c r="F18" s="18"/>
    </row>
    <row r="19" spans="1:6" x14ac:dyDescent="0.35">
      <c r="A19" s="18"/>
      <c r="B19" s="18"/>
      <c r="C19" s="18"/>
      <c r="D19" s="18"/>
      <c r="E19" s="18"/>
      <c r="F19" s="18"/>
    </row>
    <row r="20" spans="1:6" x14ac:dyDescent="0.35">
      <c r="A20" s="18"/>
      <c r="B20" s="25" t="s">
        <v>30</v>
      </c>
      <c r="C20" s="18"/>
      <c r="D20" s="18"/>
      <c r="E20" s="18"/>
      <c r="F20" s="18"/>
    </row>
    <row r="21" spans="1:6" x14ac:dyDescent="0.35">
      <c r="A21" s="18"/>
      <c r="B21" s="18"/>
      <c r="C21" s="18"/>
      <c r="D21" s="18"/>
      <c r="E21" s="18"/>
      <c r="F21" s="18"/>
    </row>
    <row r="22" spans="1:6" x14ac:dyDescent="0.35">
      <c r="A22" s="18"/>
      <c r="B22" s="18"/>
      <c r="C22" s="18"/>
      <c r="D22" s="18"/>
      <c r="E22" s="18"/>
      <c r="F22" s="18"/>
    </row>
    <row r="23" spans="1:6" x14ac:dyDescent="0.35">
      <c r="A23" s="18"/>
      <c r="B23" s="18"/>
      <c r="C23" s="18"/>
      <c r="D23" s="18"/>
      <c r="E23" s="18"/>
      <c r="F23" s="18"/>
    </row>
    <row r="24" spans="1:6" x14ac:dyDescent="0.35">
      <c r="A24" s="18"/>
      <c r="B24" s="18"/>
      <c r="C24" s="18"/>
      <c r="D24" s="18"/>
      <c r="E24" s="18"/>
      <c r="F24" s="18"/>
    </row>
    <row r="25" spans="1:6" x14ac:dyDescent="0.35">
      <c r="A25" s="18"/>
      <c r="B25" s="18"/>
      <c r="C25" s="18"/>
      <c r="D25" s="18"/>
      <c r="E25" s="18"/>
      <c r="F25" s="18"/>
    </row>
    <row r="26" spans="1:6" x14ac:dyDescent="0.35">
      <c r="A26" s="18"/>
      <c r="B26" s="18"/>
      <c r="C26" s="18"/>
      <c r="D26" s="18"/>
      <c r="E26" s="18"/>
      <c r="F26" s="18"/>
    </row>
    <row r="27" spans="1:6" x14ac:dyDescent="0.35">
      <c r="A27" s="18"/>
      <c r="B27" s="18"/>
      <c r="C27" s="18"/>
      <c r="D27" s="18"/>
      <c r="E27" s="18"/>
      <c r="F27" s="18"/>
    </row>
    <row r="28" spans="1:6" x14ac:dyDescent="0.35">
      <c r="A28" s="18"/>
      <c r="B28" s="18"/>
      <c r="C28" s="18"/>
      <c r="D28" s="18"/>
      <c r="E28" s="18"/>
      <c r="F28" s="18"/>
    </row>
    <row r="29" spans="1:6" x14ac:dyDescent="0.35">
      <c r="A29" s="18"/>
      <c r="B29" s="18"/>
      <c r="C29" s="18"/>
      <c r="D29" s="18"/>
      <c r="E29" s="18"/>
      <c r="F29" s="18"/>
    </row>
    <row r="30" spans="1:6" x14ac:dyDescent="0.35">
      <c r="A30" s="18"/>
      <c r="B30" s="18"/>
      <c r="C30" s="18"/>
      <c r="D30" s="18"/>
      <c r="E30" s="18"/>
      <c r="F30" s="18"/>
    </row>
    <row r="31" spans="1:6" x14ac:dyDescent="0.35">
      <c r="A31" s="18"/>
      <c r="B31" s="18"/>
      <c r="C31" s="18"/>
      <c r="D31" s="18"/>
      <c r="E31" s="18"/>
      <c r="F31" s="18"/>
    </row>
    <row r="32" spans="1:6" x14ac:dyDescent="0.35">
      <c r="A32" s="18"/>
      <c r="B32" s="18"/>
      <c r="C32" s="18"/>
      <c r="D32" s="18"/>
      <c r="E32" s="18"/>
      <c r="F32" s="18"/>
    </row>
    <row r="33" spans="1:6" x14ac:dyDescent="0.35">
      <c r="A33" s="18"/>
      <c r="B33" s="18"/>
      <c r="C33" s="18"/>
      <c r="D33" s="18"/>
      <c r="E33" s="18"/>
      <c r="F33" s="18"/>
    </row>
    <row r="34" spans="1:6" x14ac:dyDescent="0.35">
      <c r="A34" s="18"/>
      <c r="B34" s="18"/>
      <c r="C34" s="18"/>
      <c r="D34" s="18"/>
      <c r="E34" s="18"/>
      <c r="F34" s="18"/>
    </row>
    <row r="35" spans="1:6" x14ac:dyDescent="0.35">
      <c r="A35" s="18"/>
      <c r="B35" s="18"/>
      <c r="C35" s="18"/>
      <c r="D35" s="18"/>
      <c r="E35" s="18"/>
      <c r="F3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E8B"/>
  </sheetPr>
  <dimension ref="A1:P179"/>
  <sheetViews>
    <sheetView showGridLines="0" tabSelected="1" topLeftCell="I1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8" customWidth="1"/>
    <col min="2" max="2" width="19.453125" customWidth="1"/>
    <col min="3" max="3" width="11.6328125" customWidth="1"/>
    <col min="4" max="5" width="11.90625" customWidth="1"/>
    <col min="6" max="6" width="12.90625" customWidth="1"/>
    <col min="7" max="7" width="11.90625" customWidth="1"/>
    <col min="8" max="8" width="13" customWidth="1"/>
    <col min="9" max="9" width="13.26953125" customWidth="1"/>
    <col min="10" max="10" width="18.08984375" customWidth="1"/>
    <col min="11" max="12" width="13.453125" customWidth="1"/>
    <col min="13" max="13" width="12" customWidth="1"/>
    <col min="14" max="14" width="24.453125" customWidth="1"/>
    <col min="15" max="15" width="17.26953125" customWidth="1"/>
    <col min="16" max="16" width="11.26953125" customWidth="1"/>
  </cols>
  <sheetData>
    <row r="1" spans="1:16" ht="30" customHeight="1" x14ac:dyDescent="0.35">
      <c r="A1" s="2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2" customHeight="1" x14ac:dyDescent="0.35">
      <c r="A2" s="3" t="s">
        <v>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2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2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42" customHeight="1" x14ac:dyDescent="0.35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 t="s">
        <v>45</v>
      </c>
      <c r="N5" s="4" t="s">
        <v>46</v>
      </c>
      <c r="O5" s="4" t="s">
        <v>47</v>
      </c>
      <c r="P5" s="4" t="s">
        <v>48</v>
      </c>
    </row>
    <row r="6" spans="1:16" ht="22" customHeight="1" x14ac:dyDescent="0.35">
      <c r="A6" s="14">
        <v>2020</v>
      </c>
      <c r="B6" s="5" t="s">
        <v>49</v>
      </c>
      <c r="C6" s="6" t="s">
        <v>50</v>
      </c>
      <c r="D6" s="8">
        <v>38</v>
      </c>
      <c r="E6" s="8">
        <v>0</v>
      </c>
      <c r="F6" s="8">
        <v>4</v>
      </c>
      <c r="G6" s="8">
        <v>0</v>
      </c>
      <c r="H6" s="8">
        <f t="shared" ref="H6:H37" si="0">SUM(D6:G6)</f>
        <v>42</v>
      </c>
      <c r="I6" s="8">
        <f t="shared" ref="I6:I37" si="1">SUM(E6:G6)</f>
        <v>4</v>
      </c>
      <c r="J6" s="10">
        <f>SUMIFS('By structure'!$G$6:$G$701,'By structure'!$A$6:$A$701,A6,'By structure'!$C$6:$C$701,C6)</f>
        <v>11814547</v>
      </c>
      <c r="K6" s="8">
        <f>SUMIFS('By structure'!$H$6:$H$701,'By structure'!$A$6:$A$701,A6,'By structure'!$C$6:$C$701,C6)</f>
        <v>42</v>
      </c>
      <c r="L6" s="12">
        <f t="shared" ref="L6:L37" si="2">IF(H6=0,"",(H6-K6)/H6)</f>
        <v>0</v>
      </c>
      <c r="M6" s="5" t="s">
        <v>51</v>
      </c>
      <c r="N6" s="5" t="s">
        <v>52</v>
      </c>
      <c r="O6" s="5" t="s">
        <v>53</v>
      </c>
      <c r="P6" s="14">
        <v>2675</v>
      </c>
    </row>
    <row r="7" spans="1:16" ht="22" customHeight="1" x14ac:dyDescent="0.35">
      <c r="A7" s="15">
        <v>2020</v>
      </c>
      <c r="B7" s="1" t="s">
        <v>54</v>
      </c>
      <c r="C7" s="7" t="s">
        <v>55</v>
      </c>
      <c r="D7" s="9">
        <v>381</v>
      </c>
      <c r="E7" s="9">
        <v>4</v>
      </c>
      <c r="F7" s="9">
        <v>60</v>
      </c>
      <c r="G7" s="9">
        <v>88</v>
      </c>
      <c r="H7" s="9">
        <f t="shared" si="0"/>
        <v>533</v>
      </c>
      <c r="I7" s="9">
        <f t="shared" si="1"/>
        <v>152</v>
      </c>
      <c r="J7" s="11">
        <f>SUMIFS('By structure'!$G$6:$G$701,'By structure'!$A$6:$A$701,A7,'By structure'!$C$6:$C$701,C7)</f>
        <v>92714260</v>
      </c>
      <c r="K7" s="9">
        <f>SUMIFS('By structure'!$H$6:$H$701,'By structure'!$A$6:$A$701,A7,'By structure'!$C$6:$C$701,C7)</f>
        <v>384</v>
      </c>
      <c r="L7" s="13">
        <f t="shared" si="2"/>
        <v>0.27954971857410882</v>
      </c>
      <c r="M7" s="1" t="s">
        <v>51</v>
      </c>
      <c r="N7" s="1" t="s">
        <v>52</v>
      </c>
      <c r="O7" s="1" t="s">
        <v>53</v>
      </c>
      <c r="P7" s="15">
        <v>2676</v>
      </c>
    </row>
    <row r="8" spans="1:16" ht="22" customHeight="1" x14ac:dyDescent="0.35">
      <c r="A8" s="14">
        <v>2020</v>
      </c>
      <c r="B8" s="5" t="s">
        <v>56</v>
      </c>
      <c r="C8" s="6" t="s">
        <v>57</v>
      </c>
      <c r="D8" s="8">
        <v>987</v>
      </c>
      <c r="E8" s="8">
        <v>6</v>
      </c>
      <c r="F8" s="8">
        <v>31</v>
      </c>
      <c r="G8" s="8">
        <v>586</v>
      </c>
      <c r="H8" s="8">
        <f t="shared" si="0"/>
        <v>1610</v>
      </c>
      <c r="I8" s="8">
        <f t="shared" si="1"/>
        <v>623</v>
      </c>
      <c r="J8" s="10">
        <f>SUMIFS('By structure'!$G$6:$G$701,'By structure'!$A$6:$A$701,A8,'By structure'!$C$6:$C$701,C8)</f>
        <v>321528306</v>
      </c>
      <c r="K8" s="8">
        <f>SUMIFS('By structure'!$H$6:$H$701,'By structure'!$A$6:$A$701,A8,'By structure'!$C$6:$C$701,C8)</f>
        <v>1610</v>
      </c>
      <c r="L8" s="12">
        <f t="shared" si="2"/>
        <v>0</v>
      </c>
      <c r="M8" s="5" t="s">
        <v>51</v>
      </c>
      <c r="N8" s="5" t="s">
        <v>52</v>
      </c>
      <c r="O8" s="5" t="s">
        <v>53</v>
      </c>
      <c r="P8" s="14">
        <v>2677</v>
      </c>
    </row>
    <row r="9" spans="1:16" ht="22" customHeight="1" x14ac:dyDescent="0.35">
      <c r="A9" s="15">
        <v>2020</v>
      </c>
      <c r="B9" s="1" t="s">
        <v>58</v>
      </c>
      <c r="C9" s="7" t="s">
        <v>59</v>
      </c>
      <c r="D9" s="9">
        <v>21</v>
      </c>
      <c r="E9" s="9">
        <v>2</v>
      </c>
      <c r="F9" s="9">
        <v>0</v>
      </c>
      <c r="G9" s="9">
        <v>0</v>
      </c>
      <c r="H9" s="9">
        <f t="shared" si="0"/>
        <v>23</v>
      </c>
      <c r="I9" s="9">
        <f t="shared" si="1"/>
        <v>2</v>
      </c>
      <c r="J9" s="11">
        <f>SUMIFS('By structure'!$G$6:$G$701,'By structure'!$A$6:$A$701,A9,'By structure'!$C$6:$C$701,C9)</f>
        <v>6817438</v>
      </c>
      <c r="K9" s="9">
        <f>SUMIFS('By structure'!$H$6:$H$701,'By structure'!$A$6:$A$701,A9,'By structure'!$C$6:$C$701,C9)</f>
        <v>23</v>
      </c>
      <c r="L9" s="13">
        <f t="shared" si="2"/>
        <v>0</v>
      </c>
      <c r="M9" s="1" t="s">
        <v>51</v>
      </c>
      <c r="N9" s="1" t="s">
        <v>52</v>
      </c>
      <c r="O9" s="1" t="s">
        <v>53</v>
      </c>
      <c r="P9" s="15">
        <v>2678</v>
      </c>
    </row>
    <row r="10" spans="1:16" ht="22" customHeight="1" x14ac:dyDescent="0.35">
      <c r="A10" s="14">
        <v>2020</v>
      </c>
      <c r="B10" s="5" t="s">
        <v>60</v>
      </c>
      <c r="C10" s="6" t="s">
        <v>61</v>
      </c>
      <c r="D10" s="8">
        <v>9</v>
      </c>
      <c r="E10" s="8">
        <v>0</v>
      </c>
      <c r="F10" s="8">
        <v>0</v>
      </c>
      <c r="G10" s="8">
        <v>0</v>
      </c>
      <c r="H10" s="8">
        <f t="shared" si="0"/>
        <v>9</v>
      </c>
      <c r="I10" s="8">
        <f t="shared" si="1"/>
        <v>0</v>
      </c>
      <c r="J10" s="10">
        <f>SUMIFS('By structure'!$G$6:$G$701,'By structure'!$A$6:$A$701,A10,'By structure'!$C$6:$C$701,C10)</f>
        <v>2258152</v>
      </c>
      <c r="K10" s="8">
        <f>SUMIFS('By structure'!$H$6:$H$701,'By structure'!$A$6:$A$701,A10,'By structure'!$C$6:$C$701,C10)</f>
        <v>4</v>
      </c>
      <c r="L10" s="12">
        <f t="shared" si="2"/>
        <v>0.55555555555555558</v>
      </c>
      <c r="M10" s="5" t="s">
        <v>51</v>
      </c>
      <c r="N10" s="5" t="s">
        <v>52</v>
      </c>
      <c r="O10" s="5" t="s">
        <v>53</v>
      </c>
      <c r="P10" s="14">
        <v>2679</v>
      </c>
    </row>
    <row r="11" spans="1:16" ht="22" customHeight="1" x14ac:dyDescent="0.35">
      <c r="A11" s="15">
        <v>2020</v>
      </c>
      <c r="B11" s="1" t="s">
        <v>62</v>
      </c>
      <c r="C11" s="7" t="s">
        <v>63</v>
      </c>
      <c r="D11" s="9">
        <v>1946</v>
      </c>
      <c r="E11" s="9">
        <v>12</v>
      </c>
      <c r="F11" s="9">
        <v>25</v>
      </c>
      <c r="G11" s="9">
        <v>434</v>
      </c>
      <c r="H11" s="9">
        <f t="shared" si="0"/>
        <v>2417</v>
      </c>
      <c r="I11" s="9">
        <f t="shared" si="1"/>
        <v>471</v>
      </c>
      <c r="J11" s="11">
        <f>SUMIFS('By structure'!$G$6:$G$701,'By structure'!$A$6:$A$701,A11,'By structure'!$C$6:$C$701,C11)</f>
        <v>603236927</v>
      </c>
      <c r="K11" s="9">
        <f>SUMIFS('By structure'!$H$6:$H$701,'By structure'!$A$6:$A$701,A11,'By structure'!$C$6:$C$701,C11)</f>
        <v>2417</v>
      </c>
      <c r="L11" s="13">
        <f t="shared" si="2"/>
        <v>0</v>
      </c>
      <c r="M11" s="1" t="s">
        <v>51</v>
      </c>
      <c r="N11" s="1" t="s">
        <v>52</v>
      </c>
      <c r="O11" s="1" t="s">
        <v>53</v>
      </c>
      <c r="P11" s="15">
        <v>2680</v>
      </c>
    </row>
    <row r="12" spans="1:16" ht="22" customHeight="1" x14ac:dyDescent="0.35">
      <c r="A12" s="14">
        <v>2020</v>
      </c>
      <c r="B12" s="5" t="s">
        <v>64</v>
      </c>
      <c r="C12" s="6" t="s">
        <v>65</v>
      </c>
      <c r="D12" s="8">
        <v>101</v>
      </c>
      <c r="E12" s="8">
        <v>0</v>
      </c>
      <c r="F12" s="8">
        <v>4</v>
      </c>
      <c r="G12" s="8">
        <v>0</v>
      </c>
      <c r="H12" s="8">
        <f t="shared" si="0"/>
        <v>105</v>
      </c>
      <c r="I12" s="8">
        <f t="shared" si="1"/>
        <v>4</v>
      </c>
      <c r="J12" s="10">
        <f>SUMIFS('By structure'!$G$6:$G$701,'By structure'!$A$6:$A$701,A12,'By structure'!$C$6:$C$701,C12)</f>
        <v>24105274</v>
      </c>
      <c r="K12" s="8">
        <f>SUMIFS('By structure'!$H$6:$H$701,'By structure'!$A$6:$A$701,A12,'By structure'!$C$6:$C$701,C12)</f>
        <v>54</v>
      </c>
      <c r="L12" s="12">
        <f t="shared" si="2"/>
        <v>0.48571428571428571</v>
      </c>
      <c r="M12" s="5" t="s">
        <v>51</v>
      </c>
      <c r="N12" s="5" t="s">
        <v>52</v>
      </c>
      <c r="O12" s="5" t="s">
        <v>53</v>
      </c>
      <c r="P12" s="14">
        <v>2681</v>
      </c>
    </row>
    <row r="13" spans="1:16" ht="22" customHeight="1" x14ac:dyDescent="0.35">
      <c r="A13" s="15">
        <v>2020</v>
      </c>
      <c r="B13" s="1" t="s">
        <v>66</v>
      </c>
      <c r="C13" s="7" t="s">
        <v>67</v>
      </c>
      <c r="D13" s="9">
        <v>7</v>
      </c>
      <c r="E13" s="9">
        <v>0</v>
      </c>
      <c r="F13" s="9">
        <v>0</v>
      </c>
      <c r="G13" s="9">
        <v>0</v>
      </c>
      <c r="H13" s="9">
        <f t="shared" si="0"/>
        <v>7</v>
      </c>
      <c r="I13" s="9">
        <f t="shared" si="1"/>
        <v>0</v>
      </c>
      <c r="J13" s="11">
        <f>SUMIFS('By structure'!$G$6:$G$701,'By structure'!$A$6:$A$701,A13,'By structure'!$C$6:$C$701,C13)</f>
        <v>1628900</v>
      </c>
      <c r="K13" s="9">
        <f>SUMIFS('By structure'!$H$6:$H$701,'By structure'!$A$6:$A$701,A13,'By structure'!$C$6:$C$701,C13)</f>
        <v>0</v>
      </c>
      <c r="L13" s="13">
        <f t="shared" si="2"/>
        <v>1</v>
      </c>
      <c r="M13" s="1" t="s">
        <v>51</v>
      </c>
      <c r="N13" s="1" t="s">
        <v>52</v>
      </c>
      <c r="O13" s="1" t="s">
        <v>53</v>
      </c>
      <c r="P13" s="15">
        <v>2682</v>
      </c>
    </row>
    <row r="14" spans="1:16" ht="22" customHeight="1" x14ac:dyDescent="0.35">
      <c r="A14" s="14">
        <v>2020</v>
      </c>
      <c r="B14" s="5" t="s">
        <v>68</v>
      </c>
      <c r="C14" s="6" t="s">
        <v>69</v>
      </c>
      <c r="D14" s="8">
        <v>58</v>
      </c>
      <c r="E14" s="8">
        <v>0</v>
      </c>
      <c r="F14" s="8">
        <v>0</v>
      </c>
      <c r="G14" s="8">
        <v>0</v>
      </c>
      <c r="H14" s="8">
        <f t="shared" si="0"/>
        <v>58</v>
      </c>
      <c r="I14" s="8">
        <f t="shared" si="1"/>
        <v>0</v>
      </c>
      <c r="J14" s="10">
        <f>SUMIFS('By structure'!$G$6:$G$701,'By structure'!$A$6:$A$701,A14,'By structure'!$C$6:$C$701,C14)</f>
        <v>12107805</v>
      </c>
      <c r="K14" s="8">
        <f>SUMIFS('By structure'!$H$6:$H$701,'By structure'!$A$6:$A$701,A14,'By structure'!$C$6:$C$701,C14)</f>
        <v>58</v>
      </c>
      <c r="L14" s="12">
        <f t="shared" si="2"/>
        <v>0</v>
      </c>
      <c r="M14" s="5" t="s">
        <v>51</v>
      </c>
      <c r="N14" s="5" t="s">
        <v>52</v>
      </c>
      <c r="O14" s="5" t="s">
        <v>53</v>
      </c>
      <c r="P14" s="14">
        <v>2683</v>
      </c>
    </row>
    <row r="15" spans="1:16" ht="22" customHeight="1" x14ac:dyDescent="0.35">
      <c r="A15" s="15">
        <v>2020</v>
      </c>
      <c r="B15" s="1" t="s">
        <v>70</v>
      </c>
      <c r="C15" s="7" t="s">
        <v>71</v>
      </c>
      <c r="D15" s="9">
        <v>71</v>
      </c>
      <c r="E15" s="9">
        <v>12</v>
      </c>
      <c r="F15" s="9">
        <v>24</v>
      </c>
      <c r="G15" s="9">
        <v>0</v>
      </c>
      <c r="H15" s="9">
        <f t="shared" si="0"/>
        <v>107</v>
      </c>
      <c r="I15" s="9">
        <f t="shared" si="1"/>
        <v>36</v>
      </c>
      <c r="J15" s="11">
        <f>SUMIFS('By structure'!$G$6:$G$701,'By structure'!$A$6:$A$701,A15,'By structure'!$C$6:$C$701,C15)</f>
        <v>22796380</v>
      </c>
      <c r="K15" s="9">
        <f>SUMIFS('By structure'!$H$6:$H$701,'By structure'!$A$6:$A$701,A15,'By structure'!$C$6:$C$701,C15)</f>
        <v>107</v>
      </c>
      <c r="L15" s="13">
        <f t="shared" si="2"/>
        <v>0</v>
      </c>
      <c r="M15" s="1" t="s">
        <v>51</v>
      </c>
      <c r="N15" s="1" t="s">
        <v>52</v>
      </c>
      <c r="O15" s="1" t="s">
        <v>53</v>
      </c>
      <c r="P15" s="15">
        <v>2684</v>
      </c>
    </row>
    <row r="16" spans="1:16" ht="22" customHeight="1" x14ac:dyDescent="0.35">
      <c r="A16" s="14">
        <v>2020</v>
      </c>
      <c r="B16" s="5" t="s">
        <v>72</v>
      </c>
      <c r="C16" s="6" t="s">
        <v>73</v>
      </c>
      <c r="D16" s="8">
        <v>473</v>
      </c>
      <c r="E16" s="8">
        <v>2</v>
      </c>
      <c r="F16" s="8">
        <v>0</v>
      </c>
      <c r="G16" s="8">
        <v>39</v>
      </c>
      <c r="H16" s="8">
        <f t="shared" si="0"/>
        <v>514</v>
      </c>
      <c r="I16" s="8">
        <f t="shared" si="1"/>
        <v>41</v>
      </c>
      <c r="J16" s="10">
        <f>SUMIFS('By structure'!$G$6:$G$701,'By structure'!$A$6:$A$701,A16,'By structure'!$C$6:$C$701,C16)</f>
        <v>109378486</v>
      </c>
      <c r="K16" s="8">
        <f>SUMIFS('By structure'!$H$6:$H$701,'By structure'!$A$6:$A$701,A16,'By structure'!$C$6:$C$701,C16)</f>
        <v>203</v>
      </c>
      <c r="L16" s="12">
        <f t="shared" si="2"/>
        <v>0.60505836575875482</v>
      </c>
      <c r="M16" s="5" t="s">
        <v>51</v>
      </c>
      <c r="N16" s="5" t="s">
        <v>52</v>
      </c>
      <c r="O16" s="5" t="s">
        <v>53</v>
      </c>
      <c r="P16" s="14">
        <v>2685</v>
      </c>
    </row>
    <row r="17" spans="1:16" ht="22" customHeight="1" x14ac:dyDescent="0.35">
      <c r="A17" s="15">
        <v>2020</v>
      </c>
      <c r="B17" s="1" t="s">
        <v>74</v>
      </c>
      <c r="C17" s="7" t="s">
        <v>75</v>
      </c>
      <c r="D17" s="9">
        <v>69</v>
      </c>
      <c r="E17" s="9">
        <v>10</v>
      </c>
      <c r="F17" s="9">
        <v>4</v>
      </c>
      <c r="G17" s="9">
        <v>25</v>
      </c>
      <c r="H17" s="9">
        <f t="shared" si="0"/>
        <v>108</v>
      </c>
      <c r="I17" s="9">
        <f t="shared" si="1"/>
        <v>39</v>
      </c>
      <c r="J17" s="11">
        <f>SUMIFS('By structure'!$G$6:$G$701,'By structure'!$A$6:$A$701,A17,'By structure'!$C$6:$C$701,C17)</f>
        <v>28711867</v>
      </c>
      <c r="K17" s="9">
        <f>SUMIFS('By structure'!$H$6:$H$701,'By structure'!$A$6:$A$701,A17,'By structure'!$C$6:$C$701,C17)</f>
        <v>92</v>
      </c>
      <c r="L17" s="13">
        <f t="shared" si="2"/>
        <v>0.14814814814814814</v>
      </c>
      <c r="M17" s="1" t="s">
        <v>51</v>
      </c>
      <c r="N17" s="1" t="s">
        <v>52</v>
      </c>
      <c r="O17" s="1" t="s">
        <v>53</v>
      </c>
      <c r="P17" s="15">
        <v>2686</v>
      </c>
    </row>
    <row r="18" spans="1:16" ht="22" customHeight="1" x14ac:dyDescent="0.35">
      <c r="A18" s="14">
        <v>2020</v>
      </c>
      <c r="B18" s="5" t="s">
        <v>76</v>
      </c>
      <c r="C18" s="6" t="s">
        <v>77</v>
      </c>
      <c r="D18" s="8">
        <v>231</v>
      </c>
      <c r="E18" s="8">
        <v>2</v>
      </c>
      <c r="F18" s="8">
        <v>3</v>
      </c>
      <c r="G18" s="8">
        <v>0</v>
      </c>
      <c r="H18" s="8">
        <f t="shared" si="0"/>
        <v>236</v>
      </c>
      <c r="I18" s="8">
        <f t="shared" si="1"/>
        <v>5</v>
      </c>
      <c r="J18" s="10">
        <f>SUMIFS('By structure'!$G$6:$G$701,'By structure'!$A$6:$A$701,A18,'By structure'!$C$6:$C$701,C18)</f>
        <v>60386201</v>
      </c>
      <c r="K18" s="8">
        <f>SUMIFS('By structure'!$H$6:$H$701,'By structure'!$A$6:$A$701,A18,'By structure'!$C$6:$C$701,C18)</f>
        <v>235</v>
      </c>
      <c r="L18" s="12">
        <f t="shared" si="2"/>
        <v>4.2372881355932203E-3</v>
      </c>
      <c r="M18" s="5" t="s">
        <v>51</v>
      </c>
      <c r="N18" s="5" t="s">
        <v>52</v>
      </c>
      <c r="O18" s="5" t="s">
        <v>53</v>
      </c>
      <c r="P18" s="14">
        <v>2687</v>
      </c>
    </row>
    <row r="19" spans="1:16" ht="22" customHeight="1" x14ac:dyDescent="0.35">
      <c r="A19" s="15">
        <v>2020</v>
      </c>
      <c r="B19" s="1" t="s">
        <v>78</v>
      </c>
      <c r="C19" s="7" t="s">
        <v>79</v>
      </c>
      <c r="D19" s="9">
        <v>55</v>
      </c>
      <c r="E19" s="9">
        <v>4</v>
      </c>
      <c r="F19" s="9">
        <v>4</v>
      </c>
      <c r="G19" s="9">
        <v>0</v>
      </c>
      <c r="H19" s="9">
        <f t="shared" si="0"/>
        <v>63</v>
      </c>
      <c r="I19" s="9">
        <f t="shared" si="1"/>
        <v>8</v>
      </c>
      <c r="J19" s="11">
        <f>SUMIFS('By structure'!$G$6:$G$701,'By structure'!$A$6:$A$701,A19,'By structure'!$C$6:$C$701,C19)</f>
        <v>10711866</v>
      </c>
      <c r="K19" s="9">
        <f>SUMIFS('By structure'!$H$6:$H$701,'By structure'!$A$6:$A$701,A19,'By structure'!$C$6:$C$701,C19)</f>
        <v>62</v>
      </c>
      <c r="L19" s="13">
        <f t="shared" si="2"/>
        <v>1.5873015873015872E-2</v>
      </c>
      <c r="M19" s="1" t="s">
        <v>51</v>
      </c>
      <c r="N19" s="1" t="s">
        <v>52</v>
      </c>
      <c r="O19" s="1" t="s">
        <v>53</v>
      </c>
      <c r="P19" s="15">
        <v>2688</v>
      </c>
    </row>
    <row r="20" spans="1:16" ht="22" customHeight="1" x14ac:dyDescent="0.35">
      <c r="A20" s="14">
        <v>2020</v>
      </c>
      <c r="B20" s="5" t="s">
        <v>80</v>
      </c>
      <c r="C20" s="6" t="s">
        <v>81</v>
      </c>
      <c r="D20" s="8">
        <v>80</v>
      </c>
      <c r="E20" s="8">
        <v>0</v>
      </c>
      <c r="F20" s="8">
        <v>25</v>
      </c>
      <c r="G20" s="8">
        <v>0</v>
      </c>
      <c r="H20" s="8">
        <f t="shared" si="0"/>
        <v>105</v>
      </c>
      <c r="I20" s="8">
        <f t="shared" si="1"/>
        <v>25</v>
      </c>
      <c r="J20" s="10">
        <f>SUMIFS('By structure'!$G$6:$G$701,'By structure'!$A$6:$A$701,A20,'By structure'!$C$6:$C$701,C20)</f>
        <v>44884698</v>
      </c>
      <c r="K20" s="8">
        <f>SUMIFS('By structure'!$H$6:$H$701,'By structure'!$A$6:$A$701,A20,'By structure'!$C$6:$C$701,C20)</f>
        <v>105</v>
      </c>
      <c r="L20" s="12">
        <f t="shared" si="2"/>
        <v>0</v>
      </c>
      <c r="M20" s="5" t="s">
        <v>51</v>
      </c>
      <c r="N20" s="5" t="s">
        <v>52</v>
      </c>
      <c r="O20" s="5" t="s">
        <v>53</v>
      </c>
      <c r="P20" s="14">
        <v>2689</v>
      </c>
    </row>
    <row r="21" spans="1:16" ht="22" customHeight="1" x14ac:dyDescent="0.35">
      <c r="A21" s="15">
        <v>2020</v>
      </c>
      <c r="B21" s="1" t="s">
        <v>82</v>
      </c>
      <c r="C21" s="7" t="s">
        <v>83</v>
      </c>
      <c r="D21" s="9">
        <v>26</v>
      </c>
      <c r="E21" s="9">
        <v>0</v>
      </c>
      <c r="F21" s="9">
        <v>0</v>
      </c>
      <c r="G21" s="9">
        <v>0</v>
      </c>
      <c r="H21" s="9">
        <f t="shared" si="0"/>
        <v>26</v>
      </c>
      <c r="I21" s="9">
        <f t="shared" si="1"/>
        <v>0</v>
      </c>
      <c r="J21" s="11">
        <f>SUMIFS('By structure'!$G$6:$G$701,'By structure'!$A$6:$A$701,A21,'By structure'!$C$6:$C$701,C21)</f>
        <v>4155930</v>
      </c>
      <c r="K21" s="9">
        <f>SUMIFS('By structure'!$H$6:$H$701,'By structure'!$A$6:$A$701,A21,'By structure'!$C$6:$C$701,C21)</f>
        <v>0</v>
      </c>
      <c r="L21" s="13">
        <f t="shared" si="2"/>
        <v>1</v>
      </c>
      <c r="M21" s="1" t="s">
        <v>51</v>
      </c>
      <c r="N21" s="1" t="s">
        <v>52</v>
      </c>
      <c r="O21" s="1" t="s">
        <v>53</v>
      </c>
      <c r="P21" s="15">
        <v>2690</v>
      </c>
    </row>
    <row r="22" spans="1:16" ht="22" customHeight="1" x14ac:dyDescent="0.35">
      <c r="A22" s="14">
        <v>2020</v>
      </c>
      <c r="B22" s="5" t="s">
        <v>84</v>
      </c>
      <c r="C22" s="6" t="s">
        <v>85</v>
      </c>
      <c r="D22" s="8">
        <v>53</v>
      </c>
      <c r="E22" s="8">
        <v>0</v>
      </c>
      <c r="F22" s="8">
        <v>0</v>
      </c>
      <c r="G22" s="8">
        <v>0</v>
      </c>
      <c r="H22" s="8">
        <f t="shared" si="0"/>
        <v>53</v>
      </c>
      <c r="I22" s="8">
        <f t="shared" si="1"/>
        <v>0</v>
      </c>
      <c r="J22" s="10">
        <f>SUMIFS('By structure'!$G$6:$G$701,'By structure'!$A$6:$A$701,A22,'By structure'!$C$6:$C$701,C22)</f>
        <v>17192563</v>
      </c>
      <c r="K22" s="8">
        <f>SUMIFS('By structure'!$H$6:$H$701,'By structure'!$A$6:$A$701,A22,'By structure'!$C$6:$C$701,C22)</f>
        <v>0</v>
      </c>
      <c r="L22" s="12">
        <f t="shared" si="2"/>
        <v>1</v>
      </c>
      <c r="M22" s="5" t="s">
        <v>51</v>
      </c>
      <c r="N22" s="5" t="s">
        <v>52</v>
      </c>
      <c r="O22" s="5" t="s">
        <v>53</v>
      </c>
      <c r="P22" s="14">
        <v>2691</v>
      </c>
    </row>
    <row r="23" spans="1:16" ht="22" customHeight="1" x14ac:dyDescent="0.35">
      <c r="A23" s="15">
        <v>2020</v>
      </c>
      <c r="B23" s="1" t="s">
        <v>86</v>
      </c>
      <c r="C23" s="7" t="s">
        <v>87</v>
      </c>
      <c r="D23" s="9">
        <v>4322</v>
      </c>
      <c r="E23" s="9">
        <v>274</v>
      </c>
      <c r="F23" s="9">
        <v>249</v>
      </c>
      <c r="G23" s="9">
        <v>5256</v>
      </c>
      <c r="H23" s="9">
        <f t="shared" si="0"/>
        <v>10101</v>
      </c>
      <c r="I23" s="9">
        <f t="shared" si="1"/>
        <v>5779</v>
      </c>
      <c r="J23" s="11">
        <f>SUMIFS('By structure'!$G$6:$G$701,'By structure'!$A$6:$A$701,A23,'By structure'!$C$6:$C$701,C23)</f>
        <v>2014033380</v>
      </c>
      <c r="K23" s="9">
        <f>SUMIFS('By structure'!$H$6:$H$701,'By structure'!$A$6:$A$701,A23,'By structure'!$C$6:$C$701,C23)</f>
        <v>8892</v>
      </c>
      <c r="L23" s="13">
        <f t="shared" si="2"/>
        <v>0.11969111969111969</v>
      </c>
      <c r="M23" s="1" t="s">
        <v>51</v>
      </c>
      <c r="N23" s="1" t="s">
        <v>52</v>
      </c>
      <c r="O23" s="1" t="s">
        <v>53</v>
      </c>
      <c r="P23" s="15">
        <v>2692</v>
      </c>
    </row>
    <row r="24" spans="1:16" ht="22" customHeight="1" x14ac:dyDescent="0.35">
      <c r="A24" s="14">
        <v>2020</v>
      </c>
      <c r="B24" s="5" t="s">
        <v>88</v>
      </c>
      <c r="C24" s="6" t="s">
        <v>89</v>
      </c>
      <c r="D24" s="8">
        <v>46</v>
      </c>
      <c r="E24" s="8">
        <v>0</v>
      </c>
      <c r="F24" s="8">
        <v>0</v>
      </c>
      <c r="G24" s="8">
        <v>0</v>
      </c>
      <c r="H24" s="8">
        <f t="shared" si="0"/>
        <v>46</v>
      </c>
      <c r="I24" s="8">
        <f t="shared" si="1"/>
        <v>0</v>
      </c>
      <c r="J24" s="10">
        <f>SUMIFS('By structure'!$G$6:$G$701,'By structure'!$A$6:$A$701,A24,'By structure'!$C$6:$C$701,C24)</f>
        <v>7171344</v>
      </c>
      <c r="K24" s="8">
        <f>SUMIFS('By structure'!$H$6:$H$701,'By structure'!$A$6:$A$701,A24,'By structure'!$C$6:$C$701,C24)</f>
        <v>8</v>
      </c>
      <c r="L24" s="12">
        <f t="shared" si="2"/>
        <v>0.82608695652173914</v>
      </c>
      <c r="M24" s="5" t="s">
        <v>51</v>
      </c>
      <c r="N24" s="5" t="s">
        <v>52</v>
      </c>
      <c r="O24" s="5" t="s">
        <v>53</v>
      </c>
      <c r="P24" s="14">
        <v>2693</v>
      </c>
    </row>
    <row r="25" spans="1:16" ht="22" customHeight="1" x14ac:dyDescent="0.35">
      <c r="A25" s="15">
        <v>2020</v>
      </c>
      <c r="B25" s="1" t="s">
        <v>90</v>
      </c>
      <c r="C25" s="7" t="s">
        <v>91</v>
      </c>
      <c r="D25" s="9">
        <v>73</v>
      </c>
      <c r="E25" s="9">
        <v>0</v>
      </c>
      <c r="F25" s="9">
        <v>0</v>
      </c>
      <c r="G25" s="9">
        <v>0</v>
      </c>
      <c r="H25" s="9">
        <f t="shared" si="0"/>
        <v>73</v>
      </c>
      <c r="I25" s="9">
        <f t="shared" si="1"/>
        <v>0</v>
      </c>
      <c r="J25" s="11">
        <f>SUMIFS('By structure'!$G$6:$G$701,'By structure'!$A$6:$A$701,A25,'By structure'!$C$6:$C$701,C25)</f>
        <v>14797439</v>
      </c>
      <c r="K25" s="9">
        <f>SUMIFS('By structure'!$H$6:$H$701,'By structure'!$A$6:$A$701,A25,'By structure'!$C$6:$C$701,C25)</f>
        <v>73</v>
      </c>
      <c r="L25" s="13">
        <f t="shared" si="2"/>
        <v>0</v>
      </c>
      <c r="M25" s="1" t="s">
        <v>51</v>
      </c>
      <c r="N25" s="1" t="s">
        <v>52</v>
      </c>
      <c r="O25" s="1" t="s">
        <v>53</v>
      </c>
      <c r="P25" s="15">
        <v>2694</v>
      </c>
    </row>
    <row r="26" spans="1:16" ht="22" customHeight="1" x14ac:dyDescent="0.35">
      <c r="A26" s="14">
        <v>2020</v>
      </c>
      <c r="B26" s="5" t="s">
        <v>92</v>
      </c>
      <c r="C26" s="6" t="s">
        <v>93</v>
      </c>
      <c r="D26" s="8">
        <v>101</v>
      </c>
      <c r="E26" s="8">
        <v>4</v>
      </c>
      <c r="F26" s="8">
        <v>0</v>
      </c>
      <c r="G26" s="8">
        <v>0</v>
      </c>
      <c r="H26" s="8">
        <f t="shared" si="0"/>
        <v>105</v>
      </c>
      <c r="I26" s="8">
        <f t="shared" si="1"/>
        <v>4</v>
      </c>
      <c r="J26" s="10">
        <f>SUMIFS('By structure'!$G$6:$G$701,'By structure'!$A$6:$A$701,A26,'By structure'!$C$6:$C$701,C26)</f>
        <v>25115061</v>
      </c>
      <c r="K26" s="8">
        <f>SUMIFS('By structure'!$H$6:$H$701,'By structure'!$A$6:$A$701,A26,'By structure'!$C$6:$C$701,C26)</f>
        <v>105</v>
      </c>
      <c r="L26" s="12">
        <f t="shared" si="2"/>
        <v>0</v>
      </c>
      <c r="M26" s="5" t="s">
        <v>51</v>
      </c>
      <c r="N26" s="5" t="s">
        <v>52</v>
      </c>
      <c r="O26" s="5" t="s">
        <v>53</v>
      </c>
      <c r="P26" s="14">
        <v>2695</v>
      </c>
    </row>
    <row r="27" spans="1:16" ht="22" customHeight="1" x14ac:dyDescent="0.35">
      <c r="A27" s="15">
        <v>2020</v>
      </c>
      <c r="B27" s="1" t="s">
        <v>94</v>
      </c>
      <c r="C27" s="7" t="s">
        <v>95</v>
      </c>
      <c r="D27" s="9">
        <v>199</v>
      </c>
      <c r="E27" s="9">
        <v>4</v>
      </c>
      <c r="F27" s="9">
        <v>40</v>
      </c>
      <c r="G27" s="9">
        <v>72</v>
      </c>
      <c r="H27" s="9">
        <f t="shared" si="0"/>
        <v>315</v>
      </c>
      <c r="I27" s="9">
        <f t="shared" si="1"/>
        <v>116</v>
      </c>
      <c r="J27" s="11">
        <f>SUMIFS('By structure'!$G$6:$G$701,'By structure'!$A$6:$A$701,A27,'By structure'!$C$6:$C$701,C27)</f>
        <v>161870436</v>
      </c>
      <c r="K27" s="9">
        <f>SUMIFS('By structure'!$H$6:$H$701,'By structure'!$A$6:$A$701,A27,'By structure'!$C$6:$C$701,C27)</f>
        <v>116</v>
      </c>
      <c r="L27" s="13">
        <f t="shared" si="2"/>
        <v>0.63174603174603172</v>
      </c>
      <c r="M27" s="1" t="s">
        <v>51</v>
      </c>
      <c r="N27" s="1" t="s">
        <v>52</v>
      </c>
      <c r="O27" s="1" t="s">
        <v>53</v>
      </c>
      <c r="P27" s="15">
        <v>2696</v>
      </c>
    </row>
    <row r="28" spans="1:16" ht="22" customHeight="1" x14ac:dyDescent="0.35">
      <c r="A28" s="14">
        <v>2020</v>
      </c>
      <c r="B28" s="5" t="s">
        <v>96</v>
      </c>
      <c r="C28" s="6" t="s">
        <v>97</v>
      </c>
      <c r="D28" s="8">
        <v>881</v>
      </c>
      <c r="E28" s="8">
        <v>6</v>
      </c>
      <c r="F28" s="8">
        <v>11</v>
      </c>
      <c r="G28" s="8">
        <v>34</v>
      </c>
      <c r="H28" s="8">
        <f t="shared" si="0"/>
        <v>932</v>
      </c>
      <c r="I28" s="8">
        <f t="shared" si="1"/>
        <v>51</v>
      </c>
      <c r="J28" s="10">
        <f>SUMIFS('By structure'!$G$6:$G$701,'By structure'!$A$6:$A$701,A28,'By structure'!$C$6:$C$701,C28)</f>
        <v>213859857</v>
      </c>
      <c r="K28" s="8">
        <f>SUMIFS('By structure'!$H$6:$H$701,'By structure'!$A$6:$A$701,A28,'By structure'!$C$6:$C$701,C28)</f>
        <v>932</v>
      </c>
      <c r="L28" s="12">
        <f t="shared" si="2"/>
        <v>0</v>
      </c>
      <c r="M28" s="5" t="s">
        <v>51</v>
      </c>
      <c r="N28" s="5" t="s">
        <v>52</v>
      </c>
      <c r="O28" s="5" t="s">
        <v>53</v>
      </c>
      <c r="P28" s="14">
        <v>2697</v>
      </c>
    </row>
    <row r="29" spans="1:16" ht="22" customHeight="1" x14ac:dyDescent="0.35">
      <c r="A29" s="15">
        <v>2020</v>
      </c>
      <c r="B29" s="1" t="s">
        <v>98</v>
      </c>
      <c r="C29" s="7" t="s">
        <v>99</v>
      </c>
      <c r="D29" s="9">
        <v>59</v>
      </c>
      <c r="E29" s="9">
        <v>0</v>
      </c>
      <c r="F29" s="9">
        <v>0</v>
      </c>
      <c r="G29" s="9">
        <v>0</v>
      </c>
      <c r="H29" s="9">
        <f t="shared" si="0"/>
        <v>59</v>
      </c>
      <c r="I29" s="9">
        <f t="shared" si="1"/>
        <v>0</v>
      </c>
      <c r="J29" s="11">
        <f>SUMIFS('By structure'!$G$6:$G$701,'By structure'!$A$6:$A$701,A29,'By structure'!$C$6:$C$701,C29)</f>
        <v>16891102</v>
      </c>
      <c r="K29" s="9">
        <f>SUMIFS('By structure'!$H$6:$H$701,'By structure'!$A$6:$A$701,A29,'By structure'!$C$6:$C$701,C29)</f>
        <v>59</v>
      </c>
      <c r="L29" s="13">
        <f t="shared" si="2"/>
        <v>0</v>
      </c>
      <c r="M29" s="1" t="s">
        <v>51</v>
      </c>
      <c r="N29" s="1" t="s">
        <v>52</v>
      </c>
      <c r="O29" s="1" t="s">
        <v>53</v>
      </c>
      <c r="P29" s="15">
        <v>2698</v>
      </c>
    </row>
    <row r="30" spans="1:16" ht="22" customHeight="1" x14ac:dyDescent="0.35">
      <c r="A30" s="14">
        <v>2020</v>
      </c>
      <c r="B30" s="5" t="s">
        <v>100</v>
      </c>
      <c r="C30" s="6" t="s">
        <v>101</v>
      </c>
      <c r="D30" s="8">
        <v>6731</v>
      </c>
      <c r="E30" s="8">
        <v>38</v>
      </c>
      <c r="F30" s="8">
        <v>391</v>
      </c>
      <c r="G30" s="8">
        <v>699</v>
      </c>
      <c r="H30" s="8">
        <f t="shared" si="0"/>
        <v>7859</v>
      </c>
      <c r="I30" s="8">
        <f t="shared" si="1"/>
        <v>1128</v>
      </c>
      <c r="J30" s="10">
        <f>SUMIFS('By structure'!$G$6:$G$701,'By structure'!$A$6:$A$701,A30,'By structure'!$C$6:$C$701,C30)</f>
        <v>2068190516</v>
      </c>
      <c r="K30" s="8">
        <f>SUMIFS('By structure'!$H$6:$H$701,'By structure'!$A$6:$A$701,A30,'By structure'!$C$6:$C$701,C30)</f>
        <v>7740</v>
      </c>
      <c r="L30" s="12">
        <f t="shared" si="2"/>
        <v>1.5141875556686602E-2</v>
      </c>
      <c r="M30" s="5" t="s">
        <v>51</v>
      </c>
      <c r="N30" s="5" t="s">
        <v>52</v>
      </c>
      <c r="O30" s="5" t="s">
        <v>53</v>
      </c>
      <c r="P30" s="14">
        <v>2699</v>
      </c>
    </row>
    <row r="31" spans="1:16" ht="22" customHeight="1" x14ac:dyDescent="0.35">
      <c r="A31" s="15">
        <v>2020</v>
      </c>
      <c r="B31" s="1" t="s">
        <v>102</v>
      </c>
      <c r="C31" s="7" t="s">
        <v>103</v>
      </c>
      <c r="D31" s="9">
        <v>496</v>
      </c>
      <c r="E31" s="9">
        <v>0</v>
      </c>
      <c r="F31" s="9">
        <v>0</v>
      </c>
      <c r="G31" s="9">
        <v>21</v>
      </c>
      <c r="H31" s="9">
        <f t="shared" si="0"/>
        <v>517</v>
      </c>
      <c r="I31" s="9">
        <f t="shared" si="1"/>
        <v>21</v>
      </c>
      <c r="J31" s="11">
        <f>SUMIFS('By structure'!$G$6:$G$701,'By structure'!$A$6:$A$701,A31,'By structure'!$C$6:$C$701,C31)</f>
        <v>270565166</v>
      </c>
      <c r="K31" s="9">
        <f>SUMIFS('By structure'!$H$6:$H$701,'By structure'!$A$6:$A$701,A31,'By structure'!$C$6:$C$701,C31)</f>
        <v>512</v>
      </c>
      <c r="L31" s="13">
        <f t="shared" si="2"/>
        <v>9.6711798839458421E-3</v>
      </c>
      <c r="M31" s="1" t="s">
        <v>51</v>
      </c>
      <c r="N31" s="1" t="s">
        <v>52</v>
      </c>
      <c r="O31" s="1" t="s">
        <v>53</v>
      </c>
      <c r="P31" s="15">
        <v>2700</v>
      </c>
    </row>
    <row r="32" spans="1:16" ht="22" customHeight="1" x14ac:dyDescent="0.35">
      <c r="A32" s="14">
        <v>2020</v>
      </c>
      <c r="B32" s="5" t="s">
        <v>104</v>
      </c>
      <c r="C32" s="6" t="s">
        <v>105</v>
      </c>
      <c r="D32" s="8">
        <v>2939</v>
      </c>
      <c r="E32" s="8">
        <v>14</v>
      </c>
      <c r="F32" s="8">
        <v>51</v>
      </c>
      <c r="G32" s="8">
        <v>310</v>
      </c>
      <c r="H32" s="8">
        <f t="shared" si="0"/>
        <v>3314</v>
      </c>
      <c r="I32" s="8">
        <f t="shared" si="1"/>
        <v>375</v>
      </c>
      <c r="J32" s="10">
        <f>SUMIFS('By structure'!$G$6:$G$701,'By structure'!$A$6:$A$701,A32,'By structure'!$C$6:$C$701,C32)</f>
        <v>641709080</v>
      </c>
      <c r="K32" s="8">
        <f>SUMIFS('By structure'!$H$6:$H$701,'By structure'!$A$6:$A$701,A32,'By structure'!$C$6:$C$701,C32)</f>
        <v>2834</v>
      </c>
      <c r="L32" s="12">
        <f t="shared" si="2"/>
        <v>0.14484007242003621</v>
      </c>
      <c r="M32" s="5" t="s">
        <v>51</v>
      </c>
      <c r="N32" s="5" t="s">
        <v>52</v>
      </c>
      <c r="O32" s="5" t="s">
        <v>53</v>
      </c>
      <c r="P32" s="14">
        <v>2701</v>
      </c>
    </row>
    <row r="33" spans="1:16" ht="22" customHeight="1" x14ac:dyDescent="0.35">
      <c r="A33" s="15">
        <v>2020</v>
      </c>
      <c r="B33" s="1" t="s">
        <v>106</v>
      </c>
      <c r="C33" s="7" t="s">
        <v>107</v>
      </c>
      <c r="D33" s="9">
        <v>31</v>
      </c>
      <c r="E33" s="9">
        <v>0</v>
      </c>
      <c r="F33" s="9">
        <v>0</v>
      </c>
      <c r="G33" s="9">
        <v>0</v>
      </c>
      <c r="H33" s="9">
        <f t="shared" si="0"/>
        <v>31</v>
      </c>
      <c r="I33" s="9">
        <f t="shared" si="1"/>
        <v>0</v>
      </c>
      <c r="J33" s="11">
        <f>SUMIFS('By structure'!$G$6:$G$701,'By structure'!$A$6:$A$701,A33,'By structure'!$C$6:$C$701,C33)</f>
        <v>7760000</v>
      </c>
      <c r="K33" s="9">
        <f>SUMIFS('By structure'!$H$6:$H$701,'By structure'!$A$6:$A$701,A33,'By structure'!$C$6:$C$701,C33)</f>
        <v>31</v>
      </c>
      <c r="L33" s="13">
        <f t="shared" si="2"/>
        <v>0</v>
      </c>
      <c r="M33" s="1" t="s">
        <v>51</v>
      </c>
      <c r="N33" s="1" t="s">
        <v>52</v>
      </c>
      <c r="O33" s="1" t="s">
        <v>53</v>
      </c>
      <c r="P33" s="15">
        <v>2702</v>
      </c>
    </row>
    <row r="34" spans="1:16" ht="22" customHeight="1" x14ac:dyDescent="0.35">
      <c r="A34" s="14">
        <v>2020</v>
      </c>
      <c r="B34" s="5" t="s">
        <v>108</v>
      </c>
      <c r="C34" s="6" t="s">
        <v>109</v>
      </c>
      <c r="D34" s="8">
        <v>1817</v>
      </c>
      <c r="E34" s="8">
        <v>10</v>
      </c>
      <c r="F34" s="8">
        <v>122</v>
      </c>
      <c r="G34" s="8">
        <v>458</v>
      </c>
      <c r="H34" s="8">
        <f t="shared" si="0"/>
        <v>2407</v>
      </c>
      <c r="I34" s="8">
        <f t="shared" si="1"/>
        <v>590</v>
      </c>
      <c r="J34" s="10">
        <f>SUMIFS('By structure'!$G$6:$G$701,'By structure'!$A$6:$A$701,A34,'By structure'!$C$6:$C$701,C34)</f>
        <v>471047819</v>
      </c>
      <c r="K34" s="8">
        <f>SUMIFS('By structure'!$H$6:$H$701,'By structure'!$A$6:$A$701,A34,'By structure'!$C$6:$C$701,C34)</f>
        <v>2337</v>
      </c>
      <c r="L34" s="12">
        <f t="shared" si="2"/>
        <v>2.9081844619858747E-2</v>
      </c>
      <c r="M34" s="5" t="s">
        <v>51</v>
      </c>
      <c r="N34" s="5" t="s">
        <v>52</v>
      </c>
      <c r="O34" s="5" t="s">
        <v>53</v>
      </c>
      <c r="P34" s="14">
        <v>2703</v>
      </c>
    </row>
    <row r="35" spans="1:16" ht="22" customHeight="1" x14ac:dyDescent="0.35">
      <c r="A35" s="15">
        <v>2021</v>
      </c>
      <c r="B35" s="1" t="s">
        <v>49</v>
      </c>
      <c r="C35" s="7" t="s">
        <v>50</v>
      </c>
      <c r="D35" s="9">
        <v>56</v>
      </c>
      <c r="E35" s="9">
        <v>2</v>
      </c>
      <c r="F35" s="9">
        <v>4</v>
      </c>
      <c r="G35" s="9">
        <v>0</v>
      </c>
      <c r="H35" s="9">
        <f t="shared" si="0"/>
        <v>62</v>
      </c>
      <c r="I35" s="9">
        <f t="shared" si="1"/>
        <v>6</v>
      </c>
      <c r="J35" s="11">
        <f>SUMIFS('By structure'!$G$6:$G$701,'By structure'!$A$6:$A$701,A35,'By structure'!$C$6:$C$701,C35)</f>
        <v>18901796</v>
      </c>
      <c r="K35" s="9">
        <f>SUMIFS('By structure'!$H$6:$H$701,'By structure'!$A$6:$A$701,A35,'By structure'!$C$6:$C$701,C35)</f>
        <v>62</v>
      </c>
      <c r="L35" s="13">
        <f t="shared" si="2"/>
        <v>0</v>
      </c>
      <c r="M35" s="1" t="s">
        <v>110</v>
      </c>
      <c r="N35" s="1" t="s">
        <v>52</v>
      </c>
      <c r="O35" s="1" t="s">
        <v>111</v>
      </c>
      <c r="P35" s="15">
        <v>2675</v>
      </c>
    </row>
    <row r="36" spans="1:16" ht="22" customHeight="1" x14ac:dyDescent="0.35">
      <c r="A36" s="14">
        <v>2021</v>
      </c>
      <c r="B36" s="5" t="s">
        <v>54</v>
      </c>
      <c r="C36" s="6" t="s">
        <v>55</v>
      </c>
      <c r="D36" s="8">
        <v>468</v>
      </c>
      <c r="E36" s="8">
        <v>2</v>
      </c>
      <c r="F36" s="8">
        <v>43</v>
      </c>
      <c r="G36" s="8">
        <v>368</v>
      </c>
      <c r="H36" s="8">
        <f t="shared" si="0"/>
        <v>881</v>
      </c>
      <c r="I36" s="8">
        <f t="shared" si="1"/>
        <v>413</v>
      </c>
      <c r="J36" s="10">
        <f>SUMIFS('By structure'!$G$6:$G$701,'By structure'!$A$6:$A$701,A36,'By structure'!$C$6:$C$701,C36)</f>
        <v>150910126</v>
      </c>
      <c r="K36" s="8">
        <f>SUMIFS('By structure'!$H$6:$H$701,'By structure'!$A$6:$A$701,A36,'By structure'!$C$6:$C$701,C36)</f>
        <v>783</v>
      </c>
      <c r="L36" s="12">
        <f t="shared" si="2"/>
        <v>0.1112372304199773</v>
      </c>
      <c r="M36" s="5" t="s">
        <v>110</v>
      </c>
      <c r="N36" s="5" t="s">
        <v>52</v>
      </c>
      <c r="O36" s="5" t="s">
        <v>111</v>
      </c>
      <c r="P36" s="14">
        <v>2676</v>
      </c>
    </row>
    <row r="37" spans="1:16" ht="22" customHeight="1" x14ac:dyDescent="0.35">
      <c r="A37" s="15">
        <v>2021</v>
      </c>
      <c r="B37" s="1" t="s">
        <v>56</v>
      </c>
      <c r="C37" s="7" t="s">
        <v>57</v>
      </c>
      <c r="D37" s="9">
        <v>902</v>
      </c>
      <c r="E37" s="9">
        <v>0</v>
      </c>
      <c r="F37" s="9">
        <v>35</v>
      </c>
      <c r="G37" s="9">
        <v>200</v>
      </c>
      <c r="H37" s="9">
        <f t="shared" si="0"/>
        <v>1137</v>
      </c>
      <c r="I37" s="9">
        <f t="shared" si="1"/>
        <v>235</v>
      </c>
      <c r="J37" s="11">
        <f>SUMIFS('By structure'!$G$6:$G$701,'By structure'!$A$6:$A$701,A37,'By structure'!$C$6:$C$701,C37)</f>
        <v>322560467</v>
      </c>
      <c r="K37" s="9">
        <f>SUMIFS('By structure'!$H$6:$H$701,'By structure'!$A$6:$A$701,A37,'By structure'!$C$6:$C$701,C37)</f>
        <v>1137</v>
      </c>
      <c r="L37" s="13">
        <f t="shared" si="2"/>
        <v>0</v>
      </c>
      <c r="M37" s="1" t="s">
        <v>110</v>
      </c>
      <c r="N37" s="1" t="s">
        <v>52</v>
      </c>
      <c r="O37" s="1" t="s">
        <v>111</v>
      </c>
      <c r="P37" s="15">
        <v>2677</v>
      </c>
    </row>
    <row r="38" spans="1:16" ht="22" customHeight="1" x14ac:dyDescent="0.35">
      <c r="A38" s="14">
        <v>2021</v>
      </c>
      <c r="B38" s="5" t="s">
        <v>58</v>
      </c>
      <c r="C38" s="6" t="s">
        <v>59</v>
      </c>
      <c r="D38" s="8">
        <v>42</v>
      </c>
      <c r="E38" s="8">
        <v>0</v>
      </c>
      <c r="F38" s="8">
        <v>0</v>
      </c>
      <c r="G38" s="8">
        <v>0</v>
      </c>
      <c r="H38" s="8">
        <f t="shared" ref="H38:H69" si="3">SUM(D38:G38)</f>
        <v>42</v>
      </c>
      <c r="I38" s="8">
        <f t="shared" ref="I38:I69" si="4">SUM(E38:G38)</f>
        <v>0</v>
      </c>
      <c r="J38" s="10">
        <f>SUMIFS('By structure'!$G$6:$G$701,'By structure'!$A$6:$A$701,A38,'By structure'!$C$6:$C$701,C38)</f>
        <v>12847746</v>
      </c>
      <c r="K38" s="8">
        <f>SUMIFS('By structure'!$H$6:$H$701,'By structure'!$A$6:$A$701,A38,'By structure'!$C$6:$C$701,C38)</f>
        <v>42</v>
      </c>
      <c r="L38" s="12">
        <f t="shared" ref="L38:L69" si="5">IF(H38=0,"",(H38-K38)/H38)</f>
        <v>0</v>
      </c>
      <c r="M38" s="5" t="s">
        <v>110</v>
      </c>
      <c r="N38" s="5" t="s">
        <v>52</v>
      </c>
      <c r="O38" s="5" t="s">
        <v>111</v>
      </c>
      <c r="P38" s="14">
        <v>2678</v>
      </c>
    </row>
    <row r="39" spans="1:16" ht="22" customHeight="1" x14ac:dyDescent="0.35">
      <c r="A39" s="15">
        <v>2021</v>
      </c>
      <c r="B39" s="1" t="s">
        <v>60</v>
      </c>
      <c r="C39" s="7" t="s">
        <v>61</v>
      </c>
      <c r="D39" s="9">
        <v>17</v>
      </c>
      <c r="E39" s="9">
        <v>0</v>
      </c>
      <c r="F39" s="9">
        <v>0</v>
      </c>
      <c r="G39" s="9">
        <v>0</v>
      </c>
      <c r="H39" s="9">
        <f t="shared" si="3"/>
        <v>17</v>
      </c>
      <c r="I39" s="9">
        <f t="shared" si="4"/>
        <v>0</v>
      </c>
      <c r="J39" s="11">
        <f>SUMIFS('By structure'!$G$6:$G$701,'By structure'!$A$6:$A$701,A39,'By structure'!$C$6:$C$701,C39)</f>
        <v>5072265</v>
      </c>
      <c r="K39" s="9">
        <f>SUMIFS('By structure'!$H$6:$H$701,'By structure'!$A$6:$A$701,A39,'By structure'!$C$6:$C$701,C39)</f>
        <v>11</v>
      </c>
      <c r="L39" s="13">
        <f t="shared" si="5"/>
        <v>0.35294117647058826</v>
      </c>
      <c r="M39" s="1" t="s">
        <v>110</v>
      </c>
      <c r="N39" s="1" t="s">
        <v>52</v>
      </c>
      <c r="O39" s="1" t="s">
        <v>111</v>
      </c>
      <c r="P39" s="15">
        <v>2679</v>
      </c>
    </row>
    <row r="40" spans="1:16" ht="22" customHeight="1" x14ac:dyDescent="0.35">
      <c r="A40" s="14">
        <v>2021</v>
      </c>
      <c r="B40" s="5" t="s">
        <v>62</v>
      </c>
      <c r="C40" s="6" t="s">
        <v>63</v>
      </c>
      <c r="D40" s="8">
        <v>2004</v>
      </c>
      <c r="E40" s="8">
        <v>2</v>
      </c>
      <c r="F40" s="8">
        <v>4</v>
      </c>
      <c r="G40" s="8">
        <v>1802</v>
      </c>
      <c r="H40" s="8">
        <f t="shared" si="3"/>
        <v>3812</v>
      </c>
      <c r="I40" s="8">
        <f t="shared" si="4"/>
        <v>1808</v>
      </c>
      <c r="J40" s="10">
        <f>SUMIFS('By structure'!$G$6:$G$701,'By structure'!$A$6:$A$701,A40,'By structure'!$C$6:$C$701,C40)</f>
        <v>818499697</v>
      </c>
      <c r="K40" s="8">
        <f>SUMIFS('By structure'!$H$6:$H$701,'By structure'!$A$6:$A$701,A40,'By structure'!$C$6:$C$701,C40)</f>
        <v>3812</v>
      </c>
      <c r="L40" s="12">
        <f t="shared" si="5"/>
        <v>0</v>
      </c>
      <c r="M40" s="5" t="s">
        <v>110</v>
      </c>
      <c r="N40" s="5" t="s">
        <v>52</v>
      </c>
      <c r="O40" s="5" t="s">
        <v>111</v>
      </c>
      <c r="P40" s="14">
        <v>2680</v>
      </c>
    </row>
    <row r="41" spans="1:16" ht="22" customHeight="1" x14ac:dyDescent="0.35">
      <c r="A41" s="15">
        <v>2021</v>
      </c>
      <c r="B41" s="1" t="s">
        <v>64</v>
      </c>
      <c r="C41" s="7" t="s">
        <v>65</v>
      </c>
      <c r="D41" s="9">
        <v>130</v>
      </c>
      <c r="E41" s="9">
        <v>2</v>
      </c>
      <c r="F41" s="9">
        <v>4</v>
      </c>
      <c r="G41" s="9">
        <v>0</v>
      </c>
      <c r="H41" s="9">
        <f t="shared" si="3"/>
        <v>136</v>
      </c>
      <c r="I41" s="9">
        <f t="shared" si="4"/>
        <v>6</v>
      </c>
      <c r="J41" s="11">
        <f>SUMIFS('By structure'!$G$6:$G$701,'By structure'!$A$6:$A$701,A41,'By structure'!$C$6:$C$701,C41)</f>
        <v>34080122</v>
      </c>
      <c r="K41" s="9">
        <f>SUMIFS('By structure'!$H$6:$H$701,'By structure'!$A$6:$A$701,A41,'By structure'!$C$6:$C$701,C41)</f>
        <v>72</v>
      </c>
      <c r="L41" s="13">
        <f t="shared" si="5"/>
        <v>0.47058823529411764</v>
      </c>
      <c r="M41" s="1" t="s">
        <v>110</v>
      </c>
      <c r="N41" s="1" t="s">
        <v>52</v>
      </c>
      <c r="O41" s="1" t="s">
        <v>111</v>
      </c>
      <c r="P41" s="15">
        <v>2681</v>
      </c>
    </row>
    <row r="42" spans="1:16" ht="22" customHeight="1" x14ac:dyDescent="0.35">
      <c r="A42" s="14">
        <v>2021</v>
      </c>
      <c r="B42" s="5" t="s">
        <v>66</v>
      </c>
      <c r="C42" s="6" t="s">
        <v>67</v>
      </c>
      <c r="D42" s="8">
        <v>14</v>
      </c>
      <c r="E42" s="8">
        <v>0</v>
      </c>
      <c r="F42" s="8">
        <v>0</v>
      </c>
      <c r="G42" s="8">
        <v>0</v>
      </c>
      <c r="H42" s="8">
        <f t="shared" si="3"/>
        <v>14</v>
      </c>
      <c r="I42" s="8">
        <f t="shared" si="4"/>
        <v>0</v>
      </c>
      <c r="J42" s="10">
        <f>SUMIFS('By structure'!$G$6:$G$701,'By structure'!$A$6:$A$701,A42,'By structure'!$C$6:$C$701,C42)</f>
        <v>2746330</v>
      </c>
      <c r="K42" s="8">
        <f>SUMIFS('By structure'!$H$6:$H$701,'By structure'!$A$6:$A$701,A42,'By structure'!$C$6:$C$701,C42)</f>
        <v>14</v>
      </c>
      <c r="L42" s="12">
        <f t="shared" si="5"/>
        <v>0</v>
      </c>
      <c r="M42" s="5" t="s">
        <v>110</v>
      </c>
      <c r="N42" s="5" t="s">
        <v>52</v>
      </c>
      <c r="O42" s="5" t="s">
        <v>111</v>
      </c>
      <c r="P42" s="14">
        <v>2682</v>
      </c>
    </row>
    <row r="43" spans="1:16" ht="22" customHeight="1" x14ac:dyDescent="0.35">
      <c r="A43" s="15">
        <v>2021</v>
      </c>
      <c r="B43" s="1" t="s">
        <v>68</v>
      </c>
      <c r="C43" s="7" t="s">
        <v>69</v>
      </c>
      <c r="D43" s="9">
        <v>76</v>
      </c>
      <c r="E43" s="9">
        <v>0</v>
      </c>
      <c r="F43" s="9">
        <v>0</v>
      </c>
      <c r="G43" s="9">
        <v>0</v>
      </c>
      <c r="H43" s="9">
        <f t="shared" si="3"/>
        <v>76</v>
      </c>
      <c r="I43" s="9">
        <f t="shared" si="4"/>
        <v>0</v>
      </c>
      <c r="J43" s="11">
        <f>SUMIFS('By structure'!$G$6:$G$701,'By structure'!$A$6:$A$701,A43,'By structure'!$C$6:$C$701,C43)</f>
        <v>17370698</v>
      </c>
      <c r="K43" s="9">
        <f>SUMIFS('By structure'!$H$6:$H$701,'By structure'!$A$6:$A$701,A43,'By structure'!$C$6:$C$701,C43)</f>
        <v>76</v>
      </c>
      <c r="L43" s="13">
        <f t="shared" si="5"/>
        <v>0</v>
      </c>
      <c r="M43" s="1" t="s">
        <v>110</v>
      </c>
      <c r="N43" s="1" t="s">
        <v>52</v>
      </c>
      <c r="O43" s="1" t="s">
        <v>111</v>
      </c>
      <c r="P43" s="15">
        <v>2683</v>
      </c>
    </row>
    <row r="44" spans="1:16" ht="22" customHeight="1" x14ac:dyDescent="0.35">
      <c r="A44" s="14">
        <v>2021</v>
      </c>
      <c r="B44" s="5" t="s">
        <v>70</v>
      </c>
      <c r="C44" s="6" t="s">
        <v>71</v>
      </c>
      <c r="D44" s="8">
        <v>81</v>
      </c>
      <c r="E44" s="8">
        <v>6</v>
      </c>
      <c r="F44" s="8">
        <v>0</v>
      </c>
      <c r="G44" s="8">
        <v>6</v>
      </c>
      <c r="H44" s="8">
        <f t="shared" si="3"/>
        <v>93</v>
      </c>
      <c r="I44" s="8">
        <f t="shared" si="4"/>
        <v>12</v>
      </c>
      <c r="J44" s="10">
        <f>SUMIFS('By structure'!$G$6:$G$701,'By structure'!$A$6:$A$701,A44,'By structure'!$C$6:$C$701,C44)</f>
        <v>24764210</v>
      </c>
      <c r="K44" s="8">
        <f>SUMIFS('By structure'!$H$6:$H$701,'By structure'!$A$6:$A$701,A44,'By structure'!$C$6:$C$701,C44)</f>
        <v>93</v>
      </c>
      <c r="L44" s="12">
        <f t="shared" si="5"/>
        <v>0</v>
      </c>
      <c r="M44" s="5" t="s">
        <v>110</v>
      </c>
      <c r="N44" s="5" t="s">
        <v>52</v>
      </c>
      <c r="O44" s="5" t="s">
        <v>111</v>
      </c>
      <c r="P44" s="14">
        <v>2684</v>
      </c>
    </row>
    <row r="45" spans="1:16" ht="22" customHeight="1" x14ac:dyDescent="0.35">
      <c r="A45" s="15">
        <v>2021</v>
      </c>
      <c r="B45" s="1" t="s">
        <v>72</v>
      </c>
      <c r="C45" s="7" t="s">
        <v>73</v>
      </c>
      <c r="D45" s="9">
        <v>552</v>
      </c>
      <c r="E45" s="9">
        <v>110</v>
      </c>
      <c r="F45" s="9">
        <v>114</v>
      </c>
      <c r="G45" s="9">
        <v>115</v>
      </c>
      <c r="H45" s="9">
        <f t="shared" si="3"/>
        <v>891</v>
      </c>
      <c r="I45" s="9">
        <f t="shared" si="4"/>
        <v>339</v>
      </c>
      <c r="J45" s="11">
        <f>SUMIFS('By structure'!$G$6:$G$701,'By structure'!$A$6:$A$701,A45,'By structure'!$C$6:$C$701,C45)</f>
        <v>201753902</v>
      </c>
      <c r="K45" s="9">
        <f>SUMIFS('By structure'!$H$6:$H$701,'By structure'!$A$6:$A$701,A45,'By structure'!$C$6:$C$701,C45)</f>
        <v>891</v>
      </c>
      <c r="L45" s="13">
        <f t="shared" si="5"/>
        <v>0</v>
      </c>
      <c r="M45" s="1" t="s">
        <v>110</v>
      </c>
      <c r="N45" s="1" t="s">
        <v>52</v>
      </c>
      <c r="O45" s="1" t="s">
        <v>111</v>
      </c>
      <c r="P45" s="15">
        <v>2685</v>
      </c>
    </row>
    <row r="46" spans="1:16" ht="22" customHeight="1" x14ac:dyDescent="0.35">
      <c r="A46" s="14">
        <v>2021</v>
      </c>
      <c r="B46" s="5" t="s">
        <v>74</v>
      </c>
      <c r="C46" s="6" t="s">
        <v>75</v>
      </c>
      <c r="D46" s="8">
        <v>112</v>
      </c>
      <c r="E46" s="8">
        <v>4</v>
      </c>
      <c r="F46" s="8">
        <v>14</v>
      </c>
      <c r="G46" s="8">
        <v>5</v>
      </c>
      <c r="H46" s="8">
        <f t="shared" si="3"/>
        <v>135</v>
      </c>
      <c r="I46" s="8">
        <f t="shared" si="4"/>
        <v>23</v>
      </c>
      <c r="J46" s="10">
        <f>SUMIFS('By structure'!$G$6:$G$701,'By structure'!$A$6:$A$701,A46,'By structure'!$C$6:$C$701,C46)</f>
        <v>37855333</v>
      </c>
      <c r="K46" s="8">
        <f>SUMIFS('By structure'!$H$6:$H$701,'By structure'!$A$6:$A$701,A46,'By structure'!$C$6:$C$701,C46)</f>
        <v>118</v>
      </c>
      <c r="L46" s="12">
        <f t="shared" si="5"/>
        <v>0.12592592592592591</v>
      </c>
      <c r="M46" s="5" t="s">
        <v>110</v>
      </c>
      <c r="N46" s="5" t="s">
        <v>52</v>
      </c>
      <c r="O46" s="5" t="s">
        <v>111</v>
      </c>
      <c r="P46" s="14">
        <v>2686</v>
      </c>
    </row>
    <row r="47" spans="1:16" ht="22" customHeight="1" x14ac:dyDescent="0.35">
      <c r="A47" s="15">
        <v>2021</v>
      </c>
      <c r="B47" s="1" t="s">
        <v>76</v>
      </c>
      <c r="C47" s="7" t="s">
        <v>77</v>
      </c>
      <c r="D47" s="9">
        <v>327</v>
      </c>
      <c r="E47" s="9">
        <v>0</v>
      </c>
      <c r="F47" s="9">
        <v>11</v>
      </c>
      <c r="G47" s="9">
        <v>0</v>
      </c>
      <c r="H47" s="9">
        <f t="shared" si="3"/>
        <v>338</v>
      </c>
      <c r="I47" s="9">
        <f t="shared" si="4"/>
        <v>11</v>
      </c>
      <c r="J47" s="11">
        <f>SUMIFS('By structure'!$G$6:$G$701,'By structure'!$A$6:$A$701,A47,'By structure'!$C$6:$C$701,C47)</f>
        <v>65153688</v>
      </c>
      <c r="K47" s="9">
        <f>SUMIFS('By structure'!$H$6:$H$701,'By structure'!$A$6:$A$701,A47,'By structure'!$C$6:$C$701,C47)</f>
        <v>120</v>
      </c>
      <c r="L47" s="13">
        <f t="shared" si="5"/>
        <v>0.6449704142011834</v>
      </c>
      <c r="M47" s="1" t="s">
        <v>110</v>
      </c>
      <c r="N47" s="1" t="s">
        <v>52</v>
      </c>
      <c r="O47" s="1" t="s">
        <v>111</v>
      </c>
      <c r="P47" s="15">
        <v>2687</v>
      </c>
    </row>
    <row r="48" spans="1:16" ht="22" customHeight="1" x14ac:dyDescent="0.35">
      <c r="A48" s="14">
        <v>2021</v>
      </c>
      <c r="B48" s="5" t="s">
        <v>78</v>
      </c>
      <c r="C48" s="6" t="s">
        <v>79</v>
      </c>
      <c r="D48" s="8">
        <v>49</v>
      </c>
      <c r="E48" s="8">
        <v>0</v>
      </c>
      <c r="F48" s="8">
        <v>4</v>
      </c>
      <c r="G48" s="8">
        <v>0</v>
      </c>
      <c r="H48" s="8">
        <f t="shared" si="3"/>
        <v>53</v>
      </c>
      <c r="I48" s="8">
        <f t="shared" si="4"/>
        <v>4</v>
      </c>
      <c r="J48" s="10">
        <f>SUMIFS('By structure'!$G$6:$G$701,'By structure'!$A$6:$A$701,A48,'By structure'!$C$6:$C$701,C48)</f>
        <v>10863845</v>
      </c>
      <c r="K48" s="8">
        <f>SUMIFS('By structure'!$H$6:$H$701,'By structure'!$A$6:$A$701,A48,'By structure'!$C$6:$C$701,C48)</f>
        <v>49</v>
      </c>
      <c r="L48" s="12">
        <f t="shared" si="5"/>
        <v>7.5471698113207544E-2</v>
      </c>
      <c r="M48" s="5" t="s">
        <v>110</v>
      </c>
      <c r="N48" s="5" t="s">
        <v>52</v>
      </c>
      <c r="O48" s="5" t="s">
        <v>111</v>
      </c>
      <c r="P48" s="14">
        <v>2688</v>
      </c>
    </row>
    <row r="49" spans="1:16" ht="22" customHeight="1" x14ac:dyDescent="0.35">
      <c r="A49" s="15">
        <v>2021</v>
      </c>
      <c r="B49" s="1" t="s">
        <v>80</v>
      </c>
      <c r="C49" s="7" t="s">
        <v>81</v>
      </c>
      <c r="D49" s="9">
        <v>98</v>
      </c>
      <c r="E49" s="9">
        <v>4</v>
      </c>
      <c r="F49" s="9">
        <v>36</v>
      </c>
      <c r="G49" s="9">
        <v>15</v>
      </c>
      <c r="H49" s="9">
        <f t="shared" si="3"/>
        <v>153</v>
      </c>
      <c r="I49" s="9">
        <f t="shared" si="4"/>
        <v>55</v>
      </c>
      <c r="J49" s="11">
        <f>SUMIFS('By structure'!$G$6:$G$701,'By structure'!$A$6:$A$701,A49,'By structure'!$C$6:$C$701,C49)</f>
        <v>58118055</v>
      </c>
      <c r="K49" s="9">
        <f>SUMIFS('By structure'!$H$6:$H$701,'By structure'!$A$6:$A$701,A49,'By structure'!$C$6:$C$701,C49)</f>
        <v>153</v>
      </c>
      <c r="L49" s="13">
        <f t="shared" si="5"/>
        <v>0</v>
      </c>
      <c r="M49" s="1" t="s">
        <v>110</v>
      </c>
      <c r="N49" s="1" t="s">
        <v>52</v>
      </c>
      <c r="O49" s="1" t="s">
        <v>111</v>
      </c>
      <c r="P49" s="15">
        <v>2689</v>
      </c>
    </row>
    <row r="50" spans="1:16" ht="22" customHeight="1" x14ac:dyDescent="0.35">
      <c r="A50" s="14">
        <v>2021</v>
      </c>
      <c r="B50" s="5" t="s">
        <v>82</v>
      </c>
      <c r="C50" s="6" t="s">
        <v>83</v>
      </c>
      <c r="D50" s="8">
        <v>33</v>
      </c>
      <c r="E50" s="8">
        <v>0</v>
      </c>
      <c r="F50" s="8">
        <v>0</v>
      </c>
      <c r="G50" s="8">
        <v>0</v>
      </c>
      <c r="H50" s="8">
        <f t="shared" si="3"/>
        <v>33</v>
      </c>
      <c r="I50" s="8">
        <f t="shared" si="4"/>
        <v>0</v>
      </c>
      <c r="J50" s="10">
        <f>SUMIFS('By structure'!$G$6:$G$701,'By structure'!$A$6:$A$701,A50,'By structure'!$C$6:$C$701,C50)</f>
        <v>5258556</v>
      </c>
      <c r="K50" s="8">
        <f>SUMIFS('By structure'!$H$6:$H$701,'By structure'!$A$6:$A$701,A50,'By structure'!$C$6:$C$701,C50)</f>
        <v>0</v>
      </c>
      <c r="L50" s="12">
        <f t="shared" si="5"/>
        <v>1</v>
      </c>
      <c r="M50" s="5" t="s">
        <v>110</v>
      </c>
      <c r="N50" s="5" t="s">
        <v>52</v>
      </c>
      <c r="O50" s="5" t="s">
        <v>111</v>
      </c>
      <c r="P50" s="14">
        <v>2690</v>
      </c>
    </row>
    <row r="51" spans="1:16" ht="22" customHeight="1" x14ac:dyDescent="0.35">
      <c r="A51" s="15">
        <v>2021</v>
      </c>
      <c r="B51" s="1" t="s">
        <v>84</v>
      </c>
      <c r="C51" s="7" t="s">
        <v>85</v>
      </c>
      <c r="D51" s="9">
        <v>68</v>
      </c>
      <c r="E51" s="9">
        <v>0</v>
      </c>
      <c r="F51" s="9">
        <v>0</v>
      </c>
      <c r="G51" s="9">
        <v>0</v>
      </c>
      <c r="H51" s="9">
        <f t="shared" si="3"/>
        <v>68</v>
      </c>
      <c r="I51" s="9">
        <f t="shared" si="4"/>
        <v>0</v>
      </c>
      <c r="J51" s="11">
        <f>SUMIFS('By structure'!$G$6:$G$701,'By structure'!$A$6:$A$701,A51,'By structure'!$C$6:$C$701,C51)</f>
        <v>22067697</v>
      </c>
      <c r="K51" s="9">
        <f>SUMIFS('By structure'!$H$6:$H$701,'By structure'!$A$6:$A$701,A51,'By structure'!$C$6:$C$701,C51)</f>
        <v>0</v>
      </c>
      <c r="L51" s="13">
        <f t="shared" si="5"/>
        <v>1</v>
      </c>
      <c r="M51" s="1" t="s">
        <v>110</v>
      </c>
      <c r="N51" s="1" t="s">
        <v>52</v>
      </c>
      <c r="O51" s="1" t="s">
        <v>111</v>
      </c>
      <c r="P51" s="15">
        <v>2691</v>
      </c>
    </row>
    <row r="52" spans="1:16" ht="22" customHeight="1" x14ac:dyDescent="0.35">
      <c r="A52" s="14">
        <v>2021</v>
      </c>
      <c r="B52" s="5" t="s">
        <v>86</v>
      </c>
      <c r="C52" s="6" t="s">
        <v>87</v>
      </c>
      <c r="D52" s="8">
        <v>4350</v>
      </c>
      <c r="E52" s="8">
        <v>188</v>
      </c>
      <c r="F52" s="8">
        <v>260</v>
      </c>
      <c r="G52" s="8">
        <v>5851</v>
      </c>
      <c r="H52" s="8">
        <f t="shared" si="3"/>
        <v>10649</v>
      </c>
      <c r="I52" s="8">
        <f t="shared" si="4"/>
        <v>6299</v>
      </c>
      <c r="J52" s="10">
        <f>SUMIFS('By structure'!$G$6:$G$701,'By structure'!$A$6:$A$701,A52,'By structure'!$C$6:$C$701,C52)</f>
        <v>2125291285</v>
      </c>
      <c r="K52" s="8">
        <f>SUMIFS('By structure'!$H$6:$H$701,'By structure'!$A$6:$A$701,A52,'By structure'!$C$6:$C$701,C52)</f>
        <v>6675</v>
      </c>
      <c r="L52" s="12">
        <f t="shared" si="5"/>
        <v>0.37318058033618179</v>
      </c>
      <c r="M52" s="5" t="s">
        <v>110</v>
      </c>
      <c r="N52" s="5" t="s">
        <v>52</v>
      </c>
      <c r="O52" s="5" t="s">
        <v>111</v>
      </c>
      <c r="P52" s="14">
        <v>2692</v>
      </c>
    </row>
    <row r="53" spans="1:16" ht="22" customHeight="1" x14ac:dyDescent="0.35">
      <c r="A53" s="15">
        <v>2021</v>
      </c>
      <c r="B53" s="1" t="s">
        <v>88</v>
      </c>
      <c r="C53" s="7" t="s">
        <v>89</v>
      </c>
      <c r="D53" s="9">
        <v>161</v>
      </c>
      <c r="E53" s="9">
        <v>0</v>
      </c>
      <c r="F53" s="9">
        <v>0</v>
      </c>
      <c r="G53" s="9">
        <v>0</v>
      </c>
      <c r="H53" s="9">
        <f t="shared" si="3"/>
        <v>161</v>
      </c>
      <c r="I53" s="9">
        <f t="shared" si="4"/>
        <v>0</v>
      </c>
      <c r="J53" s="11">
        <f>SUMIFS('By structure'!$G$6:$G$701,'By structure'!$A$6:$A$701,A53,'By structure'!$C$6:$C$701,C53)</f>
        <v>48658403</v>
      </c>
      <c r="K53" s="9">
        <f>SUMIFS('By structure'!$H$6:$H$701,'By structure'!$A$6:$A$701,A53,'By structure'!$C$6:$C$701,C53)</f>
        <v>161</v>
      </c>
      <c r="L53" s="13">
        <f t="shared" si="5"/>
        <v>0</v>
      </c>
      <c r="M53" s="1" t="s">
        <v>110</v>
      </c>
      <c r="N53" s="1" t="s">
        <v>52</v>
      </c>
      <c r="O53" s="1" t="s">
        <v>111</v>
      </c>
      <c r="P53" s="15">
        <v>2693</v>
      </c>
    </row>
    <row r="54" spans="1:16" ht="22" customHeight="1" x14ac:dyDescent="0.35">
      <c r="A54" s="14">
        <v>2021</v>
      </c>
      <c r="B54" s="5" t="s">
        <v>90</v>
      </c>
      <c r="C54" s="6" t="s">
        <v>91</v>
      </c>
      <c r="D54" s="8">
        <v>227</v>
      </c>
      <c r="E54" s="8">
        <v>0</v>
      </c>
      <c r="F54" s="8">
        <v>0</v>
      </c>
      <c r="G54" s="8">
        <v>0</v>
      </c>
      <c r="H54" s="8">
        <f t="shared" si="3"/>
        <v>227</v>
      </c>
      <c r="I54" s="8">
        <f t="shared" si="4"/>
        <v>0</v>
      </c>
      <c r="J54" s="10">
        <f>SUMIFS('By structure'!$G$6:$G$701,'By structure'!$A$6:$A$701,A54,'By structure'!$C$6:$C$701,C54)</f>
        <v>40905899</v>
      </c>
      <c r="K54" s="8">
        <f>SUMIFS('By structure'!$H$6:$H$701,'By structure'!$A$6:$A$701,A54,'By structure'!$C$6:$C$701,C54)</f>
        <v>227</v>
      </c>
      <c r="L54" s="12">
        <f t="shared" si="5"/>
        <v>0</v>
      </c>
      <c r="M54" s="5" t="s">
        <v>110</v>
      </c>
      <c r="N54" s="5" t="s">
        <v>52</v>
      </c>
      <c r="O54" s="5" t="s">
        <v>111</v>
      </c>
      <c r="P54" s="14">
        <v>2694</v>
      </c>
    </row>
    <row r="55" spans="1:16" ht="22" customHeight="1" x14ac:dyDescent="0.35">
      <c r="A55" s="15">
        <v>2021</v>
      </c>
      <c r="B55" s="1" t="s">
        <v>92</v>
      </c>
      <c r="C55" s="7" t="s">
        <v>93</v>
      </c>
      <c r="D55" s="9">
        <v>66</v>
      </c>
      <c r="E55" s="9">
        <v>2</v>
      </c>
      <c r="F55" s="9">
        <v>0</v>
      </c>
      <c r="G55" s="9">
        <v>120</v>
      </c>
      <c r="H55" s="9">
        <f t="shared" si="3"/>
        <v>188</v>
      </c>
      <c r="I55" s="9">
        <f t="shared" si="4"/>
        <v>122</v>
      </c>
      <c r="J55" s="11">
        <f>SUMIFS('By structure'!$G$6:$G$701,'By structure'!$A$6:$A$701,A55,'By structure'!$C$6:$C$701,C55)</f>
        <v>40580709</v>
      </c>
      <c r="K55" s="9">
        <f>SUMIFS('By structure'!$H$6:$H$701,'By structure'!$A$6:$A$701,A55,'By structure'!$C$6:$C$701,C55)</f>
        <v>188</v>
      </c>
      <c r="L55" s="13">
        <f t="shared" si="5"/>
        <v>0</v>
      </c>
      <c r="M55" s="1" t="s">
        <v>110</v>
      </c>
      <c r="N55" s="1" t="s">
        <v>52</v>
      </c>
      <c r="O55" s="1" t="s">
        <v>111</v>
      </c>
      <c r="P55" s="15">
        <v>2695</v>
      </c>
    </row>
    <row r="56" spans="1:16" ht="22" customHeight="1" x14ac:dyDescent="0.35">
      <c r="A56" s="14">
        <v>2021</v>
      </c>
      <c r="B56" s="5" t="s">
        <v>94</v>
      </c>
      <c r="C56" s="6" t="s">
        <v>95</v>
      </c>
      <c r="D56" s="8">
        <v>286</v>
      </c>
      <c r="E56" s="8">
        <v>0</v>
      </c>
      <c r="F56" s="8">
        <v>30</v>
      </c>
      <c r="G56" s="8">
        <v>123</v>
      </c>
      <c r="H56" s="8">
        <f t="shared" si="3"/>
        <v>439</v>
      </c>
      <c r="I56" s="8">
        <f t="shared" si="4"/>
        <v>153</v>
      </c>
      <c r="J56" s="10">
        <f>SUMIFS('By structure'!$G$6:$G$701,'By structure'!$A$6:$A$701,A56,'By structure'!$C$6:$C$701,C56)</f>
        <v>222251344</v>
      </c>
      <c r="K56" s="8">
        <f>SUMIFS('By structure'!$H$6:$H$701,'By structure'!$A$6:$A$701,A56,'By structure'!$C$6:$C$701,C56)</f>
        <v>150</v>
      </c>
      <c r="L56" s="12">
        <f t="shared" si="5"/>
        <v>0.65831435079726652</v>
      </c>
      <c r="M56" s="5" t="s">
        <v>110</v>
      </c>
      <c r="N56" s="5" t="s">
        <v>52</v>
      </c>
      <c r="O56" s="5" t="s">
        <v>111</v>
      </c>
      <c r="P56" s="14">
        <v>2696</v>
      </c>
    </row>
    <row r="57" spans="1:16" ht="22" customHeight="1" x14ac:dyDescent="0.35">
      <c r="A57" s="15">
        <v>2021</v>
      </c>
      <c r="B57" s="1" t="s">
        <v>96</v>
      </c>
      <c r="C57" s="7" t="s">
        <v>97</v>
      </c>
      <c r="D57" s="9">
        <v>988</v>
      </c>
      <c r="E57" s="9">
        <v>2</v>
      </c>
      <c r="F57" s="9">
        <v>3</v>
      </c>
      <c r="G57" s="9">
        <v>0</v>
      </c>
      <c r="H57" s="9">
        <f t="shared" si="3"/>
        <v>993</v>
      </c>
      <c r="I57" s="9">
        <f t="shared" si="4"/>
        <v>5</v>
      </c>
      <c r="J57" s="11">
        <f>SUMIFS('By structure'!$G$6:$G$701,'By structure'!$A$6:$A$701,A57,'By structure'!$C$6:$C$701,C57)</f>
        <v>259797635</v>
      </c>
      <c r="K57" s="9">
        <f>SUMIFS('By structure'!$H$6:$H$701,'By structure'!$A$6:$A$701,A57,'By structure'!$C$6:$C$701,C57)</f>
        <v>993</v>
      </c>
      <c r="L57" s="13">
        <f t="shared" si="5"/>
        <v>0</v>
      </c>
      <c r="M57" s="1" t="s">
        <v>110</v>
      </c>
      <c r="N57" s="1" t="s">
        <v>52</v>
      </c>
      <c r="O57" s="1" t="s">
        <v>111</v>
      </c>
      <c r="P57" s="15">
        <v>2697</v>
      </c>
    </row>
    <row r="58" spans="1:16" ht="22" customHeight="1" x14ac:dyDescent="0.35">
      <c r="A58" s="14">
        <v>2021</v>
      </c>
      <c r="B58" s="5" t="s">
        <v>98</v>
      </c>
      <c r="C58" s="6" t="s">
        <v>99</v>
      </c>
      <c r="D58" s="8">
        <v>86</v>
      </c>
      <c r="E58" s="8">
        <v>0</v>
      </c>
      <c r="F58" s="8">
        <v>0</v>
      </c>
      <c r="G58" s="8">
        <v>0</v>
      </c>
      <c r="H58" s="8">
        <f t="shared" si="3"/>
        <v>86</v>
      </c>
      <c r="I58" s="8">
        <f t="shared" si="4"/>
        <v>0</v>
      </c>
      <c r="J58" s="10">
        <f>SUMIFS('By structure'!$G$6:$G$701,'By structure'!$A$6:$A$701,A58,'By structure'!$C$6:$C$701,C58)</f>
        <v>25614985</v>
      </c>
      <c r="K58" s="8">
        <f>SUMIFS('By structure'!$H$6:$H$701,'By structure'!$A$6:$A$701,A58,'By structure'!$C$6:$C$701,C58)</f>
        <v>86</v>
      </c>
      <c r="L58" s="12">
        <f t="shared" si="5"/>
        <v>0</v>
      </c>
      <c r="M58" s="5" t="s">
        <v>110</v>
      </c>
      <c r="N58" s="5" t="s">
        <v>52</v>
      </c>
      <c r="O58" s="5" t="s">
        <v>111</v>
      </c>
      <c r="P58" s="14">
        <v>2698</v>
      </c>
    </row>
    <row r="59" spans="1:16" ht="22" customHeight="1" x14ac:dyDescent="0.35">
      <c r="A59" s="15">
        <v>2021</v>
      </c>
      <c r="B59" s="1" t="s">
        <v>100</v>
      </c>
      <c r="C59" s="7" t="s">
        <v>101</v>
      </c>
      <c r="D59" s="9">
        <v>7450</v>
      </c>
      <c r="E59" s="9">
        <v>98</v>
      </c>
      <c r="F59" s="9">
        <v>232</v>
      </c>
      <c r="G59" s="9">
        <v>3260</v>
      </c>
      <c r="H59" s="9">
        <f t="shared" si="3"/>
        <v>11040</v>
      </c>
      <c r="I59" s="9">
        <f t="shared" si="4"/>
        <v>3590</v>
      </c>
      <c r="J59" s="11">
        <f>SUMIFS('By structure'!$G$6:$G$701,'By structure'!$A$6:$A$701,A59,'By structure'!$C$6:$C$701,C59)</f>
        <v>2733360389</v>
      </c>
      <c r="K59" s="9">
        <f>SUMIFS('By structure'!$H$6:$H$701,'By structure'!$A$6:$A$701,A59,'By structure'!$C$6:$C$701,C59)</f>
        <v>11026</v>
      </c>
      <c r="L59" s="13">
        <f t="shared" si="5"/>
        <v>1.2681159420289854E-3</v>
      </c>
      <c r="M59" s="1" t="s">
        <v>110</v>
      </c>
      <c r="N59" s="1" t="s">
        <v>52</v>
      </c>
      <c r="O59" s="1" t="s">
        <v>111</v>
      </c>
      <c r="P59" s="15">
        <v>2699</v>
      </c>
    </row>
    <row r="60" spans="1:16" ht="22" customHeight="1" x14ac:dyDescent="0.35">
      <c r="A60" s="14">
        <v>2021</v>
      </c>
      <c r="B60" s="5" t="s">
        <v>102</v>
      </c>
      <c r="C60" s="6" t="s">
        <v>103</v>
      </c>
      <c r="D60" s="8">
        <v>894</v>
      </c>
      <c r="E60" s="8">
        <v>8</v>
      </c>
      <c r="F60" s="8">
        <v>0</v>
      </c>
      <c r="G60" s="8">
        <v>277</v>
      </c>
      <c r="H60" s="8">
        <f t="shared" si="3"/>
        <v>1179</v>
      </c>
      <c r="I60" s="8">
        <f t="shared" si="4"/>
        <v>285</v>
      </c>
      <c r="J60" s="10">
        <f>SUMIFS('By structure'!$G$6:$G$701,'By structure'!$A$6:$A$701,A60,'By structure'!$C$6:$C$701,C60)</f>
        <v>625259702</v>
      </c>
      <c r="K60" s="8">
        <f>SUMIFS('By structure'!$H$6:$H$701,'By structure'!$A$6:$A$701,A60,'By structure'!$C$6:$C$701,C60)</f>
        <v>1173</v>
      </c>
      <c r="L60" s="12">
        <f t="shared" si="5"/>
        <v>5.0890585241730284E-3</v>
      </c>
      <c r="M60" s="5" t="s">
        <v>110</v>
      </c>
      <c r="N60" s="5" t="s">
        <v>52</v>
      </c>
      <c r="O60" s="5" t="s">
        <v>111</v>
      </c>
      <c r="P60" s="14">
        <v>2700</v>
      </c>
    </row>
    <row r="61" spans="1:16" ht="22" customHeight="1" x14ac:dyDescent="0.35">
      <c r="A61" s="15">
        <v>2021</v>
      </c>
      <c r="B61" s="1" t="s">
        <v>104</v>
      </c>
      <c r="C61" s="7" t="s">
        <v>105</v>
      </c>
      <c r="D61" s="9">
        <v>3218</v>
      </c>
      <c r="E61" s="9">
        <v>44</v>
      </c>
      <c r="F61" s="9">
        <v>28</v>
      </c>
      <c r="G61" s="9">
        <v>194</v>
      </c>
      <c r="H61" s="9">
        <f t="shared" si="3"/>
        <v>3484</v>
      </c>
      <c r="I61" s="9">
        <f t="shared" si="4"/>
        <v>266</v>
      </c>
      <c r="J61" s="11">
        <f>SUMIFS('By structure'!$G$6:$G$701,'By structure'!$A$6:$A$701,A61,'By structure'!$C$6:$C$701,C61)</f>
        <v>721283247</v>
      </c>
      <c r="K61" s="9">
        <f>SUMIFS('By structure'!$H$6:$H$701,'By structure'!$A$6:$A$701,A61,'By structure'!$C$6:$C$701,C61)</f>
        <v>3030</v>
      </c>
      <c r="L61" s="13">
        <f t="shared" si="5"/>
        <v>0.13030998851894374</v>
      </c>
      <c r="M61" s="1" t="s">
        <v>110</v>
      </c>
      <c r="N61" s="1" t="s">
        <v>52</v>
      </c>
      <c r="O61" s="1" t="s">
        <v>111</v>
      </c>
      <c r="P61" s="15">
        <v>2701</v>
      </c>
    </row>
    <row r="62" spans="1:16" ht="22" customHeight="1" x14ac:dyDescent="0.35">
      <c r="A62" s="14">
        <v>2021</v>
      </c>
      <c r="B62" s="5" t="s">
        <v>106</v>
      </c>
      <c r="C62" s="6" t="s">
        <v>107</v>
      </c>
      <c r="D62" s="8">
        <v>33</v>
      </c>
      <c r="E62" s="8">
        <v>2</v>
      </c>
      <c r="F62" s="8">
        <v>0</v>
      </c>
      <c r="G62" s="8">
        <v>0</v>
      </c>
      <c r="H62" s="8">
        <f t="shared" si="3"/>
        <v>35</v>
      </c>
      <c r="I62" s="8">
        <f t="shared" si="4"/>
        <v>2</v>
      </c>
      <c r="J62" s="10">
        <f>SUMIFS('By structure'!$G$6:$G$701,'By structure'!$A$6:$A$701,A62,'By structure'!$C$6:$C$701,C62)</f>
        <v>7542861</v>
      </c>
      <c r="K62" s="8">
        <f>SUMIFS('By structure'!$H$6:$H$701,'By structure'!$A$6:$A$701,A62,'By structure'!$C$6:$C$701,C62)</f>
        <v>35</v>
      </c>
      <c r="L62" s="12">
        <f t="shared" si="5"/>
        <v>0</v>
      </c>
      <c r="M62" s="5" t="s">
        <v>110</v>
      </c>
      <c r="N62" s="5" t="s">
        <v>52</v>
      </c>
      <c r="O62" s="5" t="s">
        <v>111</v>
      </c>
      <c r="P62" s="14">
        <v>2702</v>
      </c>
    </row>
    <row r="63" spans="1:16" ht="22" customHeight="1" x14ac:dyDescent="0.35">
      <c r="A63" s="15">
        <v>2021</v>
      </c>
      <c r="B63" s="1" t="s">
        <v>108</v>
      </c>
      <c r="C63" s="7" t="s">
        <v>109</v>
      </c>
      <c r="D63" s="9">
        <v>1635</v>
      </c>
      <c r="E63" s="9">
        <v>4</v>
      </c>
      <c r="F63" s="9">
        <v>57</v>
      </c>
      <c r="G63" s="9">
        <v>940</v>
      </c>
      <c r="H63" s="9">
        <f t="shared" si="3"/>
        <v>2636</v>
      </c>
      <c r="I63" s="9">
        <f t="shared" si="4"/>
        <v>1001</v>
      </c>
      <c r="J63" s="11">
        <f>SUMIFS('By structure'!$G$6:$G$701,'By structure'!$A$6:$A$701,A63,'By structure'!$C$6:$C$701,C63)</f>
        <v>528655280</v>
      </c>
      <c r="K63" s="9">
        <f>SUMIFS('By structure'!$H$6:$H$701,'By structure'!$A$6:$A$701,A63,'By structure'!$C$6:$C$701,C63)</f>
        <v>2385</v>
      </c>
      <c r="L63" s="13">
        <f t="shared" si="5"/>
        <v>9.5220030349013662E-2</v>
      </c>
      <c r="M63" s="1" t="s">
        <v>110</v>
      </c>
      <c r="N63" s="1" t="s">
        <v>52</v>
      </c>
      <c r="O63" s="1" t="s">
        <v>111</v>
      </c>
      <c r="P63" s="15">
        <v>2703</v>
      </c>
    </row>
    <row r="64" spans="1:16" ht="22" customHeight="1" x14ac:dyDescent="0.35">
      <c r="A64" s="14">
        <v>2022</v>
      </c>
      <c r="B64" s="5" t="s">
        <v>49</v>
      </c>
      <c r="C64" s="6" t="s">
        <v>50</v>
      </c>
      <c r="D64" s="8">
        <v>63</v>
      </c>
      <c r="E64" s="8">
        <v>0</v>
      </c>
      <c r="F64" s="8">
        <v>0</v>
      </c>
      <c r="G64" s="8">
        <v>0</v>
      </c>
      <c r="H64" s="8">
        <f t="shared" si="3"/>
        <v>63</v>
      </c>
      <c r="I64" s="8">
        <f t="shared" si="4"/>
        <v>0</v>
      </c>
      <c r="J64" s="10">
        <f>SUMIFS('By structure'!$G$6:$G$701,'By structure'!$A$6:$A$701,A64,'By structure'!$C$6:$C$701,C64)</f>
        <v>15183118</v>
      </c>
      <c r="K64" s="8">
        <f>SUMIFS('By structure'!$H$6:$H$701,'By structure'!$A$6:$A$701,A64,'By structure'!$C$6:$C$701,C64)</f>
        <v>63</v>
      </c>
      <c r="L64" s="12">
        <f t="shared" si="5"/>
        <v>0</v>
      </c>
      <c r="M64" s="5" t="s">
        <v>110</v>
      </c>
      <c r="N64" s="5" t="s">
        <v>52</v>
      </c>
      <c r="O64" s="5" t="s">
        <v>112</v>
      </c>
      <c r="P64" s="14">
        <v>2674</v>
      </c>
    </row>
    <row r="65" spans="1:16" ht="22" customHeight="1" x14ac:dyDescent="0.35">
      <c r="A65" s="15">
        <v>2022</v>
      </c>
      <c r="B65" s="1" t="s">
        <v>54</v>
      </c>
      <c r="C65" s="7" t="s">
        <v>55</v>
      </c>
      <c r="D65" s="9">
        <v>327</v>
      </c>
      <c r="E65" s="9">
        <v>2</v>
      </c>
      <c r="F65" s="9">
        <v>24</v>
      </c>
      <c r="G65" s="9">
        <v>125</v>
      </c>
      <c r="H65" s="9">
        <f t="shared" si="3"/>
        <v>478</v>
      </c>
      <c r="I65" s="9">
        <f t="shared" si="4"/>
        <v>151</v>
      </c>
      <c r="J65" s="11">
        <f>SUMIFS('By structure'!$G$6:$G$701,'By structure'!$A$6:$A$701,A65,'By structure'!$C$6:$C$701,C65)</f>
        <v>126091983</v>
      </c>
      <c r="K65" s="9">
        <f>SUMIFS('By structure'!$H$6:$H$701,'By structure'!$A$6:$A$701,A65,'By structure'!$C$6:$C$701,C65)</f>
        <v>411</v>
      </c>
      <c r="L65" s="13">
        <f t="shared" si="5"/>
        <v>0.14016736401673641</v>
      </c>
      <c r="M65" s="1" t="s">
        <v>110</v>
      </c>
      <c r="N65" s="1" t="s">
        <v>52</v>
      </c>
      <c r="O65" s="1" t="s">
        <v>112</v>
      </c>
      <c r="P65" s="15">
        <v>2675</v>
      </c>
    </row>
    <row r="66" spans="1:16" ht="22" customHeight="1" x14ac:dyDescent="0.35">
      <c r="A66" s="14">
        <v>2022</v>
      </c>
      <c r="B66" s="5" t="s">
        <v>56</v>
      </c>
      <c r="C66" s="6" t="s">
        <v>57</v>
      </c>
      <c r="D66" s="8">
        <v>724</v>
      </c>
      <c r="E66" s="8">
        <v>4</v>
      </c>
      <c r="F66" s="8">
        <v>4</v>
      </c>
      <c r="G66" s="8">
        <v>313</v>
      </c>
      <c r="H66" s="8">
        <f t="shared" si="3"/>
        <v>1045</v>
      </c>
      <c r="I66" s="8">
        <f t="shared" si="4"/>
        <v>321</v>
      </c>
      <c r="J66" s="10">
        <f>SUMIFS('By structure'!$G$6:$G$701,'By structure'!$A$6:$A$701,A66,'By structure'!$C$6:$C$701,C66)</f>
        <v>296307926</v>
      </c>
      <c r="K66" s="8">
        <f>SUMIFS('By structure'!$H$6:$H$701,'By structure'!$A$6:$A$701,A66,'By structure'!$C$6:$C$701,C66)</f>
        <v>1037</v>
      </c>
      <c r="L66" s="12">
        <f t="shared" si="5"/>
        <v>7.6555023923444978E-3</v>
      </c>
      <c r="M66" s="5" t="s">
        <v>110</v>
      </c>
      <c r="N66" s="5" t="s">
        <v>52</v>
      </c>
      <c r="O66" s="5" t="s">
        <v>112</v>
      </c>
      <c r="P66" s="14">
        <v>2676</v>
      </c>
    </row>
    <row r="67" spans="1:16" ht="22" customHeight="1" x14ac:dyDescent="0.35">
      <c r="A67" s="15">
        <v>2022</v>
      </c>
      <c r="B67" s="1" t="s">
        <v>58</v>
      </c>
      <c r="C67" s="7" t="s">
        <v>59</v>
      </c>
      <c r="D67" s="9">
        <v>64</v>
      </c>
      <c r="E67" s="9">
        <v>0</v>
      </c>
      <c r="F67" s="9">
        <v>0</v>
      </c>
      <c r="G67" s="9">
        <v>0</v>
      </c>
      <c r="H67" s="9">
        <f t="shared" si="3"/>
        <v>64</v>
      </c>
      <c r="I67" s="9">
        <f t="shared" si="4"/>
        <v>0</v>
      </c>
      <c r="J67" s="11">
        <f>SUMIFS('By structure'!$G$6:$G$701,'By structure'!$A$6:$A$701,A67,'By structure'!$C$6:$C$701,C67)</f>
        <v>21067804</v>
      </c>
      <c r="K67" s="9">
        <f>SUMIFS('By structure'!$H$6:$H$701,'By structure'!$A$6:$A$701,A67,'By structure'!$C$6:$C$701,C67)</f>
        <v>64</v>
      </c>
      <c r="L67" s="13">
        <f t="shared" si="5"/>
        <v>0</v>
      </c>
      <c r="M67" s="1" t="s">
        <v>110</v>
      </c>
      <c r="N67" s="1" t="s">
        <v>52</v>
      </c>
      <c r="O67" s="1" t="s">
        <v>112</v>
      </c>
      <c r="P67" s="15">
        <v>2677</v>
      </c>
    </row>
    <row r="68" spans="1:16" ht="22" customHeight="1" x14ac:dyDescent="0.35">
      <c r="A68" s="14">
        <v>2022</v>
      </c>
      <c r="B68" s="5" t="s">
        <v>60</v>
      </c>
      <c r="C68" s="6" t="s">
        <v>61</v>
      </c>
      <c r="D68" s="8">
        <v>20</v>
      </c>
      <c r="E68" s="8">
        <v>0</v>
      </c>
      <c r="F68" s="8">
        <v>0</v>
      </c>
      <c r="G68" s="8">
        <v>0</v>
      </c>
      <c r="H68" s="8">
        <f t="shared" si="3"/>
        <v>20</v>
      </c>
      <c r="I68" s="8">
        <f t="shared" si="4"/>
        <v>0</v>
      </c>
      <c r="J68" s="10">
        <f>SUMIFS('By structure'!$G$6:$G$701,'By structure'!$A$6:$A$701,A68,'By structure'!$C$6:$C$701,C68)</f>
        <v>5297285</v>
      </c>
      <c r="K68" s="8">
        <f>SUMIFS('By structure'!$H$6:$H$701,'By structure'!$A$6:$A$701,A68,'By structure'!$C$6:$C$701,C68)</f>
        <v>20</v>
      </c>
      <c r="L68" s="12">
        <f t="shared" si="5"/>
        <v>0</v>
      </c>
      <c r="M68" s="5" t="s">
        <v>110</v>
      </c>
      <c r="N68" s="5" t="s">
        <v>52</v>
      </c>
      <c r="O68" s="5" t="s">
        <v>112</v>
      </c>
      <c r="P68" s="14">
        <v>2678</v>
      </c>
    </row>
    <row r="69" spans="1:16" ht="22" customHeight="1" x14ac:dyDescent="0.35">
      <c r="A69" s="15">
        <v>2022</v>
      </c>
      <c r="B69" s="1" t="s">
        <v>62</v>
      </c>
      <c r="C69" s="7" t="s">
        <v>63</v>
      </c>
      <c r="D69" s="9">
        <v>1346</v>
      </c>
      <c r="E69" s="9">
        <v>0</v>
      </c>
      <c r="F69" s="9">
        <v>27</v>
      </c>
      <c r="G69" s="9">
        <v>802</v>
      </c>
      <c r="H69" s="9">
        <f t="shared" si="3"/>
        <v>2175</v>
      </c>
      <c r="I69" s="9">
        <f t="shared" si="4"/>
        <v>829</v>
      </c>
      <c r="J69" s="11">
        <f>SUMIFS('By structure'!$G$6:$G$701,'By structure'!$A$6:$A$701,A69,'By structure'!$C$6:$C$701,C69)</f>
        <v>541166152</v>
      </c>
      <c r="K69" s="9">
        <f>SUMIFS('By structure'!$H$6:$H$701,'By structure'!$A$6:$A$701,A69,'By structure'!$C$6:$C$701,C69)</f>
        <v>2175</v>
      </c>
      <c r="L69" s="13">
        <f t="shared" si="5"/>
        <v>0</v>
      </c>
      <c r="M69" s="1" t="s">
        <v>110</v>
      </c>
      <c r="N69" s="1" t="s">
        <v>52</v>
      </c>
      <c r="O69" s="1" t="s">
        <v>112</v>
      </c>
      <c r="P69" s="15">
        <v>2679</v>
      </c>
    </row>
    <row r="70" spans="1:16" ht="22" customHeight="1" x14ac:dyDescent="0.35">
      <c r="A70" s="14">
        <v>2022</v>
      </c>
      <c r="B70" s="5" t="s">
        <v>64</v>
      </c>
      <c r="C70" s="6" t="s">
        <v>65</v>
      </c>
      <c r="D70" s="8">
        <v>176</v>
      </c>
      <c r="E70" s="8">
        <v>0</v>
      </c>
      <c r="F70" s="8">
        <v>7</v>
      </c>
      <c r="G70" s="8">
        <v>0</v>
      </c>
      <c r="H70" s="8">
        <f t="shared" ref="H70:H101" si="6">SUM(D70:G70)</f>
        <v>183</v>
      </c>
      <c r="I70" s="8">
        <f t="shared" ref="I70:I101" si="7">SUM(E70:G70)</f>
        <v>7</v>
      </c>
      <c r="J70" s="10">
        <f>SUMIFS('By structure'!$G$6:$G$701,'By structure'!$A$6:$A$701,A70,'By structure'!$C$6:$C$701,C70)</f>
        <v>45421723</v>
      </c>
      <c r="K70" s="8">
        <f>SUMIFS('By structure'!$H$6:$H$701,'By structure'!$A$6:$A$701,A70,'By structure'!$C$6:$C$701,C70)</f>
        <v>121</v>
      </c>
      <c r="L70" s="12">
        <f t="shared" ref="L70:L101" si="8">IF(H70=0,"",(H70-K70)/H70)</f>
        <v>0.33879781420765026</v>
      </c>
      <c r="M70" s="5" t="s">
        <v>110</v>
      </c>
      <c r="N70" s="5" t="s">
        <v>52</v>
      </c>
      <c r="O70" s="5" t="s">
        <v>112</v>
      </c>
      <c r="P70" s="14">
        <v>2680</v>
      </c>
    </row>
    <row r="71" spans="1:16" ht="22" customHeight="1" x14ac:dyDescent="0.35">
      <c r="A71" s="15">
        <v>2022</v>
      </c>
      <c r="B71" s="1" t="s">
        <v>66</v>
      </c>
      <c r="C71" s="7" t="s">
        <v>67</v>
      </c>
      <c r="D71" s="9">
        <v>40</v>
      </c>
      <c r="E71" s="9">
        <v>0</v>
      </c>
      <c r="F71" s="9">
        <v>0</v>
      </c>
      <c r="G71" s="9">
        <v>0</v>
      </c>
      <c r="H71" s="9">
        <f t="shared" si="6"/>
        <v>40</v>
      </c>
      <c r="I71" s="9">
        <f t="shared" si="7"/>
        <v>0</v>
      </c>
      <c r="J71" s="11">
        <f>SUMIFS('By structure'!$G$6:$G$701,'By structure'!$A$6:$A$701,A71,'By structure'!$C$6:$C$701,C71)</f>
        <v>4824176</v>
      </c>
      <c r="K71" s="9">
        <f>SUMIFS('By structure'!$H$6:$H$701,'By structure'!$A$6:$A$701,A71,'By structure'!$C$6:$C$701,C71)</f>
        <v>40</v>
      </c>
      <c r="L71" s="13">
        <f t="shared" si="8"/>
        <v>0</v>
      </c>
      <c r="M71" s="1" t="s">
        <v>110</v>
      </c>
      <c r="N71" s="1" t="s">
        <v>52</v>
      </c>
      <c r="O71" s="1" t="s">
        <v>112</v>
      </c>
      <c r="P71" s="15">
        <v>2681</v>
      </c>
    </row>
    <row r="72" spans="1:16" ht="22" customHeight="1" x14ac:dyDescent="0.35">
      <c r="A72" s="14">
        <v>2022</v>
      </c>
      <c r="B72" s="5" t="s">
        <v>68</v>
      </c>
      <c r="C72" s="6" t="s">
        <v>69</v>
      </c>
      <c r="D72" s="8">
        <v>66</v>
      </c>
      <c r="E72" s="8">
        <v>0</v>
      </c>
      <c r="F72" s="8">
        <v>0</v>
      </c>
      <c r="G72" s="8">
        <v>0</v>
      </c>
      <c r="H72" s="8">
        <f t="shared" si="6"/>
        <v>66</v>
      </c>
      <c r="I72" s="8">
        <f t="shared" si="7"/>
        <v>0</v>
      </c>
      <c r="J72" s="10">
        <f>SUMIFS('By structure'!$G$6:$G$701,'By structure'!$A$6:$A$701,A72,'By structure'!$C$6:$C$701,C72)</f>
        <v>14530930</v>
      </c>
      <c r="K72" s="8">
        <f>SUMIFS('By structure'!$H$6:$H$701,'By structure'!$A$6:$A$701,A72,'By structure'!$C$6:$C$701,C72)</f>
        <v>66</v>
      </c>
      <c r="L72" s="12">
        <f t="shared" si="8"/>
        <v>0</v>
      </c>
      <c r="M72" s="5" t="s">
        <v>110</v>
      </c>
      <c r="N72" s="5" t="s">
        <v>52</v>
      </c>
      <c r="O72" s="5" t="s">
        <v>112</v>
      </c>
      <c r="P72" s="14">
        <v>2682</v>
      </c>
    </row>
    <row r="73" spans="1:16" ht="22" customHeight="1" x14ac:dyDescent="0.35">
      <c r="A73" s="15">
        <v>2022</v>
      </c>
      <c r="B73" s="1" t="s">
        <v>70</v>
      </c>
      <c r="C73" s="7" t="s">
        <v>71</v>
      </c>
      <c r="D73" s="9">
        <v>64</v>
      </c>
      <c r="E73" s="9">
        <v>18</v>
      </c>
      <c r="F73" s="9">
        <v>19</v>
      </c>
      <c r="G73" s="9">
        <v>0</v>
      </c>
      <c r="H73" s="9">
        <f t="shared" si="6"/>
        <v>101</v>
      </c>
      <c r="I73" s="9">
        <f t="shared" si="7"/>
        <v>37</v>
      </c>
      <c r="J73" s="11">
        <f>SUMIFS('By structure'!$G$6:$G$701,'By structure'!$A$6:$A$701,A73,'By structure'!$C$6:$C$701,C73)</f>
        <v>22571070</v>
      </c>
      <c r="K73" s="9">
        <f>SUMIFS('By structure'!$H$6:$H$701,'By structure'!$A$6:$A$701,A73,'By structure'!$C$6:$C$701,C73)</f>
        <v>101</v>
      </c>
      <c r="L73" s="13">
        <f t="shared" si="8"/>
        <v>0</v>
      </c>
      <c r="M73" s="1" t="s">
        <v>110</v>
      </c>
      <c r="N73" s="1" t="s">
        <v>52</v>
      </c>
      <c r="O73" s="1" t="s">
        <v>112</v>
      </c>
      <c r="P73" s="15">
        <v>2683</v>
      </c>
    </row>
    <row r="74" spans="1:16" ht="22" customHeight="1" x14ac:dyDescent="0.35">
      <c r="A74" s="14">
        <v>2022</v>
      </c>
      <c r="B74" s="5" t="s">
        <v>72</v>
      </c>
      <c r="C74" s="6" t="s">
        <v>73</v>
      </c>
      <c r="D74" s="8">
        <v>989</v>
      </c>
      <c r="E74" s="8">
        <v>0</v>
      </c>
      <c r="F74" s="8">
        <v>0</v>
      </c>
      <c r="G74" s="8">
        <v>43</v>
      </c>
      <c r="H74" s="8">
        <f t="shared" si="6"/>
        <v>1032</v>
      </c>
      <c r="I74" s="8">
        <f t="shared" si="7"/>
        <v>43</v>
      </c>
      <c r="J74" s="10">
        <f>SUMIFS('By structure'!$G$6:$G$701,'By structure'!$A$6:$A$701,A74,'By structure'!$C$6:$C$701,C74)</f>
        <v>212315653</v>
      </c>
      <c r="K74" s="8">
        <f>SUMIFS('By structure'!$H$6:$H$701,'By structure'!$A$6:$A$701,A74,'By structure'!$C$6:$C$701,C74)</f>
        <v>1032</v>
      </c>
      <c r="L74" s="12">
        <f t="shared" si="8"/>
        <v>0</v>
      </c>
      <c r="M74" s="5" t="s">
        <v>110</v>
      </c>
      <c r="N74" s="5" t="s">
        <v>52</v>
      </c>
      <c r="O74" s="5" t="s">
        <v>112</v>
      </c>
      <c r="P74" s="14">
        <v>2684</v>
      </c>
    </row>
    <row r="75" spans="1:16" ht="22" customHeight="1" x14ac:dyDescent="0.35">
      <c r="A75" s="15">
        <v>2022</v>
      </c>
      <c r="B75" s="1" t="s">
        <v>74</v>
      </c>
      <c r="C75" s="7" t="s">
        <v>75</v>
      </c>
      <c r="D75" s="9">
        <v>73</v>
      </c>
      <c r="E75" s="9">
        <v>14</v>
      </c>
      <c r="F75" s="9">
        <v>18</v>
      </c>
      <c r="G75" s="9">
        <v>17</v>
      </c>
      <c r="H75" s="9">
        <f t="shared" si="6"/>
        <v>122</v>
      </c>
      <c r="I75" s="9">
        <f t="shared" si="7"/>
        <v>49</v>
      </c>
      <c r="J75" s="11">
        <f>SUMIFS('By structure'!$G$6:$G$701,'By structure'!$A$6:$A$701,A75,'By structure'!$C$6:$C$701,C75)</f>
        <v>30743593</v>
      </c>
      <c r="K75" s="9">
        <f>SUMIFS('By structure'!$H$6:$H$701,'By structure'!$A$6:$A$701,A75,'By structure'!$C$6:$C$701,C75)</f>
        <v>122</v>
      </c>
      <c r="L75" s="13">
        <f t="shared" si="8"/>
        <v>0</v>
      </c>
      <c r="M75" s="1" t="s">
        <v>110</v>
      </c>
      <c r="N75" s="1" t="s">
        <v>52</v>
      </c>
      <c r="O75" s="1" t="s">
        <v>112</v>
      </c>
      <c r="P75" s="15">
        <v>2685</v>
      </c>
    </row>
    <row r="76" spans="1:16" ht="22" customHeight="1" x14ac:dyDescent="0.35">
      <c r="A76" s="14">
        <v>2022</v>
      </c>
      <c r="B76" s="5" t="s">
        <v>76</v>
      </c>
      <c r="C76" s="6" t="s">
        <v>77</v>
      </c>
      <c r="D76" s="8">
        <v>203</v>
      </c>
      <c r="E76" s="8">
        <v>0</v>
      </c>
      <c r="F76" s="8">
        <v>4</v>
      </c>
      <c r="G76" s="8">
        <v>0</v>
      </c>
      <c r="H76" s="8">
        <f t="shared" si="6"/>
        <v>207</v>
      </c>
      <c r="I76" s="8">
        <f t="shared" si="7"/>
        <v>4</v>
      </c>
      <c r="J76" s="10">
        <f>SUMIFS('By structure'!$G$6:$G$701,'By structure'!$A$6:$A$701,A76,'By structure'!$C$6:$C$701,C76)</f>
        <v>58524680</v>
      </c>
      <c r="K76" s="8">
        <f>SUMIFS('By structure'!$H$6:$H$701,'By structure'!$A$6:$A$701,A76,'By structure'!$C$6:$C$701,C76)</f>
        <v>184</v>
      </c>
      <c r="L76" s="12">
        <f t="shared" si="8"/>
        <v>0.1111111111111111</v>
      </c>
      <c r="M76" s="5" t="s">
        <v>110</v>
      </c>
      <c r="N76" s="5" t="s">
        <v>52</v>
      </c>
      <c r="O76" s="5" t="s">
        <v>112</v>
      </c>
      <c r="P76" s="14">
        <v>2686</v>
      </c>
    </row>
    <row r="77" spans="1:16" ht="22" customHeight="1" x14ac:dyDescent="0.35">
      <c r="A77" s="15">
        <v>2022</v>
      </c>
      <c r="B77" s="1" t="s">
        <v>78</v>
      </c>
      <c r="C77" s="7" t="s">
        <v>79</v>
      </c>
      <c r="D77" s="9">
        <v>58</v>
      </c>
      <c r="E77" s="9">
        <v>2</v>
      </c>
      <c r="F77" s="9">
        <v>4</v>
      </c>
      <c r="G77" s="9">
        <v>0</v>
      </c>
      <c r="H77" s="9">
        <f t="shared" si="6"/>
        <v>64</v>
      </c>
      <c r="I77" s="9">
        <f t="shared" si="7"/>
        <v>6</v>
      </c>
      <c r="J77" s="11">
        <f>SUMIFS('By structure'!$G$6:$G$701,'By structure'!$A$6:$A$701,A77,'By structure'!$C$6:$C$701,C77)</f>
        <v>12127923</v>
      </c>
      <c r="K77" s="9">
        <f>SUMIFS('By structure'!$H$6:$H$701,'By structure'!$A$6:$A$701,A77,'By structure'!$C$6:$C$701,C77)</f>
        <v>60</v>
      </c>
      <c r="L77" s="13">
        <f t="shared" si="8"/>
        <v>6.25E-2</v>
      </c>
      <c r="M77" s="1" t="s">
        <v>110</v>
      </c>
      <c r="N77" s="1" t="s">
        <v>52</v>
      </c>
      <c r="O77" s="1" t="s">
        <v>112</v>
      </c>
      <c r="P77" s="15">
        <v>2687</v>
      </c>
    </row>
    <row r="78" spans="1:16" ht="22" customHeight="1" x14ac:dyDescent="0.35">
      <c r="A78" s="14">
        <v>2022</v>
      </c>
      <c r="B78" s="5" t="s">
        <v>80</v>
      </c>
      <c r="C78" s="6" t="s">
        <v>81</v>
      </c>
      <c r="D78" s="8">
        <v>47</v>
      </c>
      <c r="E78" s="8">
        <v>0</v>
      </c>
      <c r="F78" s="8">
        <v>16</v>
      </c>
      <c r="G78" s="8">
        <v>0</v>
      </c>
      <c r="H78" s="8">
        <f t="shared" si="6"/>
        <v>63</v>
      </c>
      <c r="I78" s="8">
        <f t="shared" si="7"/>
        <v>16</v>
      </c>
      <c r="J78" s="10">
        <f>SUMIFS('By structure'!$G$6:$G$701,'By structure'!$A$6:$A$701,A78,'By structure'!$C$6:$C$701,C78)</f>
        <v>36108364</v>
      </c>
      <c r="K78" s="8">
        <f>SUMIFS('By structure'!$H$6:$H$701,'By structure'!$A$6:$A$701,A78,'By structure'!$C$6:$C$701,C78)</f>
        <v>63</v>
      </c>
      <c r="L78" s="12">
        <f t="shared" si="8"/>
        <v>0</v>
      </c>
      <c r="M78" s="5" t="s">
        <v>110</v>
      </c>
      <c r="N78" s="5" t="s">
        <v>52</v>
      </c>
      <c r="O78" s="5" t="s">
        <v>112</v>
      </c>
      <c r="P78" s="14">
        <v>2688</v>
      </c>
    </row>
    <row r="79" spans="1:16" ht="22" customHeight="1" x14ac:dyDescent="0.35">
      <c r="A79" s="15">
        <v>2022</v>
      </c>
      <c r="B79" s="1" t="s">
        <v>82</v>
      </c>
      <c r="C79" s="7" t="s">
        <v>83</v>
      </c>
      <c r="D79" s="9">
        <v>36</v>
      </c>
      <c r="E79" s="9">
        <v>0</v>
      </c>
      <c r="F79" s="9">
        <v>0</v>
      </c>
      <c r="G79" s="9">
        <v>0</v>
      </c>
      <c r="H79" s="9">
        <f t="shared" si="6"/>
        <v>36</v>
      </c>
      <c r="I79" s="9">
        <f t="shared" si="7"/>
        <v>0</v>
      </c>
      <c r="J79" s="11">
        <f>SUMIFS('By structure'!$G$6:$G$701,'By structure'!$A$6:$A$701,A79,'By structure'!$C$6:$C$701,C79)</f>
        <v>5944980</v>
      </c>
      <c r="K79" s="9">
        <f>SUMIFS('By structure'!$H$6:$H$701,'By structure'!$A$6:$A$701,A79,'By structure'!$C$6:$C$701,C79)</f>
        <v>9</v>
      </c>
      <c r="L79" s="13">
        <f t="shared" si="8"/>
        <v>0.75</v>
      </c>
      <c r="M79" s="1" t="s">
        <v>110</v>
      </c>
      <c r="N79" s="1" t="s">
        <v>52</v>
      </c>
      <c r="O79" s="1" t="s">
        <v>112</v>
      </c>
      <c r="P79" s="15">
        <v>2689</v>
      </c>
    </row>
    <row r="80" spans="1:16" ht="22" customHeight="1" x14ac:dyDescent="0.35">
      <c r="A80" s="14">
        <v>2022</v>
      </c>
      <c r="B80" s="5" t="s">
        <v>84</v>
      </c>
      <c r="C80" s="6" t="s">
        <v>85</v>
      </c>
      <c r="D80" s="8">
        <v>71</v>
      </c>
      <c r="E80" s="8">
        <v>0</v>
      </c>
      <c r="F80" s="8">
        <v>0</v>
      </c>
      <c r="G80" s="8">
        <v>0</v>
      </c>
      <c r="H80" s="8">
        <f t="shared" si="6"/>
        <v>71</v>
      </c>
      <c r="I80" s="8">
        <f t="shared" si="7"/>
        <v>0</v>
      </c>
      <c r="J80" s="10">
        <f>SUMIFS('By structure'!$G$6:$G$701,'By structure'!$A$6:$A$701,A80,'By structure'!$C$6:$C$701,C80)</f>
        <v>23127537</v>
      </c>
      <c r="K80" s="8">
        <f>SUMIFS('By structure'!$H$6:$H$701,'By structure'!$A$6:$A$701,A80,'By structure'!$C$6:$C$701,C80)</f>
        <v>0</v>
      </c>
      <c r="L80" s="12">
        <f t="shared" si="8"/>
        <v>1</v>
      </c>
      <c r="M80" s="5" t="s">
        <v>110</v>
      </c>
      <c r="N80" s="5" t="s">
        <v>52</v>
      </c>
      <c r="O80" s="5" t="s">
        <v>112</v>
      </c>
      <c r="P80" s="14">
        <v>2690</v>
      </c>
    </row>
    <row r="81" spans="1:16" ht="22" customHeight="1" x14ac:dyDescent="0.35">
      <c r="A81" s="15">
        <v>2022</v>
      </c>
      <c r="B81" s="1" t="s">
        <v>86</v>
      </c>
      <c r="C81" s="7" t="s">
        <v>87</v>
      </c>
      <c r="D81" s="9">
        <v>3339</v>
      </c>
      <c r="E81" s="9">
        <v>84</v>
      </c>
      <c r="F81" s="9">
        <v>63</v>
      </c>
      <c r="G81" s="9">
        <v>5889</v>
      </c>
      <c r="H81" s="9">
        <f t="shared" si="6"/>
        <v>9375</v>
      </c>
      <c r="I81" s="9">
        <f t="shared" si="7"/>
        <v>6036</v>
      </c>
      <c r="J81" s="11">
        <f>SUMIFS('By structure'!$G$6:$G$701,'By structure'!$A$6:$A$701,A81,'By structure'!$C$6:$C$701,C81)</f>
        <v>1837477116</v>
      </c>
      <c r="K81" s="9">
        <f>SUMIFS('By structure'!$H$6:$H$701,'By structure'!$A$6:$A$701,A81,'By structure'!$C$6:$C$701,C81)</f>
        <v>5470</v>
      </c>
      <c r="L81" s="13">
        <f t="shared" si="8"/>
        <v>0.41653333333333331</v>
      </c>
      <c r="M81" s="1" t="s">
        <v>110</v>
      </c>
      <c r="N81" s="1" t="s">
        <v>52</v>
      </c>
      <c r="O81" s="1" t="s">
        <v>112</v>
      </c>
      <c r="P81" s="15">
        <v>2691</v>
      </c>
    </row>
    <row r="82" spans="1:16" ht="22" customHeight="1" x14ac:dyDescent="0.35">
      <c r="A82" s="14">
        <v>2022</v>
      </c>
      <c r="B82" s="5" t="s">
        <v>88</v>
      </c>
      <c r="C82" s="6" t="s">
        <v>89</v>
      </c>
      <c r="D82" s="8">
        <v>92</v>
      </c>
      <c r="E82" s="8">
        <v>0</v>
      </c>
      <c r="F82" s="8">
        <v>0</v>
      </c>
      <c r="G82" s="8">
        <v>0</v>
      </c>
      <c r="H82" s="8">
        <f t="shared" si="6"/>
        <v>92</v>
      </c>
      <c r="I82" s="8">
        <f t="shared" si="7"/>
        <v>0</v>
      </c>
      <c r="J82" s="10">
        <f>SUMIFS('By structure'!$G$6:$G$701,'By structure'!$A$6:$A$701,A82,'By structure'!$C$6:$C$701,C82)</f>
        <v>30578627</v>
      </c>
      <c r="K82" s="8">
        <f>SUMIFS('By structure'!$H$6:$H$701,'By structure'!$A$6:$A$701,A82,'By structure'!$C$6:$C$701,C82)</f>
        <v>90</v>
      </c>
      <c r="L82" s="12">
        <f t="shared" si="8"/>
        <v>2.1739130434782608E-2</v>
      </c>
      <c r="M82" s="5" t="s">
        <v>110</v>
      </c>
      <c r="N82" s="5" t="s">
        <v>52</v>
      </c>
      <c r="O82" s="5" t="s">
        <v>112</v>
      </c>
      <c r="P82" s="14">
        <v>2692</v>
      </c>
    </row>
    <row r="83" spans="1:16" ht="22" customHeight="1" x14ac:dyDescent="0.35">
      <c r="A83" s="15">
        <v>2022</v>
      </c>
      <c r="B83" s="1" t="s">
        <v>90</v>
      </c>
      <c r="C83" s="7" t="s">
        <v>91</v>
      </c>
      <c r="D83" s="9">
        <v>186</v>
      </c>
      <c r="E83" s="9">
        <v>0</v>
      </c>
      <c r="F83" s="9">
        <v>16</v>
      </c>
      <c r="G83" s="9">
        <v>0</v>
      </c>
      <c r="H83" s="9">
        <f t="shared" si="6"/>
        <v>202</v>
      </c>
      <c r="I83" s="9">
        <f t="shared" si="7"/>
        <v>16</v>
      </c>
      <c r="J83" s="11">
        <f>SUMIFS('By structure'!$G$6:$G$701,'By structure'!$A$6:$A$701,A83,'By structure'!$C$6:$C$701,C83)</f>
        <v>36306397</v>
      </c>
      <c r="K83" s="9">
        <f>SUMIFS('By structure'!$H$6:$H$701,'By structure'!$A$6:$A$701,A83,'By structure'!$C$6:$C$701,C83)</f>
        <v>202</v>
      </c>
      <c r="L83" s="13">
        <f t="shared" si="8"/>
        <v>0</v>
      </c>
      <c r="M83" s="1" t="s">
        <v>110</v>
      </c>
      <c r="N83" s="1" t="s">
        <v>52</v>
      </c>
      <c r="O83" s="1" t="s">
        <v>112</v>
      </c>
      <c r="P83" s="15">
        <v>2693</v>
      </c>
    </row>
    <row r="84" spans="1:16" ht="22" customHeight="1" x14ac:dyDescent="0.35">
      <c r="A84" s="14">
        <v>2022</v>
      </c>
      <c r="B84" s="5" t="s">
        <v>92</v>
      </c>
      <c r="C84" s="6" t="s">
        <v>93</v>
      </c>
      <c r="D84" s="8">
        <v>105</v>
      </c>
      <c r="E84" s="8">
        <v>22</v>
      </c>
      <c r="F84" s="8">
        <v>0</v>
      </c>
      <c r="G84" s="8">
        <v>36</v>
      </c>
      <c r="H84" s="8">
        <f t="shared" si="6"/>
        <v>163</v>
      </c>
      <c r="I84" s="8">
        <f t="shared" si="7"/>
        <v>58</v>
      </c>
      <c r="J84" s="10">
        <f>SUMIFS('By structure'!$G$6:$G$701,'By structure'!$A$6:$A$701,A84,'By structure'!$C$6:$C$701,C84)</f>
        <v>34098500</v>
      </c>
      <c r="K84" s="8">
        <f>SUMIFS('By structure'!$H$6:$H$701,'By structure'!$A$6:$A$701,A84,'By structure'!$C$6:$C$701,C84)</f>
        <v>149</v>
      </c>
      <c r="L84" s="12">
        <f t="shared" si="8"/>
        <v>8.5889570552147243E-2</v>
      </c>
      <c r="M84" s="5" t="s">
        <v>110</v>
      </c>
      <c r="N84" s="5" t="s">
        <v>52</v>
      </c>
      <c r="O84" s="5" t="s">
        <v>112</v>
      </c>
      <c r="P84" s="14">
        <v>2694</v>
      </c>
    </row>
    <row r="85" spans="1:16" ht="22" customHeight="1" x14ac:dyDescent="0.35">
      <c r="A85" s="15">
        <v>2022</v>
      </c>
      <c r="B85" s="1" t="s">
        <v>94</v>
      </c>
      <c r="C85" s="7" t="s">
        <v>95</v>
      </c>
      <c r="D85" s="9">
        <v>470</v>
      </c>
      <c r="E85" s="9">
        <v>0</v>
      </c>
      <c r="F85" s="9">
        <v>0</v>
      </c>
      <c r="G85" s="9">
        <v>90</v>
      </c>
      <c r="H85" s="9">
        <f t="shared" si="6"/>
        <v>560</v>
      </c>
      <c r="I85" s="9">
        <f t="shared" si="7"/>
        <v>90</v>
      </c>
      <c r="J85" s="11">
        <f>SUMIFS('By structure'!$G$6:$G$701,'By structure'!$A$6:$A$701,A85,'By structure'!$C$6:$C$701,C85)</f>
        <v>343573819</v>
      </c>
      <c r="K85" s="9">
        <f>SUMIFS('By structure'!$H$6:$H$701,'By structure'!$A$6:$A$701,A85,'By structure'!$C$6:$C$701,C85)</f>
        <v>560</v>
      </c>
      <c r="L85" s="13">
        <f t="shared" si="8"/>
        <v>0</v>
      </c>
      <c r="M85" s="1" t="s">
        <v>110</v>
      </c>
      <c r="N85" s="1" t="s">
        <v>52</v>
      </c>
      <c r="O85" s="1" t="s">
        <v>112</v>
      </c>
      <c r="P85" s="15">
        <v>2695</v>
      </c>
    </row>
    <row r="86" spans="1:16" ht="22" customHeight="1" x14ac:dyDescent="0.35">
      <c r="A86" s="14">
        <v>2022</v>
      </c>
      <c r="B86" s="5" t="s">
        <v>96</v>
      </c>
      <c r="C86" s="6" t="s">
        <v>97</v>
      </c>
      <c r="D86" s="8">
        <v>653</v>
      </c>
      <c r="E86" s="8">
        <v>0</v>
      </c>
      <c r="F86" s="8">
        <v>31</v>
      </c>
      <c r="G86" s="8">
        <v>43</v>
      </c>
      <c r="H86" s="8">
        <f t="shared" si="6"/>
        <v>727</v>
      </c>
      <c r="I86" s="8">
        <f t="shared" si="7"/>
        <v>74</v>
      </c>
      <c r="J86" s="10">
        <f>SUMIFS('By structure'!$G$6:$G$701,'By structure'!$A$6:$A$701,A86,'By structure'!$C$6:$C$701,C86)</f>
        <v>202440968</v>
      </c>
      <c r="K86" s="8">
        <f>SUMIFS('By structure'!$H$6:$H$701,'By structure'!$A$6:$A$701,A86,'By structure'!$C$6:$C$701,C86)</f>
        <v>727</v>
      </c>
      <c r="L86" s="12">
        <f t="shared" si="8"/>
        <v>0</v>
      </c>
      <c r="M86" s="5" t="s">
        <v>110</v>
      </c>
      <c r="N86" s="5" t="s">
        <v>52</v>
      </c>
      <c r="O86" s="5" t="s">
        <v>112</v>
      </c>
      <c r="P86" s="14">
        <v>2696</v>
      </c>
    </row>
    <row r="87" spans="1:16" ht="22" customHeight="1" x14ac:dyDescent="0.35">
      <c r="A87" s="15">
        <v>2022</v>
      </c>
      <c r="B87" s="1" t="s">
        <v>98</v>
      </c>
      <c r="C87" s="7" t="s">
        <v>99</v>
      </c>
      <c r="D87" s="9">
        <v>86</v>
      </c>
      <c r="E87" s="9">
        <v>4</v>
      </c>
      <c r="F87" s="9">
        <v>0</v>
      </c>
      <c r="G87" s="9">
        <v>0</v>
      </c>
      <c r="H87" s="9">
        <f t="shared" si="6"/>
        <v>90</v>
      </c>
      <c r="I87" s="9">
        <f t="shared" si="7"/>
        <v>4</v>
      </c>
      <c r="J87" s="11">
        <f>SUMIFS('By structure'!$G$6:$G$701,'By structure'!$A$6:$A$701,A87,'By structure'!$C$6:$C$701,C87)</f>
        <v>34772083</v>
      </c>
      <c r="K87" s="9">
        <f>SUMIFS('By structure'!$H$6:$H$701,'By structure'!$A$6:$A$701,A87,'By structure'!$C$6:$C$701,C87)</f>
        <v>90</v>
      </c>
      <c r="L87" s="13">
        <f t="shared" si="8"/>
        <v>0</v>
      </c>
      <c r="M87" s="1" t="s">
        <v>110</v>
      </c>
      <c r="N87" s="1" t="s">
        <v>52</v>
      </c>
      <c r="O87" s="1" t="s">
        <v>112</v>
      </c>
      <c r="P87" s="15">
        <v>2697</v>
      </c>
    </row>
    <row r="88" spans="1:16" ht="22" customHeight="1" x14ac:dyDescent="0.35">
      <c r="A88" s="14">
        <v>2022</v>
      </c>
      <c r="B88" s="5" t="s">
        <v>100</v>
      </c>
      <c r="C88" s="6" t="s">
        <v>101</v>
      </c>
      <c r="D88" s="8">
        <v>5080</v>
      </c>
      <c r="E88" s="8">
        <v>138</v>
      </c>
      <c r="F88" s="8">
        <v>140</v>
      </c>
      <c r="G88" s="8">
        <v>2807</v>
      </c>
      <c r="H88" s="8">
        <f t="shared" si="6"/>
        <v>8165</v>
      </c>
      <c r="I88" s="8">
        <f t="shared" si="7"/>
        <v>3085</v>
      </c>
      <c r="J88" s="10">
        <f>SUMIFS('By structure'!$G$6:$G$701,'By structure'!$A$6:$A$701,A88,'By structure'!$C$6:$C$701,C88)</f>
        <v>2213394113</v>
      </c>
      <c r="K88" s="8">
        <f>SUMIFS('By structure'!$H$6:$H$701,'By structure'!$A$6:$A$701,A88,'By structure'!$C$6:$C$701,C88)</f>
        <v>8154</v>
      </c>
      <c r="L88" s="12">
        <f t="shared" si="8"/>
        <v>1.3472137170851195E-3</v>
      </c>
      <c r="M88" s="5" t="s">
        <v>110</v>
      </c>
      <c r="N88" s="5" t="s">
        <v>52</v>
      </c>
      <c r="O88" s="5" t="s">
        <v>112</v>
      </c>
      <c r="P88" s="14">
        <v>2698</v>
      </c>
    </row>
    <row r="89" spans="1:16" ht="22" customHeight="1" x14ac:dyDescent="0.35">
      <c r="A89" s="15">
        <v>2022</v>
      </c>
      <c r="B89" s="1" t="s">
        <v>102</v>
      </c>
      <c r="C89" s="7" t="s">
        <v>103</v>
      </c>
      <c r="D89" s="9">
        <v>991</v>
      </c>
      <c r="E89" s="9">
        <v>0</v>
      </c>
      <c r="F89" s="9">
        <v>6</v>
      </c>
      <c r="G89" s="9">
        <v>12</v>
      </c>
      <c r="H89" s="9">
        <f t="shared" si="6"/>
        <v>1009</v>
      </c>
      <c r="I89" s="9">
        <f t="shared" si="7"/>
        <v>18</v>
      </c>
      <c r="J89" s="11">
        <f>SUMIFS('By structure'!$G$6:$G$701,'By structure'!$A$6:$A$701,A89,'By structure'!$C$6:$C$701,C89)</f>
        <v>630435332</v>
      </c>
      <c r="K89" s="9">
        <f>SUMIFS('By structure'!$H$6:$H$701,'By structure'!$A$6:$A$701,A89,'By structure'!$C$6:$C$701,C89)</f>
        <v>1003</v>
      </c>
      <c r="L89" s="13">
        <f t="shared" si="8"/>
        <v>5.9464816650148661E-3</v>
      </c>
      <c r="M89" s="1" t="s">
        <v>110</v>
      </c>
      <c r="N89" s="1" t="s">
        <v>52</v>
      </c>
      <c r="O89" s="1" t="s">
        <v>112</v>
      </c>
      <c r="P89" s="15">
        <v>2699</v>
      </c>
    </row>
    <row r="90" spans="1:16" ht="22" customHeight="1" x14ac:dyDescent="0.35">
      <c r="A90" s="14">
        <v>2022</v>
      </c>
      <c r="B90" s="5" t="s">
        <v>104</v>
      </c>
      <c r="C90" s="6" t="s">
        <v>105</v>
      </c>
      <c r="D90" s="8">
        <v>2486</v>
      </c>
      <c r="E90" s="8">
        <v>0</v>
      </c>
      <c r="F90" s="8">
        <v>40</v>
      </c>
      <c r="G90" s="8">
        <v>670</v>
      </c>
      <c r="H90" s="8">
        <f t="shared" si="6"/>
        <v>3196</v>
      </c>
      <c r="I90" s="8">
        <f t="shared" si="7"/>
        <v>710</v>
      </c>
      <c r="J90" s="10">
        <f>SUMIFS('By structure'!$G$6:$G$701,'By structure'!$A$6:$A$701,A90,'By structure'!$C$6:$C$701,C90)</f>
        <v>608624554</v>
      </c>
      <c r="K90" s="8">
        <f>SUMIFS('By structure'!$H$6:$H$701,'By structure'!$A$6:$A$701,A90,'By structure'!$C$6:$C$701,C90)</f>
        <v>3180</v>
      </c>
      <c r="L90" s="12">
        <f t="shared" si="8"/>
        <v>5.0062578222778474E-3</v>
      </c>
      <c r="M90" s="5" t="s">
        <v>110</v>
      </c>
      <c r="N90" s="5" t="s">
        <v>52</v>
      </c>
      <c r="O90" s="5" t="s">
        <v>112</v>
      </c>
      <c r="P90" s="14">
        <v>2700</v>
      </c>
    </row>
    <row r="91" spans="1:16" ht="22" customHeight="1" x14ac:dyDescent="0.35">
      <c r="A91" s="15">
        <v>2022</v>
      </c>
      <c r="B91" s="1" t="s">
        <v>106</v>
      </c>
      <c r="C91" s="7" t="s">
        <v>107</v>
      </c>
      <c r="D91" s="9">
        <v>25</v>
      </c>
      <c r="E91" s="9">
        <v>0</v>
      </c>
      <c r="F91" s="9">
        <v>4</v>
      </c>
      <c r="G91" s="9">
        <v>0</v>
      </c>
      <c r="H91" s="9">
        <f t="shared" si="6"/>
        <v>29</v>
      </c>
      <c r="I91" s="9">
        <f t="shared" si="7"/>
        <v>4</v>
      </c>
      <c r="J91" s="11">
        <f>SUMIFS('By structure'!$G$6:$G$701,'By structure'!$A$6:$A$701,A91,'By structure'!$C$6:$C$701,C91)</f>
        <v>8158251</v>
      </c>
      <c r="K91" s="9">
        <f>SUMIFS('By structure'!$H$6:$H$701,'By structure'!$A$6:$A$701,A91,'By structure'!$C$6:$C$701,C91)</f>
        <v>29</v>
      </c>
      <c r="L91" s="13">
        <f t="shared" si="8"/>
        <v>0</v>
      </c>
      <c r="M91" s="1" t="s">
        <v>110</v>
      </c>
      <c r="N91" s="1" t="s">
        <v>52</v>
      </c>
      <c r="O91" s="1" t="s">
        <v>112</v>
      </c>
      <c r="P91" s="15">
        <v>2701</v>
      </c>
    </row>
    <row r="92" spans="1:16" ht="22" customHeight="1" x14ac:dyDescent="0.35">
      <c r="A92" s="14">
        <v>2022</v>
      </c>
      <c r="B92" s="5" t="s">
        <v>108</v>
      </c>
      <c r="C92" s="6" t="s">
        <v>109</v>
      </c>
      <c r="D92" s="8">
        <v>1252</v>
      </c>
      <c r="E92" s="8">
        <v>6</v>
      </c>
      <c r="F92" s="8">
        <v>89</v>
      </c>
      <c r="G92" s="8">
        <v>964</v>
      </c>
      <c r="H92" s="8">
        <f t="shared" si="6"/>
        <v>2311</v>
      </c>
      <c r="I92" s="8">
        <f t="shared" si="7"/>
        <v>1059</v>
      </c>
      <c r="J92" s="10">
        <f>SUMIFS('By structure'!$G$6:$G$701,'By structure'!$A$6:$A$701,A92,'By structure'!$C$6:$C$701,C92)</f>
        <v>541330852</v>
      </c>
      <c r="K92" s="8">
        <f>SUMIFS('By structure'!$H$6:$H$701,'By structure'!$A$6:$A$701,A92,'By structure'!$C$6:$C$701,C92)</f>
        <v>1875</v>
      </c>
      <c r="L92" s="12">
        <f t="shared" si="8"/>
        <v>0.18866291648636954</v>
      </c>
      <c r="M92" s="5" t="s">
        <v>110</v>
      </c>
      <c r="N92" s="5" t="s">
        <v>52</v>
      </c>
      <c r="O92" s="5" t="s">
        <v>112</v>
      </c>
      <c r="P92" s="14">
        <v>2702</v>
      </c>
    </row>
    <row r="93" spans="1:16" ht="22" customHeight="1" x14ac:dyDescent="0.35">
      <c r="A93" s="15">
        <v>2023</v>
      </c>
      <c r="B93" s="1" t="s">
        <v>49</v>
      </c>
      <c r="C93" s="7" t="s">
        <v>50</v>
      </c>
      <c r="D93" s="9">
        <v>37</v>
      </c>
      <c r="E93" s="9">
        <v>0</v>
      </c>
      <c r="F93" s="9">
        <v>0</v>
      </c>
      <c r="G93" s="9">
        <v>0</v>
      </c>
      <c r="H93" s="9">
        <f t="shared" si="6"/>
        <v>37</v>
      </c>
      <c r="I93" s="9">
        <f t="shared" si="7"/>
        <v>0</v>
      </c>
      <c r="J93" s="11">
        <f>SUMIFS('By structure'!$G$6:$G$701,'By structure'!$A$6:$A$701,A93,'By structure'!$C$6:$C$701,C93)</f>
        <v>13156727</v>
      </c>
      <c r="K93" s="9">
        <f>SUMIFS('By structure'!$H$6:$H$701,'By structure'!$A$6:$A$701,A93,'By structure'!$C$6:$C$701,C93)</f>
        <v>37</v>
      </c>
      <c r="L93" s="13">
        <f t="shared" si="8"/>
        <v>0</v>
      </c>
      <c r="M93" s="1" t="s">
        <v>110</v>
      </c>
      <c r="N93" s="1" t="s">
        <v>113</v>
      </c>
      <c r="O93" s="1" t="s">
        <v>114</v>
      </c>
      <c r="P93" s="15">
        <v>2670</v>
      </c>
    </row>
    <row r="94" spans="1:16" ht="22" customHeight="1" x14ac:dyDescent="0.35">
      <c r="A94" s="14">
        <v>2023</v>
      </c>
      <c r="B94" s="5" t="s">
        <v>54</v>
      </c>
      <c r="C94" s="6" t="s">
        <v>55</v>
      </c>
      <c r="D94" s="8">
        <v>238</v>
      </c>
      <c r="E94" s="8">
        <v>0</v>
      </c>
      <c r="F94" s="8">
        <v>4</v>
      </c>
      <c r="G94" s="8">
        <v>28</v>
      </c>
      <c r="H94" s="8">
        <f t="shared" si="6"/>
        <v>270</v>
      </c>
      <c r="I94" s="8">
        <f t="shared" si="7"/>
        <v>32</v>
      </c>
      <c r="J94" s="10">
        <f>SUMIFS('By structure'!$G$6:$G$701,'By structure'!$A$6:$A$701,A94,'By structure'!$C$6:$C$701,C94)</f>
        <v>75180482</v>
      </c>
      <c r="K94" s="8">
        <f>SUMIFS('By structure'!$H$6:$H$701,'By structure'!$A$6:$A$701,A94,'By structure'!$C$6:$C$701,C94)</f>
        <v>212</v>
      </c>
      <c r="L94" s="12">
        <f t="shared" si="8"/>
        <v>0.21481481481481482</v>
      </c>
      <c r="M94" s="5" t="s">
        <v>110</v>
      </c>
      <c r="N94" s="5" t="s">
        <v>113</v>
      </c>
      <c r="O94" s="5" t="s">
        <v>114</v>
      </c>
      <c r="P94" s="14">
        <v>2671</v>
      </c>
    </row>
    <row r="95" spans="1:16" ht="22" customHeight="1" x14ac:dyDescent="0.35">
      <c r="A95" s="15">
        <v>2023</v>
      </c>
      <c r="B95" s="1" t="s">
        <v>56</v>
      </c>
      <c r="C95" s="7" t="s">
        <v>57</v>
      </c>
      <c r="D95" s="9">
        <v>610</v>
      </c>
      <c r="E95" s="9">
        <v>4</v>
      </c>
      <c r="F95" s="9">
        <v>4</v>
      </c>
      <c r="G95" s="9">
        <v>339</v>
      </c>
      <c r="H95" s="9">
        <f t="shared" si="6"/>
        <v>957</v>
      </c>
      <c r="I95" s="9">
        <f t="shared" si="7"/>
        <v>347</v>
      </c>
      <c r="J95" s="11">
        <f>SUMIFS('By structure'!$G$6:$G$701,'By structure'!$A$6:$A$701,A95,'By structure'!$C$6:$C$701,C95)</f>
        <v>301319618</v>
      </c>
      <c r="K95" s="9">
        <f>SUMIFS('By structure'!$H$6:$H$701,'By structure'!$A$6:$A$701,A95,'By structure'!$C$6:$C$701,C95)</f>
        <v>950</v>
      </c>
      <c r="L95" s="13">
        <f t="shared" si="8"/>
        <v>7.3145245559038665E-3</v>
      </c>
      <c r="M95" s="1" t="s">
        <v>110</v>
      </c>
      <c r="N95" s="1" t="s">
        <v>113</v>
      </c>
      <c r="O95" s="1" t="s">
        <v>114</v>
      </c>
      <c r="P95" s="15">
        <v>2672</v>
      </c>
    </row>
    <row r="96" spans="1:16" ht="22" customHeight="1" x14ac:dyDescent="0.35">
      <c r="A96" s="14">
        <v>2023</v>
      </c>
      <c r="B96" s="5" t="s">
        <v>58</v>
      </c>
      <c r="C96" s="6" t="s">
        <v>59</v>
      </c>
      <c r="D96" s="8">
        <v>41</v>
      </c>
      <c r="E96" s="8">
        <v>0</v>
      </c>
      <c r="F96" s="8">
        <v>0</v>
      </c>
      <c r="G96" s="8">
        <v>0</v>
      </c>
      <c r="H96" s="8">
        <f t="shared" si="6"/>
        <v>41</v>
      </c>
      <c r="I96" s="8">
        <f t="shared" si="7"/>
        <v>0</v>
      </c>
      <c r="J96" s="10">
        <f>SUMIFS('By structure'!$G$6:$G$701,'By structure'!$A$6:$A$701,A96,'By structure'!$C$6:$C$701,C96)</f>
        <v>17619642</v>
      </c>
      <c r="K96" s="8">
        <f>SUMIFS('By structure'!$H$6:$H$701,'By structure'!$A$6:$A$701,A96,'By structure'!$C$6:$C$701,C96)</f>
        <v>41</v>
      </c>
      <c r="L96" s="12">
        <f t="shared" si="8"/>
        <v>0</v>
      </c>
      <c r="M96" s="5" t="s">
        <v>110</v>
      </c>
      <c r="N96" s="5" t="s">
        <v>113</v>
      </c>
      <c r="O96" s="5" t="s">
        <v>114</v>
      </c>
      <c r="P96" s="14">
        <v>2673</v>
      </c>
    </row>
    <row r="97" spans="1:16" ht="22" customHeight="1" x14ac:dyDescent="0.35">
      <c r="A97" s="15">
        <v>2023</v>
      </c>
      <c r="B97" s="1" t="s">
        <v>60</v>
      </c>
      <c r="C97" s="7" t="s">
        <v>61</v>
      </c>
      <c r="D97" s="9">
        <v>20</v>
      </c>
      <c r="E97" s="9">
        <v>0</v>
      </c>
      <c r="F97" s="9">
        <v>0</v>
      </c>
      <c r="G97" s="9">
        <v>0</v>
      </c>
      <c r="H97" s="9">
        <f t="shared" si="6"/>
        <v>20</v>
      </c>
      <c r="I97" s="9">
        <f t="shared" si="7"/>
        <v>0</v>
      </c>
      <c r="J97" s="11">
        <f>SUMIFS('By structure'!$G$6:$G$701,'By structure'!$A$6:$A$701,A97,'By structure'!$C$6:$C$701,C97)</f>
        <v>6428722</v>
      </c>
      <c r="K97" s="9">
        <f>SUMIFS('By structure'!$H$6:$H$701,'By structure'!$A$6:$A$701,A97,'By structure'!$C$6:$C$701,C97)</f>
        <v>11</v>
      </c>
      <c r="L97" s="13">
        <f t="shared" si="8"/>
        <v>0.45</v>
      </c>
      <c r="M97" s="1" t="s">
        <v>110</v>
      </c>
      <c r="N97" s="1" t="s">
        <v>113</v>
      </c>
      <c r="O97" s="1" t="s">
        <v>114</v>
      </c>
      <c r="P97" s="15">
        <v>2674</v>
      </c>
    </row>
    <row r="98" spans="1:16" ht="22" customHeight="1" x14ac:dyDescent="0.35">
      <c r="A98" s="14">
        <v>2023</v>
      </c>
      <c r="B98" s="5" t="s">
        <v>62</v>
      </c>
      <c r="C98" s="6" t="s">
        <v>63</v>
      </c>
      <c r="D98" s="8">
        <v>684</v>
      </c>
      <c r="E98" s="8">
        <v>0</v>
      </c>
      <c r="F98" s="8">
        <v>35</v>
      </c>
      <c r="G98" s="8">
        <v>828</v>
      </c>
      <c r="H98" s="8">
        <f t="shared" si="6"/>
        <v>1547</v>
      </c>
      <c r="I98" s="8">
        <f t="shared" si="7"/>
        <v>863</v>
      </c>
      <c r="J98" s="10">
        <f>SUMIFS('By structure'!$G$6:$G$701,'By structure'!$A$6:$A$701,A98,'By structure'!$C$6:$C$701,C98)</f>
        <v>374465911</v>
      </c>
      <c r="K98" s="8">
        <f>SUMIFS('By structure'!$H$6:$H$701,'By structure'!$A$6:$A$701,A98,'By structure'!$C$6:$C$701,C98)</f>
        <v>1546</v>
      </c>
      <c r="L98" s="12">
        <f t="shared" si="8"/>
        <v>6.4641241111829345E-4</v>
      </c>
      <c r="M98" s="5" t="s">
        <v>110</v>
      </c>
      <c r="N98" s="5" t="s">
        <v>113</v>
      </c>
      <c r="O98" s="5" t="s">
        <v>114</v>
      </c>
      <c r="P98" s="14">
        <v>2675</v>
      </c>
    </row>
    <row r="99" spans="1:16" ht="22" customHeight="1" x14ac:dyDescent="0.35">
      <c r="A99" s="15">
        <v>2023</v>
      </c>
      <c r="B99" s="1" t="s">
        <v>64</v>
      </c>
      <c r="C99" s="7" t="s">
        <v>65</v>
      </c>
      <c r="D99" s="9">
        <v>107</v>
      </c>
      <c r="E99" s="9">
        <v>0</v>
      </c>
      <c r="F99" s="9">
        <v>6</v>
      </c>
      <c r="G99" s="9">
        <v>0</v>
      </c>
      <c r="H99" s="9">
        <f t="shared" si="6"/>
        <v>113</v>
      </c>
      <c r="I99" s="9">
        <f t="shared" si="7"/>
        <v>6</v>
      </c>
      <c r="J99" s="11">
        <f>SUMIFS('By structure'!$G$6:$G$701,'By structure'!$A$6:$A$701,A99,'By structure'!$C$6:$C$701,C99)</f>
        <v>33913573</v>
      </c>
      <c r="K99" s="9">
        <f>SUMIFS('By structure'!$H$6:$H$701,'By structure'!$A$6:$A$701,A99,'By structure'!$C$6:$C$701,C99)</f>
        <v>58</v>
      </c>
      <c r="L99" s="13">
        <f t="shared" si="8"/>
        <v>0.48672566371681414</v>
      </c>
      <c r="M99" s="1" t="s">
        <v>110</v>
      </c>
      <c r="N99" s="1" t="s">
        <v>113</v>
      </c>
      <c r="O99" s="1" t="s">
        <v>114</v>
      </c>
      <c r="P99" s="15">
        <v>2676</v>
      </c>
    </row>
    <row r="100" spans="1:16" ht="22" customHeight="1" x14ac:dyDescent="0.35">
      <c r="A100" s="14">
        <v>2023</v>
      </c>
      <c r="B100" s="5" t="s">
        <v>66</v>
      </c>
      <c r="C100" s="6" t="s">
        <v>67</v>
      </c>
      <c r="D100" s="8">
        <v>43</v>
      </c>
      <c r="E100" s="8">
        <v>0</v>
      </c>
      <c r="F100" s="8">
        <v>0</v>
      </c>
      <c r="G100" s="8">
        <v>12</v>
      </c>
      <c r="H100" s="8">
        <f t="shared" si="6"/>
        <v>55</v>
      </c>
      <c r="I100" s="8">
        <f t="shared" si="7"/>
        <v>12</v>
      </c>
      <c r="J100" s="10">
        <f>SUMIFS('By structure'!$G$6:$G$701,'By structure'!$A$6:$A$701,A100,'By structure'!$C$6:$C$701,C100)</f>
        <v>11154505</v>
      </c>
      <c r="K100" s="8">
        <f>SUMIFS('By structure'!$H$6:$H$701,'By structure'!$A$6:$A$701,A100,'By structure'!$C$6:$C$701,C100)</f>
        <v>55</v>
      </c>
      <c r="L100" s="12">
        <f t="shared" si="8"/>
        <v>0</v>
      </c>
      <c r="M100" s="5" t="s">
        <v>110</v>
      </c>
      <c r="N100" s="5" t="s">
        <v>113</v>
      </c>
      <c r="O100" s="5" t="s">
        <v>114</v>
      </c>
      <c r="P100" s="14">
        <v>2677</v>
      </c>
    </row>
    <row r="101" spans="1:16" ht="22" customHeight="1" x14ac:dyDescent="0.35">
      <c r="A101" s="15">
        <v>2023</v>
      </c>
      <c r="B101" s="1" t="s">
        <v>68</v>
      </c>
      <c r="C101" s="7" t="s">
        <v>69</v>
      </c>
      <c r="D101" s="9">
        <v>45</v>
      </c>
      <c r="E101" s="9">
        <v>0</v>
      </c>
      <c r="F101" s="9">
        <v>0</v>
      </c>
      <c r="G101" s="9">
        <v>8</v>
      </c>
      <c r="H101" s="9">
        <f t="shared" si="6"/>
        <v>53</v>
      </c>
      <c r="I101" s="9">
        <f t="shared" si="7"/>
        <v>8</v>
      </c>
      <c r="J101" s="11">
        <f>SUMIFS('By structure'!$G$6:$G$701,'By structure'!$A$6:$A$701,A101,'By structure'!$C$6:$C$701,C101)</f>
        <v>17033472</v>
      </c>
      <c r="K101" s="9">
        <f>SUMIFS('By structure'!$H$6:$H$701,'By structure'!$A$6:$A$701,A101,'By structure'!$C$6:$C$701,C101)</f>
        <v>53</v>
      </c>
      <c r="L101" s="13">
        <f t="shared" si="8"/>
        <v>0</v>
      </c>
      <c r="M101" s="1" t="s">
        <v>110</v>
      </c>
      <c r="N101" s="1" t="s">
        <v>113</v>
      </c>
      <c r="O101" s="1" t="s">
        <v>114</v>
      </c>
      <c r="P101" s="15">
        <v>2678</v>
      </c>
    </row>
    <row r="102" spans="1:16" ht="22" customHeight="1" x14ac:dyDescent="0.35">
      <c r="A102" s="14">
        <v>2023</v>
      </c>
      <c r="B102" s="5" t="s">
        <v>70</v>
      </c>
      <c r="C102" s="6" t="s">
        <v>71</v>
      </c>
      <c r="D102" s="8">
        <v>55</v>
      </c>
      <c r="E102" s="8">
        <v>10</v>
      </c>
      <c r="F102" s="8">
        <v>8</v>
      </c>
      <c r="G102" s="8">
        <v>9</v>
      </c>
      <c r="H102" s="8">
        <f t="shared" ref="H102:H133" si="9">SUM(D102:G102)</f>
        <v>82</v>
      </c>
      <c r="I102" s="8">
        <f t="shared" ref="I102:I133" si="10">SUM(E102:G102)</f>
        <v>27</v>
      </c>
      <c r="J102" s="10">
        <f>SUMIFS('By structure'!$G$6:$G$701,'By structure'!$A$6:$A$701,A102,'By structure'!$C$6:$C$701,C102)</f>
        <v>21863377</v>
      </c>
      <c r="K102" s="8">
        <f>SUMIFS('By structure'!$H$6:$H$701,'By structure'!$A$6:$A$701,A102,'By structure'!$C$6:$C$701,C102)</f>
        <v>82</v>
      </c>
      <c r="L102" s="12">
        <f t="shared" ref="L102:L133" si="11">IF(H102=0,"",(H102-K102)/H102)</f>
        <v>0</v>
      </c>
      <c r="M102" s="5" t="s">
        <v>110</v>
      </c>
      <c r="N102" s="5" t="s">
        <v>113</v>
      </c>
      <c r="O102" s="5" t="s">
        <v>114</v>
      </c>
      <c r="P102" s="14">
        <v>2679</v>
      </c>
    </row>
    <row r="103" spans="1:16" ht="22" customHeight="1" x14ac:dyDescent="0.35">
      <c r="A103" s="15">
        <v>2023</v>
      </c>
      <c r="B103" s="1" t="s">
        <v>72</v>
      </c>
      <c r="C103" s="7" t="s">
        <v>73</v>
      </c>
      <c r="D103" s="9">
        <v>460</v>
      </c>
      <c r="E103" s="9">
        <v>0</v>
      </c>
      <c r="F103" s="9">
        <v>0</v>
      </c>
      <c r="G103" s="9">
        <v>0</v>
      </c>
      <c r="H103" s="9">
        <f t="shared" si="9"/>
        <v>460</v>
      </c>
      <c r="I103" s="9">
        <f t="shared" si="10"/>
        <v>0</v>
      </c>
      <c r="J103" s="11">
        <f>SUMIFS('By structure'!$G$6:$G$701,'By structure'!$A$6:$A$701,A103,'By structure'!$C$6:$C$701,C103)</f>
        <v>129784356</v>
      </c>
      <c r="K103" s="9">
        <f>SUMIFS('By structure'!$H$6:$H$701,'By structure'!$A$6:$A$701,A103,'By structure'!$C$6:$C$701,C103)</f>
        <v>460</v>
      </c>
      <c r="L103" s="13">
        <f t="shared" si="11"/>
        <v>0</v>
      </c>
      <c r="M103" s="1" t="s">
        <v>110</v>
      </c>
      <c r="N103" s="1" t="s">
        <v>113</v>
      </c>
      <c r="O103" s="1" t="s">
        <v>114</v>
      </c>
      <c r="P103" s="15">
        <v>2680</v>
      </c>
    </row>
    <row r="104" spans="1:16" ht="22" customHeight="1" x14ac:dyDescent="0.35">
      <c r="A104" s="14">
        <v>2023</v>
      </c>
      <c r="B104" s="5" t="s">
        <v>74</v>
      </c>
      <c r="C104" s="6" t="s">
        <v>75</v>
      </c>
      <c r="D104" s="8">
        <v>88</v>
      </c>
      <c r="E104" s="8">
        <v>0</v>
      </c>
      <c r="F104" s="8">
        <v>26</v>
      </c>
      <c r="G104" s="8">
        <v>31</v>
      </c>
      <c r="H104" s="8">
        <f t="shared" si="9"/>
        <v>145</v>
      </c>
      <c r="I104" s="8">
        <f t="shared" si="10"/>
        <v>57</v>
      </c>
      <c r="J104" s="10">
        <f>SUMIFS('By structure'!$G$6:$G$701,'By structure'!$A$6:$A$701,A104,'By structure'!$C$6:$C$701,C104)</f>
        <v>36341652</v>
      </c>
      <c r="K104" s="8">
        <f>SUMIFS('By structure'!$H$6:$H$701,'By structure'!$A$6:$A$701,A104,'By structure'!$C$6:$C$701,C104)</f>
        <v>145</v>
      </c>
      <c r="L104" s="12">
        <f t="shared" si="11"/>
        <v>0</v>
      </c>
      <c r="M104" s="5" t="s">
        <v>110</v>
      </c>
      <c r="N104" s="5" t="s">
        <v>113</v>
      </c>
      <c r="O104" s="5" t="s">
        <v>114</v>
      </c>
      <c r="P104" s="14">
        <v>2681</v>
      </c>
    </row>
    <row r="105" spans="1:16" ht="22" customHeight="1" x14ac:dyDescent="0.35">
      <c r="A105" s="15">
        <v>2023</v>
      </c>
      <c r="B105" s="1" t="s">
        <v>76</v>
      </c>
      <c r="C105" s="7" t="s">
        <v>77</v>
      </c>
      <c r="D105" s="9">
        <v>153</v>
      </c>
      <c r="E105" s="9">
        <v>0</v>
      </c>
      <c r="F105" s="9">
        <v>0</v>
      </c>
      <c r="G105" s="9">
        <v>0</v>
      </c>
      <c r="H105" s="9">
        <f t="shared" si="9"/>
        <v>153</v>
      </c>
      <c r="I105" s="9">
        <f t="shared" si="10"/>
        <v>0</v>
      </c>
      <c r="J105" s="11">
        <f>SUMIFS('By structure'!$G$6:$G$701,'By structure'!$A$6:$A$701,A105,'By structure'!$C$6:$C$701,C105)</f>
        <v>35948218</v>
      </c>
      <c r="K105" s="9">
        <f>SUMIFS('By structure'!$H$6:$H$701,'By structure'!$A$6:$A$701,A105,'By structure'!$C$6:$C$701,C105)</f>
        <v>129</v>
      </c>
      <c r="L105" s="13">
        <f t="shared" si="11"/>
        <v>0.15686274509803921</v>
      </c>
      <c r="M105" s="1" t="s">
        <v>110</v>
      </c>
      <c r="N105" s="1" t="s">
        <v>113</v>
      </c>
      <c r="O105" s="1" t="s">
        <v>114</v>
      </c>
      <c r="P105" s="15">
        <v>2682</v>
      </c>
    </row>
    <row r="106" spans="1:16" ht="22" customHeight="1" x14ac:dyDescent="0.35">
      <c r="A106" s="14">
        <v>2023</v>
      </c>
      <c r="B106" s="5" t="s">
        <v>78</v>
      </c>
      <c r="C106" s="6" t="s">
        <v>79</v>
      </c>
      <c r="D106" s="8">
        <v>57</v>
      </c>
      <c r="E106" s="8">
        <v>12</v>
      </c>
      <c r="F106" s="8">
        <v>19</v>
      </c>
      <c r="G106" s="8">
        <v>6</v>
      </c>
      <c r="H106" s="8">
        <f t="shared" si="9"/>
        <v>94</v>
      </c>
      <c r="I106" s="8">
        <f t="shared" si="10"/>
        <v>37</v>
      </c>
      <c r="J106" s="10">
        <f>SUMIFS('By structure'!$G$6:$G$701,'By structure'!$A$6:$A$701,A106,'By structure'!$C$6:$C$701,C106)</f>
        <v>17332597</v>
      </c>
      <c r="K106" s="8">
        <f>SUMIFS('By structure'!$H$6:$H$701,'By structure'!$A$6:$A$701,A106,'By structure'!$C$6:$C$701,C106)</f>
        <v>93</v>
      </c>
      <c r="L106" s="12">
        <f t="shared" si="11"/>
        <v>1.0638297872340425E-2</v>
      </c>
      <c r="M106" s="5" t="s">
        <v>110</v>
      </c>
      <c r="N106" s="5" t="s">
        <v>113</v>
      </c>
      <c r="O106" s="5" t="s">
        <v>114</v>
      </c>
      <c r="P106" s="14">
        <v>2683</v>
      </c>
    </row>
    <row r="107" spans="1:16" ht="22" customHeight="1" x14ac:dyDescent="0.35">
      <c r="A107" s="15">
        <v>2023</v>
      </c>
      <c r="B107" s="1" t="s">
        <v>80</v>
      </c>
      <c r="C107" s="7" t="s">
        <v>81</v>
      </c>
      <c r="D107" s="9">
        <v>73</v>
      </c>
      <c r="E107" s="9">
        <v>0</v>
      </c>
      <c r="F107" s="9">
        <v>37</v>
      </c>
      <c r="G107" s="9">
        <v>33</v>
      </c>
      <c r="H107" s="9">
        <f t="shared" si="9"/>
        <v>143</v>
      </c>
      <c r="I107" s="9">
        <f t="shared" si="10"/>
        <v>70</v>
      </c>
      <c r="J107" s="11">
        <f>SUMIFS('By structure'!$G$6:$G$701,'By structure'!$A$6:$A$701,A107,'By structure'!$C$6:$C$701,C107)</f>
        <v>34779224</v>
      </c>
      <c r="K107" s="9">
        <f>SUMIFS('By structure'!$H$6:$H$701,'By structure'!$A$6:$A$701,A107,'By structure'!$C$6:$C$701,C107)</f>
        <v>143</v>
      </c>
      <c r="L107" s="13">
        <f t="shared" si="11"/>
        <v>0</v>
      </c>
      <c r="M107" s="1" t="s">
        <v>110</v>
      </c>
      <c r="N107" s="1" t="s">
        <v>113</v>
      </c>
      <c r="O107" s="1" t="s">
        <v>114</v>
      </c>
      <c r="P107" s="15">
        <v>2684</v>
      </c>
    </row>
    <row r="108" spans="1:16" ht="22" customHeight="1" x14ac:dyDescent="0.35">
      <c r="A108" s="14">
        <v>2023</v>
      </c>
      <c r="B108" s="5" t="s">
        <v>82</v>
      </c>
      <c r="C108" s="6" t="s">
        <v>83</v>
      </c>
      <c r="D108" s="8">
        <v>25</v>
      </c>
      <c r="E108" s="8">
        <v>0</v>
      </c>
      <c r="F108" s="8">
        <v>0</v>
      </c>
      <c r="G108" s="8">
        <v>0</v>
      </c>
      <c r="H108" s="8">
        <f t="shared" si="9"/>
        <v>25</v>
      </c>
      <c r="I108" s="8">
        <f t="shared" si="10"/>
        <v>0</v>
      </c>
      <c r="J108" s="10">
        <f>SUMIFS('By structure'!$G$6:$G$701,'By structure'!$A$6:$A$701,A108,'By structure'!$C$6:$C$701,C108)</f>
        <v>3956100</v>
      </c>
      <c r="K108" s="8">
        <f>SUMIFS('By structure'!$H$6:$H$701,'By structure'!$A$6:$A$701,A108,'By structure'!$C$6:$C$701,C108)</f>
        <v>1</v>
      </c>
      <c r="L108" s="12">
        <f t="shared" si="11"/>
        <v>0.96</v>
      </c>
      <c r="M108" s="5" t="s">
        <v>110</v>
      </c>
      <c r="N108" s="5" t="s">
        <v>113</v>
      </c>
      <c r="O108" s="5" t="s">
        <v>114</v>
      </c>
      <c r="P108" s="14">
        <v>2685</v>
      </c>
    </row>
    <row r="109" spans="1:16" ht="22" customHeight="1" x14ac:dyDescent="0.35">
      <c r="A109" s="15">
        <v>2023</v>
      </c>
      <c r="B109" s="1" t="s">
        <v>84</v>
      </c>
      <c r="C109" s="7" t="s">
        <v>85</v>
      </c>
      <c r="D109" s="9">
        <v>53</v>
      </c>
      <c r="E109" s="9">
        <v>0</v>
      </c>
      <c r="F109" s="9">
        <v>0</v>
      </c>
      <c r="G109" s="9">
        <v>0</v>
      </c>
      <c r="H109" s="9">
        <f t="shared" si="9"/>
        <v>53</v>
      </c>
      <c r="I109" s="9">
        <f t="shared" si="10"/>
        <v>0</v>
      </c>
      <c r="J109" s="11">
        <f>SUMIFS('By structure'!$G$6:$G$701,'By structure'!$A$6:$A$701,A109,'By structure'!$C$6:$C$701,C109)</f>
        <v>22822120</v>
      </c>
      <c r="K109" s="9">
        <f>SUMIFS('By structure'!$H$6:$H$701,'By structure'!$A$6:$A$701,A109,'By structure'!$C$6:$C$701,C109)</f>
        <v>15</v>
      </c>
      <c r="L109" s="13">
        <f t="shared" si="11"/>
        <v>0.71698113207547165</v>
      </c>
      <c r="M109" s="1" t="s">
        <v>110</v>
      </c>
      <c r="N109" s="1" t="s">
        <v>113</v>
      </c>
      <c r="O109" s="1" t="s">
        <v>114</v>
      </c>
      <c r="P109" s="15">
        <v>2686</v>
      </c>
    </row>
    <row r="110" spans="1:16" ht="22" customHeight="1" x14ac:dyDescent="0.35">
      <c r="A110" s="14">
        <v>2023</v>
      </c>
      <c r="B110" s="5" t="s">
        <v>86</v>
      </c>
      <c r="C110" s="6" t="s">
        <v>87</v>
      </c>
      <c r="D110" s="8">
        <v>2572</v>
      </c>
      <c r="E110" s="8">
        <v>70</v>
      </c>
      <c r="F110" s="8">
        <v>236</v>
      </c>
      <c r="G110" s="8">
        <v>5437</v>
      </c>
      <c r="H110" s="8">
        <f t="shared" si="9"/>
        <v>8315</v>
      </c>
      <c r="I110" s="8">
        <f t="shared" si="10"/>
        <v>5743</v>
      </c>
      <c r="J110" s="10">
        <f>SUMIFS('By structure'!$G$6:$G$701,'By structure'!$A$6:$A$701,A110,'By structure'!$C$6:$C$701,C110)</f>
        <v>1969574680</v>
      </c>
      <c r="K110" s="8">
        <f>SUMIFS('By structure'!$H$6:$H$701,'By structure'!$A$6:$A$701,A110,'By structure'!$C$6:$C$701,C110)</f>
        <v>5358</v>
      </c>
      <c r="L110" s="12">
        <f t="shared" si="11"/>
        <v>0.35562236921226698</v>
      </c>
      <c r="M110" s="5" t="s">
        <v>110</v>
      </c>
      <c r="N110" s="5" t="s">
        <v>113</v>
      </c>
      <c r="O110" s="5" t="s">
        <v>114</v>
      </c>
      <c r="P110" s="14">
        <v>2687</v>
      </c>
    </row>
    <row r="111" spans="1:16" ht="22" customHeight="1" x14ac:dyDescent="0.35">
      <c r="A111" s="15">
        <v>2023</v>
      </c>
      <c r="B111" s="1" t="s">
        <v>88</v>
      </c>
      <c r="C111" s="7" t="s">
        <v>89</v>
      </c>
      <c r="D111" s="9">
        <v>65</v>
      </c>
      <c r="E111" s="9">
        <v>0</v>
      </c>
      <c r="F111" s="9">
        <v>0</v>
      </c>
      <c r="G111" s="9">
        <v>0</v>
      </c>
      <c r="H111" s="9">
        <f t="shared" si="9"/>
        <v>65</v>
      </c>
      <c r="I111" s="9">
        <f t="shared" si="10"/>
        <v>0</v>
      </c>
      <c r="J111" s="11">
        <f>SUMIFS('By structure'!$G$6:$G$701,'By structure'!$A$6:$A$701,A111,'By structure'!$C$6:$C$701,C111)</f>
        <v>22079241</v>
      </c>
      <c r="K111" s="9">
        <f>SUMIFS('By structure'!$H$6:$H$701,'By structure'!$A$6:$A$701,A111,'By structure'!$C$6:$C$701,C111)</f>
        <v>25</v>
      </c>
      <c r="L111" s="13">
        <f t="shared" si="11"/>
        <v>0.61538461538461542</v>
      </c>
      <c r="M111" s="1" t="s">
        <v>110</v>
      </c>
      <c r="N111" s="1" t="s">
        <v>113</v>
      </c>
      <c r="O111" s="1" t="s">
        <v>114</v>
      </c>
      <c r="P111" s="15">
        <v>2688</v>
      </c>
    </row>
    <row r="112" spans="1:16" ht="22" customHeight="1" x14ac:dyDescent="0.35">
      <c r="A112" s="14">
        <v>2023</v>
      </c>
      <c r="B112" s="5" t="s">
        <v>90</v>
      </c>
      <c r="C112" s="6" t="s">
        <v>91</v>
      </c>
      <c r="D112" s="8">
        <v>200</v>
      </c>
      <c r="E112" s="8">
        <v>26</v>
      </c>
      <c r="F112" s="8">
        <v>12</v>
      </c>
      <c r="G112" s="8">
        <v>0</v>
      </c>
      <c r="H112" s="8">
        <f t="shared" si="9"/>
        <v>238</v>
      </c>
      <c r="I112" s="8">
        <f t="shared" si="10"/>
        <v>38</v>
      </c>
      <c r="J112" s="10">
        <f>SUMIFS('By structure'!$G$6:$G$701,'By structure'!$A$6:$A$701,A112,'By structure'!$C$6:$C$701,C112)</f>
        <v>36225306</v>
      </c>
      <c r="K112" s="8">
        <f>SUMIFS('By structure'!$H$6:$H$701,'By structure'!$A$6:$A$701,A112,'By structure'!$C$6:$C$701,C112)</f>
        <v>238</v>
      </c>
      <c r="L112" s="12">
        <f t="shared" si="11"/>
        <v>0</v>
      </c>
      <c r="M112" s="5" t="s">
        <v>110</v>
      </c>
      <c r="N112" s="5" t="s">
        <v>113</v>
      </c>
      <c r="O112" s="5" t="s">
        <v>114</v>
      </c>
      <c r="P112" s="14">
        <v>2689</v>
      </c>
    </row>
    <row r="113" spans="1:16" ht="22" customHeight="1" x14ac:dyDescent="0.35">
      <c r="A113" s="15">
        <v>2023</v>
      </c>
      <c r="B113" s="1" t="s">
        <v>92</v>
      </c>
      <c r="C113" s="7" t="s">
        <v>93</v>
      </c>
      <c r="D113" s="9">
        <v>82</v>
      </c>
      <c r="E113" s="9">
        <v>10</v>
      </c>
      <c r="F113" s="9">
        <v>4</v>
      </c>
      <c r="G113" s="9">
        <v>44</v>
      </c>
      <c r="H113" s="9">
        <f t="shared" si="9"/>
        <v>140</v>
      </c>
      <c r="I113" s="9">
        <f t="shared" si="10"/>
        <v>58</v>
      </c>
      <c r="J113" s="11">
        <f>SUMIFS('By structure'!$G$6:$G$701,'By structure'!$A$6:$A$701,A113,'By structure'!$C$6:$C$701,C113)</f>
        <v>32795469</v>
      </c>
      <c r="K113" s="9">
        <f>SUMIFS('By structure'!$H$6:$H$701,'By structure'!$A$6:$A$701,A113,'By structure'!$C$6:$C$701,C113)</f>
        <v>140</v>
      </c>
      <c r="L113" s="13">
        <f t="shared" si="11"/>
        <v>0</v>
      </c>
      <c r="M113" s="1" t="s">
        <v>110</v>
      </c>
      <c r="N113" s="1" t="s">
        <v>113</v>
      </c>
      <c r="O113" s="1" t="s">
        <v>114</v>
      </c>
      <c r="P113" s="15">
        <v>2690</v>
      </c>
    </row>
    <row r="114" spans="1:16" ht="22" customHeight="1" x14ac:dyDescent="0.35">
      <c r="A114" s="14">
        <v>2023</v>
      </c>
      <c r="B114" s="5" t="s">
        <v>94</v>
      </c>
      <c r="C114" s="6" t="s">
        <v>95</v>
      </c>
      <c r="D114" s="8">
        <v>270</v>
      </c>
      <c r="E114" s="8">
        <v>2</v>
      </c>
      <c r="F114" s="8">
        <v>4</v>
      </c>
      <c r="G114" s="8">
        <v>57</v>
      </c>
      <c r="H114" s="8">
        <f t="shared" si="9"/>
        <v>333</v>
      </c>
      <c r="I114" s="8">
        <f t="shared" si="10"/>
        <v>63</v>
      </c>
      <c r="J114" s="10">
        <f>SUMIFS('By structure'!$G$6:$G$701,'By structure'!$A$6:$A$701,A114,'By structure'!$C$6:$C$701,C114)</f>
        <v>308502455</v>
      </c>
      <c r="K114" s="8">
        <f>SUMIFS('By structure'!$H$6:$H$701,'By structure'!$A$6:$A$701,A114,'By structure'!$C$6:$C$701,C114)</f>
        <v>333</v>
      </c>
      <c r="L114" s="12">
        <f t="shared" si="11"/>
        <v>0</v>
      </c>
      <c r="M114" s="5" t="s">
        <v>110</v>
      </c>
      <c r="N114" s="5" t="s">
        <v>113</v>
      </c>
      <c r="O114" s="5" t="s">
        <v>114</v>
      </c>
      <c r="P114" s="14">
        <v>2691</v>
      </c>
    </row>
    <row r="115" spans="1:16" ht="22" customHeight="1" x14ac:dyDescent="0.35">
      <c r="A115" s="15">
        <v>2023</v>
      </c>
      <c r="B115" s="1" t="s">
        <v>96</v>
      </c>
      <c r="C115" s="7" t="s">
        <v>97</v>
      </c>
      <c r="D115" s="9">
        <v>591</v>
      </c>
      <c r="E115" s="9">
        <v>26</v>
      </c>
      <c r="F115" s="9">
        <v>58</v>
      </c>
      <c r="G115" s="9">
        <v>245</v>
      </c>
      <c r="H115" s="9">
        <f t="shared" si="9"/>
        <v>920</v>
      </c>
      <c r="I115" s="9">
        <f t="shared" si="10"/>
        <v>329</v>
      </c>
      <c r="J115" s="11">
        <f>SUMIFS('By structure'!$G$6:$G$701,'By structure'!$A$6:$A$701,A115,'By structure'!$C$6:$C$701,C115)</f>
        <v>226051002</v>
      </c>
      <c r="K115" s="9">
        <f>SUMIFS('By structure'!$H$6:$H$701,'By structure'!$A$6:$A$701,A115,'By structure'!$C$6:$C$701,C115)</f>
        <v>920</v>
      </c>
      <c r="L115" s="13">
        <f t="shared" si="11"/>
        <v>0</v>
      </c>
      <c r="M115" s="1" t="s">
        <v>110</v>
      </c>
      <c r="N115" s="1" t="s">
        <v>113</v>
      </c>
      <c r="O115" s="1" t="s">
        <v>114</v>
      </c>
      <c r="P115" s="15">
        <v>2692</v>
      </c>
    </row>
    <row r="116" spans="1:16" ht="22" customHeight="1" x14ac:dyDescent="0.35">
      <c r="A116" s="14">
        <v>2023</v>
      </c>
      <c r="B116" s="5" t="s">
        <v>98</v>
      </c>
      <c r="C116" s="6" t="s">
        <v>99</v>
      </c>
      <c r="D116" s="8">
        <v>70</v>
      </c>
      <c r="E116" s="8">
        <v>8</v>
      </c>
      <c r="F116" s="8">
        <v>8</v>
      </c>
      <c r="G116" s="8">
        <v>0</v>
      </c>
      <c r="H116" s="8">
        <f t="shared" si="9"/>
        <v>86</v>
      </c>
      <c r="I116" s="8">
        <f t="shared" si="10"/>
        <v>16</v>
      </c>
      <c r="J116" s="10">
        <f>SUMIFS('By structure'!$G$6:$G$701,'By structure'!$A$6:$A$701,A116,'By structure'!$C$6:$C$701,C116)</f>
        <v>30476226</v>
      </c>
      <c r="K116" s="8">
        <f>SUMIFS('By structure'!$H$6:$H$701,'By structure'!$A$6:$A$701,A116,'By structure'!$C$6:$C$701,C116)</f>
        <v>86</v>
      </c>
      <c r="L116" s="12">
        <f t="shared" si="11"/>
        <v>0</v>
      </c>
      <c r="M116" s="5" t="s">
        <v>110</v>
      </c>
      <c r="N116" s="5" t="s">
        <v>113</v>
      </c>
      <c r="O116" s="5" t="s">
        <v>114</v>
      </c>
      <c r="P116" s="14">
        <v>2693</v>
      </c>
    </row>
    <row r="117" spans="1:16" ht="22" customHeight="1" x14ac:dyDescent="0.35">
      <c r="A117" s="15">
        <v>2023</v>
      </c>
      <c r="B117" s="1" t="s">
        <v>100</v>
      </c>
      <c r="C117" s="7" t="s">
        <v>101</v>
      </c>
      <c r="D117" s="9">
        <v>4575</v>
      </c>
      <c r="E117" s="9">
        <v>38</v>
      </c>
      <c r="F117" s="9">
        <v>108</v>
      </c>
      <c r="G117" s="9">
        <v>1315</v>
      </c>
      <c r="H117" s="9">
        <f t="shared" si="9"/>
        <v>6036</v>
      </c>
      <c r="I117" s="9">
        <f t="shared" si="10"/>
        <v>1461</v>
      </c>
      <c r="J117" s="11">
        <f>SUMIFS('By structure'!$G$6:$G$701,'By structure'!$A$6:$A$701,A117,'By structure'!$C$6:$C$701,C117)</f>
        <v>1771557277</v>
      </c>
      <c r="K117" s="9">
        <f>SUMIFS('By structure'!$H$6:$H$701,'By structure'!$A$6:$A$701,A117,'By structure'!$C$6:$C$701,C117)</f>
        <v>5988</v>
      </c>
      <c r="L117" s="13">
        <f t="shared" si="11"/>
        <v>7.9522862823061622E-3</v>
      </c>
      <c r="M117" s="1" t="s">
        <v>110</v>
      </c>
      <c r="N117" s="1" t="s">
        <v>113</v>
      </c>
      <c r="O117" s="1" t="s">
        <v>114</v>
      </c>
      <c r="P117" s="15">
        <v>2694</v>
      </c>
    </row>
    <row r="118" spans="1:16" ht="22" customHeight="1" x14ac:dyDescent="0.35">
      <c r="A118" s="14">
        <v>2023</v>
      </c>
      <c r="B118" s="5" t="s">
        <v>102</v>
      </c>
      <c r="C118" s="6" t="s">
        <v>103</v>
      </c>
      <c r="D118" s="8">
        <v>669</v>
      </c>
      <c r="E118" s="8">
        <v>6</v>
      </c>
      <c r="F118" s="8">
        <v>25</v>
      </c>
      <c r="G118" s="8">
        <v>0</v>
      </c>
      <c r="H118" s="8">
        <f t="shared" si="9"/>
        <v>700</v>
      </c>
      <c r="I118" s="8">
        <f t="shared" si="10"/>
        <v>31</v>
      </c>
      <c r="J118" s="10">
        <f>SUMIFS('By structure'!$G$6:$G$701,'By structure'!$A$6:$A$701,A118,'By structure'!$C$6:$C$701,C118)</f>
        <v>525638125</v>
      </c>
      <c r="K118" s="8">
        <f>SUMIFS('By structure'!$H$6:$H$701,'By structure'!$A$6:$A$701,A118,'By structure'!$C$6:$C$701,C118)</f>
        <v>700</v>
      </c>
      <c r="L118" s="12">
        <f t="shared" si="11"/>
        <v>0</v>
      </c>
      <c r="M118" s="5" t="s">
        <v>110</v>
      </c>
      <c r="N118" s="5" t="s">
        <v>113</v>
      </c>
      <c r="O118" s="5" t="s">
        <v>114</v>
      </c>
      <c r="P118" s="14">
        <v>2695</v>
      </c>
    </row>
    <row r="119" spans="1:16" ht="22" customHeight="1" x14ac:dyDescent="0.35">
      <c r="A119" s="15">
        <v>2023</v>
      </c>
      <c r="B119" s="1" t="s">
        <v>104</v>
      </c>
      <c r="C119" s="7" t="s">
        <v>105</v>
      </c>
      <c r="D119" s="9">
        <v>2134</v>
      </c>
      <c r="E119" s="9">
        <v>10</v>
      </c>
      <c r="F119" s="9">
        <v>38</v>
      </c>
      <c r="G119" s="9">
        <v>638</v>
      </c>
      <c r="H119" s="9">
        <f t="shared" si="9"/>
        <v>2820</v>
      </c>
      <c r="I119" s="9">
        <f t="shared" si="10"/>
        <v>686</v>
      </c>
      <c r="J119" s="11">
        <f>SUMIFS('By structure'!$G$6:$G$701,'By structure'!$A$6:$A$701,A119,'By structure'!$C$6:$C$701,C119)</f>
        <v>542244248</v>
      </c>
      <c r="K119" s="9">
        <f>SUMIFS('By structure'!$H$6:$H$701,'By structure'!$A$6:$A$701,A119,'By structure'!$C$6:$C$701,C119)</f>
        <v>2791</v>
      </c>
      <c r="L119" s="13">
        <f t="shared" si="11"/>
        <v>1.0283687943262411E-2</v>
      </c>
      <c r="M119" s="1" t="s">
        <v>110</v>
      </c>
      <c r="N119" s="1" t="s">
        <v>113</v>
      </c>
      <c r="O119" s="1" t="s">
        <v>114</v>
      </c>
      <c r="P119" s="15">
        <v>2696</v>
      </c>
    </row>
    <row r="120" spans="1:16" ht="22" customHeight="1" x14ac:dyDescent="0.35">
      <c r="A120" s="14">
        <v>2023</v>
      </c>
      <c r="B120" s="5" t="s">
        <v>106</v>
      </c>
      <c r="C120" s="6" t="s">
        <v>107</v>
      </c>
      <c r="D120" s="8">
        <v>20</v>
      </c>
      <c r="E120" s="8">
        <v>0</v>
      </c>
      <c r="F120" s="8">
        <v>0</v>
      </c>
      <c r="G120" s="8">
        <v>0</v>
      </c>
      <c r="H120" s="8">
        <f t="shared" si="9"/>
        <v>20</v>
      </c>
      <c r="I120" s="8">
        <f t="shared" si="10"/>
        <v>0</v>
      </c>
      <c r="J120" s="10">
        <f>SUMIFS('By structure'!$G$6:$G$701,'By structure'!$A$6:$A$701,A120,'By structure'!$C$6:$C$701,C120)</f>
        <v>6920969</v>
      </c>
      <c r="K120" s="8">
        <f>SUMIFS('By structure'!$H$6:$H$701,'By structure'!$A$6:$A$701,A120,'By structure'!$C$6:$C$701,C120)</f>
        <v>20</v>
      </c>
      <c r="L120" s="12">
        <f t="shared" si="11"/>
        <v>0</v>
      </c>
      <c r="M120" s="5" t="s">
        <v>110</v>
      </c>
      <c r="N120" s="5" t="s">
        <v>113</v>
      </c>
      <c r="O120" s="5" t="s">
        <v>114</v>
      </c>
      <c r="P120" s="14">
        <v>2697</v>
      </c>
    </row>
    <row r="121" spans="1:16" ht="22" customHeight="1" x14ac:dyDescent="0.35">
      <c r="A121" s="15">
        <v>2023</v>
      </c>
      <c r="B121" s="1" t="s">
        <v>108</v>
      </c>
      <c r="C121" s="7" t="s">
        <v>109</v>
      </c>
      <c r="D121" s="9">
        <v>876</v>
      </c>
      <c r="E121" s="9">
        <v>2</v>
      </c>
      <c r="F121" s="9">
        <v>80</v>
      </c>
      <c r="G121" s="9">
        <v>482</v>
      </c>
      <c r="H121" s="9">
        <f t="shared" si="9"/>
        <v>1440</v>
      </c>
      <c r="I121" s="9">
        <f t="shared" si="10"/>
        <v>564</v>
      </c>
      <c r="J121" s="11">
        <f>SUMIFS('By structure'!$G$6:$G$701,'By structure'!$A$6:$A$701,A121,'By structure'!$C$6:$C$701,C121)</f>
        <v>361975364</v>
      </c>
      <c r="K121" s="9">
        <f>SUMIFS('By structure'!$H$6:$H$701,'By structure'!$A$6:$A$701,A121,'By structure'!$C$6:$C$701,C121)</f>
        <v>513</v>
      </c>
      <c r="L121" s="13">
        <f t="shared" si="11"/>
        <v>0.64375000000000004</v>
      </c>
      <c r="M121" s="1" t="s">
        <v>110</v>
      </c>
      <c r="N121" s="1" t="s">
        <v>113</v>
      </c>
      <c r="O121" s="1" t="s">
        <v>114</v>
      </c>
      <c r="P121" s="15">
        <v>2698</v>
      </c>
    </row>
    <row r="122" spans="1:16" ht="22" customHeight="1" x14ac:dyDescent="0.35">
      <c r="A122" s="14">
        <v>2024</v>
      </c>
      <c r="B122" s="5" t="s">
        <v>49</v>
      </c>
      <c r="C122" s="6" t="s">
        <v>50</v>
      </c>
      <c r="D122" s="8">
        <v>39</v>
      </c>
      <c r="E122" s="8">
        <v>0</v>
      </c>
      <c r="F122" s="8">
        <v>0</v>
      </c>
      <c r="G122" s="8">
        <v>0</v>
      </c>
      <c r="H122" s="8">
        <f t="shared" si="9"/>
        <v>39</v>
      </c>
      <c r="I122" s="8">
        <f t="shared" si="10"/>
        <v>0</v>
      </c>
      <c r="J122" s="10">
        <f>SUMIFS('By structure'!$G$6:$G$701,'By structure'!$A$6:$A$701,A122,'By structure'!$C$6:$C$701,C122)</f>
        <v>14086117</v>
      </c>
      <c r="K122" s="8">
        <f>SUMIFS('By structure'!$H$6:$H$701,'By structure'!$A$6:$A$701,A122,'By structure'!$C$6:$C$701,C122)</f>
        <v>39</v>
      </c>
      <c r="L122" s="12">
        <f t="shared" si="11"/>
        <v>0</v>
      </c>
      <c r="M122" s="5" t="s">
        <v>110</v>
      </c>
      <c r="N122" s="5" t="s">
        <v>113</v>
      </c>
      <c r="O122" s="5" t="s">
        <v>115</v>
      </c>
      <c r="P122" s="14">
        <v>2669</v>
      </c>
    </row>
    <row r="123" spans="1:16" ht="22" customHeight="1" x14ac:dyDescent="0.35">
      <c r="A123" s="15">
        <v>2024</v>
      </c>
      <c r="B123" s="1" t="s">
        <v>54</v>
      </c>
      <c r="C123" s="7" t="s">
        <v>55</v>
      </c>
      <c r="D123" s="9">
        <v>397</v>
      </c>
      <c r="E123" s="9">
        <v>0</v>
      </c>
      <c r="F123" s="9">
        <v>8</v>
      </c>
      <c r="G123" s="9">
        <v>74</v>
      </c>
      <c r="H123" s="9">
        <f t="shared" si="9"/>
        <v>479</v>
      </c>
      <c r="I123" s="9">
        <f t="shared" si="10"/>
        <v>82</v>
      </c>
      <c r="J123" s="11">
        <f>SUMIFS('By structure'!$G$6:$G$701,'By structure'!$A$6:$A$701,A123,'By structure'!$C$6:$C$701,C123)</f>
        <v>140592132</v>
      </c>
      <c r="K123" s="9">
        <f>SUMIFS('By structure'!$H$6:$H$701,'By structure'!$A$6:$A$701,A123,'By structure'!$C$6:$C$701,C123)</f>
        <v>429</v>
      </c>
      <c r="L123" s="13">
        <f t="shared" si="11"/>
        <v>0.10438413361169102</v>
      </c>
      <c r="M123" s="1" t="s">
        <v>110</v>
      </c>
      <c r="N123" s="1" t="s">
        <v>113</v>
      </c>
      <c r="O123" s="1" t="s">
        <v>115</v>
      </c>
      <c r="P123" s="15">
        <v>2670</v>
      </c>
    </row>
    <row r="124" spans="1:16" ht="22" customHeight="1" x14ac:dyDescent="0.35">
      <c r="A124" s="14">
        <v>2024</v>
      </c>
      <c r="B124" s="5" t="s">
        <v>56</v>
      </c>
      <c r="C124" s="6" t="s">
        <v>57</v>
      </c>
      <c r="D124" s="8">
        <v>871</v>
      </c>
      <c r="E124" s="8">
        <v>4</v>
      </c>
      <c r="F124" s="8">
        <v>0</v>
      </c>
      <c r="G124" s="8">
        <v>146</v>
      </c>
      <c r="H124" s="8">
        <f t="shared" si="9"/>
        <v>1021</v>
      </c>
      <c r="I124" s="8">
        <f t="shared" si="10"/>
        <v>150</v>
      </c>
      <c r="J124" s="10">
        <f>SUMIFS('By structure'!$G$6:$G$701,'By structure'!$A$6:$A$701,A124,'By structure'!$C$6:$C$701,C124)</f>
        <v>344154492</v>
      </c>
      <c r="K124" s="8">
        <f>SUMIFS('By structure'!$H$6:$H$701,'By structure'!$A$6:$A$701,A124,'By structure'!$C$6:$C$701,C124)</f>
        <v>1021</v>
      </c>
      <c r="L124" s="12">
        <f t="shared" si="11"/>
        <v>0</v>
      </c>
      <c r="M124" s="5" t="s">
        <v>110</v>
      </c>
      <c r="N124" s="5" t="s">
        <v>113</v>
      </c>
      <c r="O124" s="5" t="s">
        <v>115</v>
      </c>
      <c r="P124" s="14">
        <v>2671</v>
      </c>
    </row>
    <row r="125" spans="1:16" ht="22" customHeight="1" x14ac:dyDescent="0.35">
      <c r="A125" s="15">
        <v>2024</v>
      </c>
      <c r="B125" s="1" t="s">
        <v>58</v>
      </c>
      <c r="C125" s="7" t="s">
        <v>59</v>
      </c>
      <c r="D125" s="9">
        <v>28</v>
      </c>
      <c r="E125" s="9">
        <v>0</v>
      </c>
      <c r="F125" s="9">
        <v>0</v>
      </c>
      <c r="G125" s="9">
        <v>168</v>
      </c>
      <c r="H125" s="9">
        <f t="shared" si="9"/>
        <v>196</v>
      </c>
      <c r="I125" s="9">
        <f t="shared" si="10"/>
        <v>168</v>
      </c>
      <c r="J125" s="11">
        <f>SUMIFS('By structure'!$G$6:$G$701,'By structure'!$A$6:$A$701,A125,'By structure'!$C$6:$C$701,C125)</f>
        <v>39741904</v>
      </c>
      <c r="K125" s="9">
        <f>SUMIFS('By structure'!$H$6:$H$701,'By structure'!$A$6:$A$701,A125,'By structure'!$C$6:$C$701,C125)</f>
        <v>196</v>
      </c>
      <c r="L125" s="13">
        <f t="shared" si="11"/>
        <v>0</v>
      </c>
      <c r="M125" s="1" t="s">
        <v>110</v>
      </c>
      <c r="N125" s="1" t="s">
        <v>113</v>
      </c>
      <c r="O125" s="1" t="s">
        <v>115</v>
      </c>
      <c r="P125" s="15">
        <v>2672</v>
      </c>
    </row>
    <row r="126" spans="1:16" ht="22" customHeight="1" x14ac:dyDescent="0.35">
      <c r="A126" s="14">
        <v>2024</v>
      </c>
      <c r="B126" s="5" t="s">
        <v>60</v>
      </c>
      <c r="C126" s="6" t="s">
        <v>61</v>
      </c>
      <c r="D126" s="8">
        <v>10</v>
      </c>
      <c r="E126" s="8">
        <v>0</v>
      </c>
      <c r="F126" s="8">
        <v>0</v>
      </c>
      <c r="G126" s="8">
        <v>0</v>
      </c>
      <c r="H126" s="8">
        <f t="shared" si="9"/>
        <v>10</v>
      </c>
      <c r="I126" s="8">
        <f t="shared" si="10"/>
        <v>0</v>
      </c>
      <c r="J126" s="10">
        <f>SUMIFS('By structure'!$G$6:$G$701,'By structure'!$A$6:$A$701,A126,'By structure'!$C$6:$C$701,C126)</f>
        <v>3566205</v>
      </c>
      <c r="K126" s="8">
        <f>SUMIFS('By structure'!$H$6:$H$701,'By structure'!$A$6:$A$701,A126,'By structure'!$C$6:$C$701,C126)</f>
        <v>10</v>
      </c>
      <c r="L126" s="12">
        <f t="shared" si="11"/>
        <v>0</v>
      </c>
      <c r="M126" s="5" t="s">
        <v>110</v>
      </c>
      <c r="N126" s="5" t="s">
        <v>113</v>
      </c>
      <c r="O126" s="5" t="s">
        <v>115</v>
      </c>
      <c r="P126" s="14">
        <v>2673</v>
      </c>
    </row>
    <row r="127" spans="1:16" ht="22" customHeight="1" x14ac:dyDescent="0.35">
      <c r="A127" s="15">
        <v>2024</v>
      </c>
      <c r="B127" s="1" t="s">
        <v>62</v>
      </c>
      <c r="C127" s="7" t="s">
        <v>63</v>
      </c>
      <c r="D127" s="9">
        <v>920</v>
      </c>
      <c r="E127" s="9">
        <v>2</v>
      </c>
      <c r="F127" s="9">
        <v>38</v>
      </c>
      <c r="G127" s="9">
        <v>508</v>
      </c>
      <c r="H127" s="9">
        <f t="shared" si="9"/>
        <v>1468</v>
      </c>
      <c r="I127" s="9">
        <f t="shared" si="10"/>
        <v>548</v>
      </c>
      <c r="J127" s="11">
        <f>SUMIFS('By structure'!$G$6:$G$701,'By structure'!$A$6:$A$701,A127,'By structure'!$C$6:$C$701,C127)</f>
        <v>423279162</v>
      </c>
      <c r="K127" s="9">
        <f>SUMIFS('By structure'!$H$6:$H$701,'By structure'!$A$6:$A$701,A127,'By structure'!$C$6:$C$701,C127)</f>
        <v>1468</v>
      </c>
      <c r="L127" s="13">
        <f t="shared" si="11"/>
        <v>0</v>
      </c>
      <c r="M127" s="1" t="s">
        <v>110</v>
      </c>
      <c r="N127" s="1" t="s">
        <v>113</v>
      </c>
      <c r="O127" s="1" t="s">
        <v>115</v>
      </c>
      <c r="P127" s="15">
        <v>2674</v>
      </c>
    </row>
    <row r="128" spans="1:16" ht="22" customHeight="1" x14ac:dyDescent="0.35">
      <c r="A128" s="14">
        <v>2024</v>
      </c>
      <c r="B128" s="5" t="s">
        <v>64</v>
      </c>
      <c r="C128" s="6" t="s">
        <v>65</v>
      </c>
      <c r="D128" s="8">
        <v>123</v>
      </c>
      <c r="E128" s="8">
        <v>0</v>
      </c>
      <c r="F128" s="8">
        <v>0</v>
      </c>
      <c r="G128" s="8">
        <v>0</v>
      </c>
      <c r="H128" s="8">
        <f t="shared" si="9"/>
        <v>123</v>
      </c>
      <c r="I128" s="8">
        <f t="shared" si="10"/>
        <v>0</v>
      </c>
      <c r="J128" s="10">
        <f>SUMIFS('By structure'!$G$6:$G$701,'By structure'!$A$6:$A$701,A128,'By structure'!$C$6:$C$701,C128)</f>
        <v>41080142</v>
      </c>
      <c r="K128" s="8">
        <f>SUMIFS('By structure'!$H$6:$H$701,'By structure'!$A$6:$A$701,A128,'By structure'!$C$6:$C$701,C128)</f>
        <v>70</v>
      </c>
      <c r="L128" s="12">
        <f t="shared" si="11"/>
        <v>0.43089430894308944</v>
      </c>
      <c r="M128" s="5" t="s">
        <v>110</v>
      </c>
      <c r="N128" s="5" t="s">
        <v>113</v>
      </c>
      <c r="O128" s="5" t="s">
        <v>115</v>
      </c>
      <c r="P128" s="14">
        <v>2675</v>
      </c>
    </row>
    <row r="129" spans="1:16" ht="22" customHeight="1" x14ac:dyDescent="0.35">
      <c r="A129" s="15">
        <v>2024</v>
      </c>
      <c r="B129" s="1" t="s">
        <v>66</v>
      </c>
      <c r="C129" s="7" t="s">
        <v>67</v>
      </c>
      <c r="D129" s="9">
        <v>55</v>
      </c>
      <c r="E129" s="9">
        <v>0</v>
      </c>
      <c r="F129" s="9">
        <v>0</v>
      </c>
      <c r="G129" s="9">
        <v>0</v>
      </c>
      <c r="H129" s="9">
        <f t="shared" si="9"/>
        <v>55</v>
      </c>
      <c r="I129" s="9">
        <f t="shared" si="10"/>
        <v>0</v>
      </c>
      <c r="J129" s="11">
        <f>SUMIFS('By structure'!$G$6:$G$701,'By structure'!$A$6:$A$701,A129,'By structure'!$C$6:$C$701,C129)</f>
        <v>6092325</v>
      </c>
      <c r="K129" s="9">
        <f>SUMIFS('By structure'!$H$6:$H$701,'By structure'!$A$6:$A$701,A129,'By structure'!$C$6:$C$701,C129)</f>
        <v>55</v>
      </c>
      <c r="L129" s="13">
        <f t="shared" si="11"/>
        <v>0</v>
      </c>
      <c r="M129" s="1" t="s">
        <v>110</v>
      </c>
      <c r="N129" s="1" t="s">
        <v>113</v>
      </c>
      <c r="O129" s="1" t="s">
        <v>115</v>
      </c>
      <c r="P129" s="15">
        <v>2676</v>
      </c>
    </row>
    <row r="130" spans="1:16" ht="22" customHeight="1" x14ac:dyDescent="0.35">
      <c r="A130" s="14">
        <v>2024</v>
      </c>
      <c r="B130" s="5" t="s">
        <v>68</v>
      </c>
      <c r="C130" s="6" t="s">
        <v>69</v>
      </c>
      <c r="D130" s="8">
        <v>57</v>
      </c>
      <c r="E130" s="8">
        <v>0</v>
      </c>
      <c r="F130" s="8">
        <v>0</v>
      </c>
      <c r="G130" s="8">
        <v>0</v>
      </c>
      <c r="H130" s="8">
        <f t="shared" si="9"/>
        <v>57</v>
      </c>
      <c r="I130" s="8">
        <f t="shared" si="10"/>
        <v>0</v>
      </c>
      <c r="J130" s="10">
        <f>SUMIFS('By structure'!$G$6:$G$701,'By structure'!$A$6:$A$701,A130,'By structure'!$C$6:$C$701,C130)</f>
        <v>17217025</v>
      </c>
      <c r="K130" s="8">
        <f>SUMIFS('By structure'!$H$6:$H$701,'By structure'!$A$6:$A$701,A130,'By structure'!$C$6:$C$701,C130)</f>
        <v>57</v>
      </c>
      <c r="L130" s="12">
        <f t="shared" si="11"/>
        <v>0</v>
      </c>
      <c r="M130" s="5" t="s">
        <v>110</v>
      </c>
      <c r="N130" s="5" t="s">
        <v>113</v>
      </c>
      <c r="O130" s="5" t="s">
        <v>115</v>
      </c>
      <c r="P130" s="14">
        <v>2677</v>
      </c>
    </row>
    <row r="131" spans="1:16" ht="22" customHeight="1" x14ac:dyDescent="0.35">
      <c r="A131" s="15">
        <v>2024</v>
      </c>
      <c r="B131" s="1" t="s">
        <v>70</v>
      </c>
      <c r="C131" s="7" t="s">
        <v>71</v>
      </c>
      <c r="D131" s="9">
        <v>120</v>
      </c>
      <c r="E131" s="9">
        <v>18</v>
      </c>
      <c r="F131" s="9">
        <v>0</v>
      </c>
      <c r="G131" s="9">
        <v>100</v>
      </c>
      <c r="H131" s="9">
        <f t="shared" si="9"/>
        <v>238</v>
      </c>
      <c r="I131" s="9">
        <f t="shared" si="10"/>
        <v>118</v>
      </c>
      <c r="J131" s="11">
        <f>SUMIFS('By structure'!$G$6:$G$701,'By structure'!$A$6:$A$701,A131,'By structure'!$C$6:$C$701,C131)</f>
        <v>41784486</v>
      </c>
      <c r="K131" s="9">
        <f>SUMIFS('By structure'!$H$6:$H$701,'By structure'!$A$6:$A$701,A131,'By structure'!$C$6:$C$701,C131)</f>
        <v>238</v>
      </c>
      <c r="L131" s="13">
        <f t="shared" si="11"/>
        <v>0</v>
      </c>
      <c r="M131" s="1" t="s">
        <v>110</v>
      </c>
      <c r="N131" s="1" t="s">
        <v>113</v>
      </c>
      <c r="O131" s="1" t="s">
        <v>115</v>
      </c>
      <c r="P131" s="15">
        <v>2678</v>
      </c>
    </row>
    <row r="132" spans="1:16" ht="22" customHeight="1" x14ac:dyDescent="0.35">
      <c r="A132" s="14">
        <v>2024</v>
      </c>
      <c r="B132" s="5" t="s">
        <v>72</v>
      </c>
      <c r="C132" s="6" t="s">
        <v>73</v>
      </c>
      <c r="D132" s="8">
        <v>655</v>
      </c>
      <c r="E132" s="8">
        <v>0</v>
      </c>
      <c r="F132" s="8">
        <v>0</v>
      </c>
      <c r="G132" s="8">
        <v>0</v>
      </c>
      <c r="H132" s="8">
        <f t="shared" si="9"/>
        <v>655</v>
      </c>
      <c r="I132" s="8">
        <f t="shared" si="10"/>
        <v>0</v>
      </c>
      <c r="J132" s="10">
        <f>SUMIFS('By structure'!$G$6:$G$701,'By structure'!$A$6:$A$701,A132,'By structure'!$C$6:$C$701,C132)</f>
        <v>202538802</v>
      </c>
      <c r="K132" s="8">
        <f>SUMIFS('By structure'!$H$6:$H$701,'By structure'!$A$6:$A$701,A132,'By structure'!$C$6:$C$701,C132)</f>
        <v>655</v>
      </c>
      <c r="L132" s="12">
        <f t="shared" si="11"/>
        <v>0</v>
      </c>
      <c r="M132" s="5" t="s">
        <v>110</v>
      </c>
      <c r="N132" s="5" t="s">
        <v>113</v>
      </c>
      <c r="O132" s="5" t="s">
        <v>115</v>
      </c>
      <c r="P132" s="14">
        <v>2679</v>
      </c>
    </row>
    <row r="133" spans="1:16" ht="22" customHeight="1" x14ac:dyDescent="0.35">
      <c r="A133" s="15">
        <v>2024</v>
      </c>
      <c r="B133" s="1" t="s">
        <v>74</v>
      </c>
      <c r="C133" s="7" t="s">
        <v>75</v>
      </c>
      <c r="D133" s="9">
        <v>72</v>
      </c>
      <c r="E133" s="9">
        <v>6</v>
      </c>
      <c r="F133" s="9">
        <v>22</v>
      </c>
      <c r="G133" s="9">
        <v>7</v>
      </c>
      <c r="H133" s="9">
        <f t="shared" si="9"/>
        <v>107</v>
      </c>
      <c r="I133" s="9">
        <f t="shared" si="10"/>
        <v>35</v>
      </c>
      <c r="J133" s="11">
        <f>SUMIFS('By structure'!$G$6:$G$701,'By structure'!$A$6:$A$701,A133,'By structure'!$C$6:$C$701,C133)</f>
        <v>35437625</v>
      </c>
      <c r="K133" s="9">
        <f>SUMIFS('By structure'!$H$6:$H$701,'By structure'!$A$6:$A$701,A133,'By structure'!$C$6:$C$701,C133)</f>
        <v>107</v>
      </c>
      <c r="L133" s="13">
        <f t="shared" si="11"/>
        <v>0</v>
      </c>
      <c r="M133" s="1" t="s">
        <v>110</v>
      </c>
      <c r="N133" s="1" t="s">
        <v>113</v>
      </c>
      <c r="O133" s="1" t="s">
        <v>115</v>
      </c>
      <c r="P133" s="15">
        <v>2680</v>
      </c>
    </row>
    <row r="134" spans="1:16" ht="22" customHeight="1" x14ac:dyDescent="0.35">
      <c r="A134" s="14">
        <v>2024</v>
      </c>
      <c r="B134" s="5" t="s">
        <v>76</v>
      </c>
      <c r="C134" s="6" t="s">
        <v>77</v>
      </c>
      <c r="D134" s="8">
        <v>196</v>
      </c>
      <c r="E134" s="8">
        <v>2</v>
      </c>
      <c r="F134" s="8">
        <v>4</v>
      </c>
      <c r="G134" s="8">
        <v>0</v>
      </c>
      <c r="H134" s="8">
        <f t="shared" ref="H134:H165" si="12">SUM(D134:G134)</f>
        <v>202</v>
      </c>
      <c r="I134" s="8">
        <f t="shared" ref="I134:I165" si="13">SUM(E134:G134)</f>
        <v>6</v>
      </c>
      <c r="J134" s="10">
        <f>SUMIFS('By structure'!$G$6:$G$701,'By structure'!$A$6:$A$701,A134,'By structure'!$C$6:$C$701,C134)</f>
        <v>71005717</v>
      </c>
      <c r="K134" s="8">
        <f>SUMIFS('By structure'!$H$6:$H$701,'By structure'!$A$6:$A$701,A134,'By structure'!$C$6:$C$701,C134)</f>
        <v>171</v>
      </c>
      <c r="L134" s="12">
        <f t="shared" ref="L134:L165" si="14">IF(H134=0,"",(H134-K134)/H134)</f>
        <v>0.15346534653465346</v>
      </c>
      <c r="M134" s="5" t="s">
        <v>110</v>
      </c>
      <c r="N134" s="5" t="s">
        <v>113</v>
      </c>
      <c r="O134" s="5" t="s">
        <v>115</v>
      </c>
      <c r="P134" s="14">
        <v>2681</v>
      </c>
    </row>
    <row r="135" spans="1:16" ht="22" customHeight="1" x14ac:dyDescent="0.35">
      <c r="A135" s="15">
        <v>2024</v>
      </c>
      <c r="B135" s="1" t="s">
        <v>78</v>
      </c>
      <c r="C135" s="7" t="s">
        <v>79</v>
      </c>
      <c r="D135" s="9">
        <v>76</v>
      </c>
      <c r="E135" s="9">
        <v>2</v>
      </c>
      <c r="F135" s="9">
        <v>15</v>
      </c>
      <c r="G135" s="9">
        <v>0</v>
      </c>
      <c r="H135" s="9">
        <f t="shared" si="12"/>
        <v>93</v>
      </c>
      <c r="I135" s="9">
        <f t="shared" si="13"/>
        <v>17</v>
      </c>
      <c r="J135" s="11">
        <f>SUMIFS('By structure'!$G$6:$G$701,'By structure'!$A$6:$A$701,A135,'By structure'!$C$6:$C$701,C135)</f>
        <v>18437512</v>
      </c>
      <c r="K135" s="9">
        <f>SUMIFS('By structure'!$H$6:$H$701,'By structure'!$A$6:$A$701,A135,'By structure'!$C$6:$C$701,C135)</f>
        <v>91</v>
      </c>
      <c r="L135" s="13">
        <f t="shared" si="14"/>
        <v>2.1505376344086023E-2</v>
      </c>
      <c r="M135" s="1" t="s">
        <v>110</v>
      </c>
      <c r="N135" s="1" t="s">
        <v>113</v>
      </c>
      <c r="O135" s="1" t="s">
        <v>115</v>
      </c>
      <c r="P135" s="15">
        <v>2682</v>
      </c>
    </row>
    <row r="136" spans="1:16" ht="22" customHeight="1" x14ac:dyDescent="0.35">
      <c r="A136" s="14">
        <v>2024</v>
      </c>
      <c r="B136" s="5" t="s">
        <v>80</v>
      </c>
      <c r="C136" s="6" t="s">
        <v>81</v>
      </c>
      <c r="D136" s="8">
        <v>132</v>
      </c>
      <c r="E136" s="8">
        <v>16</v>
      </c>
      <c r="F136" s="8">
        <v>19</v>
      </c>
      <c r="G136" s="8">
        <v>29</v>
      </c>
      <c r="H136" s="8">
        <f t="shared" si="12"/>
        <v>196</v>
      </c>
      <c r="I136" s="8">
        <f t="shared" si="13"/>
        <v>64</v>
      </c>
      <c r="J136" s="10">
        <f>SUMIFS('By structure'!$G$6:$G$701,'By structure'!$A$6:$A$701,A136,'By structure'!$C$6:$C$701,C136)</f>
        <v>71782319</v>
      </c>
      <c r="K136" s="8">
        <f>SUMIFS('By structure'!$H$6:$H$701,'By structure'!$A$6:$A$701,A136,'By structure'!$C$6:$C$701,C136)</f>
        <v>196</v>
      </c>
      <c r="L136" s="12">
        <f t="shared" si="14"/>
        <v>0</v>
      </c>
      <c r="M136" s="5" t="s">
        <v>110</v>
      </c>
      <c r="N136" s="5" t="s">
        <v>113</v>
      </c>
      <c r="O136" s="5" t="s">
        <v>115</v>
      </c>
      <c r="P136" s="14">
        <v>2683</v>
      </c>
    </row>
    <row r="137" spans="1:16" ht="22" customHeight="1" x14ac:dyDescent="0.35">
      <c r="A137" s="15">
        <v>2024</v>
      </c>
      <c r="B137" s="1" t="s">
        <v>82</v>
      </c>
      <c r="C137" s="7" t="s">
        <v>83</v>
      </c>
      <c r="D137" s="9">
        <v>25</v>
      </c>
      <c r="E137" s="9">
        <v>0</v>
      </c>
      <c r="F137" s="9">
        <v>0</v>
      </c>
      <c r="G137" s="9">
        <v>0</v>
      </c>
      <c r="H137" s="9">
        <f t="shared" si="12"/>
        <v>25</v>
      </c>
      <c r="I137" s="9">
        <f t="shared" si="13"/>
        <v>0</v>
      </c>
      <c r="J137" s="11">
        <f>SUMIFS('By structure'!$G$6:$G$701,'By structure'!$A$6:$A$701,A137,'By structure'!$C$6:$C$701,C137)</f>
        <v>3847375</v>
      </c>
      <c r="K137" s="9">
        <f>SUMIFS('By structure'!$H$6:$H$701,'By structure'!$A$6:$A$701,A137,'By structure'!$C$6:$C$701,C137)</f>
        <v>1</v>
      </c>
      <c r="L137" s="13">
        <f t="shared" si="14"/>
        <v>0.96</v>
      </c>
      <c r="M137" s="1" t="s">
        <v>110</v>
      </c>
      <c r="N137" s="1" t="s">
        <v>113</v>
      </c>
      <c r="O137" s="1" t="s">
        <v>115</v>
      </c>
      <c r="P137" s="15">
        <v>2684</v>
      </c>
    </row>
    <row r="138" spans="1:16" ht="22" customHeight="1" x14ac:dyDescent="0.35">
      <c r="A138" s="14">
        <v>2024</v>
      </c>
      <c r="B138" s="5" t="s">
        <v>84</v>
      </c>
      <c r="C138" s="6" t="s">
        <v>85</v>
      </c>
      <c r="D138" s="8">
        <v>72</v>
      </c>
      <c r="E138" s="8">
        <v>2</v>
      </c>
      <c r="F138" s="8">
        <v>4</v>
      </c>
      <c r="G138" s="8">
        <v>19</v>
      </c>
      <c r="H138" s="8">
        <f t="shared" si="12"/>
        <v>97</v>
      </c>
      <c r="I138" s="8">
        <f t="shared" si="13"/>
        <v>25</v>
      </c>
      <c r="J138" s="10">
        <f>SUMIFS('By structure'!$G$6:$G$701,'By structure'!$A$6:$A$701,A138,'By structure'!$C$6:$C$701,C138)</f>
        <v>48118316</v>
      </c>
      <c r="K138" s="8">
        <f>SUMIFS('By structure'!$H$6:$H$701,'By structure'!$A$6:$A$701,A138,'By structure'!$C$6:$C$701,C138)</f>
        <v>54</v>
      </c>
      <c r="L138" s="12">
        <f t="shared" si="14"/>
        <v>0.44329896907216493</v>
      </c>
      <c r="M138" s="5" t="s">
        <v>110</v>
      </c>
      <c r="N138" s="5" t="s">
        <v>113</v>
      </c>
      <c r="O138" s="5" t="s">
        <v>115</v>
      </c>
      <c r="P138" s="14">
        <v>2685</v>
      </c>
    </row>
    <row r="139" spans="1:16" ht="22" customHeight="1" x14ac:dyDescent="0.35">
      <c r="A139" s="15">
        <v>2024</v>
      </c>
      <c r="B139" s="1" t="s">
        <v>86</v>
      </c>
      <c r="C139" s="7" t="s">
        <v>87</v>
      </c>
      <c r="D139" s="9">
        <v>2848</v>
      </c>
      <c r="E139" s="9">
        <v>30</v>
      </c>
      <c r="F139" s="9">
        <v>93</v>
      </c>
      <c r="G139" s="9">
        <v>1579</v>
      </c>
      <c r="H139" s="9">
        <f t="shared" si="12"/>
        <v>4550</v>
      </c>
      <c r="I139" s="9">
        <f t="shared" si="13"/>
        <v>1702</v>
      </c>
      <c r="J139" s="11">
        <f>SUMIFS('By structure'!$G$6:$G$701,'By structure'!$A$6:$A$701,A139,'By structure'!$C$6:$C$701,C139)</f>
        <v>1285207139</v>
      </c>
      <c r="K139" s="9">
        <f>SUMIFS('By structure'!$H$6:$H$701,'By structure'!$A$6:$A$701,A139,'By structure'!$C$6:$C$701,C139)</f>
        <v>4522</v>
      </c>
      <c r="L139" s="13">
        <f t="shared" si="14"/>
        <v>6.1538461538461538E-3</v>
      </c>
      <c r="M139" s="1" t="s">
        <v>110</v>
      </c>
      <c r="N139" s="1" t="s">
        <v>113</v>
      </c>
      <c r="O139" s="1" t="s">
        <v>115</v>
      </c>
      <c r="P139" s="15">
        <v>2686</v>
      </c>
    </row>
    <row r="140" spans="1:16" ht="22" customHeight="1" x14ac:dyDescent="0.35">
      <c r="A140" s="14">
        <v>2024</v>
      </c>
      <c r="B140" s="5" t="s">
        <v>88</v>
      </c>
      <c r="C140" s="6" t="s">
        <v>89</v>
      </c>
      <c r="D140" s="8">
        <v>48</v>
      </c>
      <c r="E140" s="8">
        <v>4</v>
      </c>
      <c r="F140" s="8">
        <v>0</v>
      </c>
      <c r="G140" s="8">
        <v>0</v>
      </c>
      <c r="H140" s="8">
        <f t="shared" si="12"/>
        <v>52</v>
      </c>
      <c r="I140" s="8">
        <f t="shared" si="13"/>
        <v>4</v>
      </c>
      <c r="J140" s="10">
        <f>SUMIFS('By structure'!$G$6:$G$701,'By structure'!$A$6:$A$701,A140,'By structure'!$C$6:$C$701,C140)</f>
        <v>19769187</v>
      </c>
      <c r="K140" s="8">
        <f>SUMIFS('By structure'!$H$6:$H$701,'By structure'!$A$6:$A$701,A140,'By structure'!$C$6:$C$701,C140)</f>
        <v>52</v>
      </c>
      <c r="L140" s="12">
        <f t="shared" si="14"/>
        <v>0</v>
      </c>
      <c r="M140" s="5" t="s">
        <v>110</v>
      </c>
      <c r="N140" s="5" t="s">
        <v>113</v>
      </c>
      <c r="O140" s="5" t="s">
        <v>115</v>
      </c>
      <c r="P140" s="14">
        <v>2687</v>
      </c>
    </row>
    <row r="141" spans="1:16" ht="22" customHeight="1" x14ac:dyDescent="0.35">
      <c r="A141" s="15">
        <v>2024</v>
      </c>
      <c r="B141" s="1" t="s">
        <v>90</v>
      </c>
      <c r="C141" s="7" t="s">
        <v>91</v>
      </c>
      <c r="D141" s="9">
        <v>210</v>
      </c>
      <c r="E141" s="9">
        <v>8</v>
      </c>
      <c r="F141" s="9">
        <v>4</v>
      </c>
      <c r="G141" s="9">
        <v>44</v>
      </c>
      <c r="H141" s="9">
        <f t="shared" si="12"/>
        <v>266</v>
      </c>
      <c r="I141" s="9">
        <f t="shared" si="13"/>
        <v>56</v>
      </c>
      <c r="J141" s="11">
        <f>SUMIFS('By structure'!$G$6:$G$701,'By structure'!$A$6:$A$701,A141,'By structure'!$C$6:$C$701,C141)</f>
        <v>97186991</v>
      </c>
      <c r="K141" s="9">
        <f>SUMIFS('By structure'!$H$6:$H$701,'By structure'!$A$6:$A$701,A141,'By structure'!$C$6:$C$701,C141)</f>
        <v>266</v>
      </c>
      <c r="L141" s="13">
        <f t="shared" si="14"/>
        <v>0</v>
      </c>
      <c r="M141" s="1" t="s">
        <v>110</v>
      </c>
      <c r="N141" s="1" t="s">
        <v>113</v>
      </c>
      <c r="O141" s="1" t="s">
        <v>115</v>
      </c>
      <c r="P141" s="15">
        <v>2688</v>
      </c>
    </row>
    <row r="142" spans="1:16" ht="22" customHeight="1" x14ac:dyDescent="0.35">
      <c r="A142" s="14">
        <v>2024</v>
      </c>
      <c r="B142" s="5" t="s">
        <v>92</v>
      </c>
      <c r="C142" s="6" t="s">
        <v>93</v>
      </c>
      <c r="D142" s="8">
        <v>91</v>
      </c>
      <c r="E142" s="8">
        <v>14</v>
      </c>
      <c r="F142" s="8">
        <v>4</v>
      </c>
      <c r="G142" s="8">
        <v>0</v>
      </c>
      <c r="H142" s="8">
        <f t="shared" si="12"/>
        <v>109</v>
      </c>
      <c r="I142" s="8">
        <f t="shared" si="13"/>
        <v>18</v>
      </c>
      <c r="J142" s="10">
        <f>SUMIFS('By structure'!$G$6:$G$701,'By structure'!$A$6:$A$701,A142,'By structure'!$C$6:$C$701,C142)</f>
        <v>36859210</v>
      </c>
      <c r="K142" s="8">
        <f>SUMIFS('By structure'!$H$6:$H$701,'By structure'!$A$6:$A$701,A142,'By structure'!$C$6:$C$701,C142)</f>
        <v>109</v>
      </c>
      <c r="L142" s="12">
        <f t="shared" si="14"/>
        <v>0</v>
      </c>
      <c r="M142" s="5" t="s">
        <v>110</v>
      </c>
      <c r="N142" s="5" t="s">
        <v>113</v>
      </c>
      <c r="O142" s="5" t="s">
        <v>115</v>
      </c>
      <c r="P142" s="14">
        <v>2689</v>
      </c>
    </row>
    <row r="143" spans="1:16" ht="22" customHeight="1" x14ac:dyDescent="0.35">
      <c r="A143" s="15">
        <v>2024</v>
      </c>
      <c r="B143" s="1" t="s">
        <v>94</v>
      </c>
      <c r="C143" s="7" t="s">
        <v>95</v>
      </c>
      <c r="D143" s="9">
        <v>388</v>
      </c>
      <c r="E143" s="9">
        <v>2</v>
      </c>
      <c r="F143" s="9">
        <v>0</v>
      </c>
      <c r="G143" s="9">
        <v>529</v>
      </c>
      <c r="H143" s="9">
        <f t="shared" si="12"/>
        <v>919</v>
      </c>
      <c r="I143" s="9">
        <f t="shared" si="13"/>
        <v>531</v>
      </c>
      <c r="J143" s="11">
        <f>SUMIFS('By structure'!$G$6:$G$701,'By structure'!$A$6:$A$701,A143,'By structure'!$C$6:$C$701,C143)</f>
        <v>480610500</v>
      </c>
      <c r="K143" s="9">
        <f>SUMIFS('By structure'!$H$6:$H$701,'By structure'!$A$6:$A$701,A143,'By structure'!$C$6:$C$701,C143)</f>
        <v>919</v>
      </c>
      <c r="L143" s="13">
        <f t="shared" si="14"/>
        <v>0</v>
      </c>
      <c r="M143" s="1" t="s">
        <v>110</v>
      </c>
      <c r="N143" s="1" t="s">
        <v>113</v>
      </c>
      <c r="O143" s="1" t="s">
        <v>115</v>
      </c>
      <c r="P143" s="15">
        <v>2690</v>
      </c>
    </row>
    <row r="144" spans="1:16" ht="22" customHeight="1" x14ac:dyDescent="0.35">
      <c r="A144" s="14">
        <v>2024</v>
      </c>
      <c r="B144" s="5" t="s">
        <v>96</v>
      </c>
      <c r="C144" s="6" t="s">
        <v>97</v>
      </c>
      <c r="D144" s="8">
        <v>677</v>
      </c>
      <c r="E144" s="8">
        <v>50</v>
      </c>
      <c r="F144" s="8">
        <v>83</v>
      </c>
      <c r="G144" s="8">
        <v>87</v>
      </c>
      <c r="H144" s="8">
        <f t="shared" si="12"/>
        <v>897</v>
      </c>
      <c r="I144" s="8">
        <f t="shared" si="13"/>
        <v>220</v>
      </c>
      <c r="J144" s="10">
        <f>SUMIFS('By structure'!$G$6:$G$701,'By structure'!$A$6:$A$701,A144,'By structure'!$C$6:$C$701,C144)</f>
        <v>339058125</v>
      </c>
      <c r="K144" s="8">
        <f>SUMIFS('By structure'!$H$6:$H$701,'By structure'!$A$6:$A$701,A144,'By structure'!$C$6:$C$701,C144)</f>
        <v>897</v>
      </c>
      <c r="L144" s="12">
        <f t="shared" si="14"/>
        <v>0</v>
      </c>
      <c r="M144" s="5" t="s">
        <v>110</v>
      </c>
      <c r="N144" s="5" t="s">
        <v>113</v>
      </c>
      <c r="O144" s="5" t="s">
        <v>115</v>
      </c>
      <c r="P144" s="14">
        <v>2691</v>
      </c>
    </row>
    <row r="145" spans="1:16" ht="22" customHeight="1" x14ac:dyDescent="0.35">
      <c r="A145" s="15">
        <v>2024</v>
      </c>
      <c r="B145" s="1" t="s">
        <v>98</v>
      </c>
      <c r="C145" s="7" t="s">
        <v>99</v>
      </c>
      <c r="D145" s="9">
        <v>74</v>
      </c>
      <c r="E145" s="9">
        <v>4</v>
      </c>
      <c r="F145" s="9">
        <v>8</v>
      </c>
      <c r="G145" s="9">
        <v>0</v>
      </c>
      <c r="H145" s="9">
        <f t="shared" si="12"/>
        <v>86</v>
      </c>
      <c r="I145" s="9">
        <f t="shared" si="13"/>
        <v>12</v>
      </c>
      <c r="J145" s="11">
        <f>SUMIFS('By structure'!$G$6:$G$701,'By structure'!$A$6:$A$701,A145,'By structure'!$C$6:$C$701,C145)</f>
        <v>29766277</v>
      </c>
      <c r="K145" s="9">
        <f>SUMIFS('By structure'!$H$6:$H$701,'By structure'!$A$6:$A$701,A145,'By structure'!$C$6:$C$701,C145)</f>
        <v>86</v>
      </c>
      <c r="L145" s="13">
        <f t="shared" si="14"/>
        <v>0</v>
      </c>
      <c r="M145" s="1" t="s">
        <v>110</v>
      </c>
      <c r="N145" s="1" t="s">
        <v>113</v>
      </c>
      <c r="O145" s="1" t="s">
        <v>115</v>
      </c>
      <c r="P145" s="15">
        <v>2692</v>
      </c>
    </row>
    <row r="146" spans="1:16" ht="22" customHeight="1" x14ac:dyDescent="0.35">
      <c r="A146" s="14">
        <v>2024</v>
      </c>
      <c r="B146" s="5" t="s">
        <v>100</v>
      </c>
      <c r="C146" s="6" t="s">
        <v>101</v>
      </c>
      <c r="D146" s="8">
        <v>5174</v>
      </c>
      <c r="E146" s="8">
        <v>10</v>
      </c>
      <c r="F146" s="8">
        <v>97</v>
      </c>
      <c r="G146" s="8">
        <v>1040</v>
      </c>
      <c r="H146" s="8">
        <f t="shared" si="12"/>
        <v>6321</v>
      </c>
      <c r="I146" s="8">
        <f t="shared" si="13"/>
        <v>1147</v>
      </c>
      <c r="J146" s="10">
        <f>SUMIFS('By structure'!$G$6:$G$701,'By structure'!$A$6:$A$701,A146,'By structure'!$C$6:$C$701,C146)</f>
        <v>1932970837</v>
      </c>
      <c r="K146" s="8">
        <f>SUMIFS('By structure'!$H$6:$H$701,'By structure'!$A$6:$A$701,A146,'By structure'!$C$6:$C$701,C146)</f>
        <v>6160</v>
      </c>
      <c r="L146" s="12">
        <f t="shared" si="14"/>
        <v>2.5470653377630121E-2</v>
      </c>
      <c r="M146" s="5" t="s">
        <v>110</v>
      </c>
      <c r="N146" s="5" t="s">
        <v>113</v>
      </c>
      <c r="O146" s="5" t="s">
        <v>115</v>
      </c>
      <c r="P146" s="14">
        <v>2693</v>
      </c>
    </row>
    <row r="147" spans="1:16" ht="22" customHeight="1" x14ac:dyDescent="0.35">
      <c r="A147" s="15">
        <v>2024</v>
      </c>
      <c r="B147" s="1" t="s">
        <v>102</v>
      </c>
      <c r="C147" s="7" t="s">
        <v>103</v>
      </c>
      <c r="D147" s="9">
        <v>784</v>
      </c>
      <c r="E147" s="9">
        <v>0</v>
      </c>
      <c r="F147" s="9">
        <v>29</v>
      </c>
      <c r="G147" s="9">
        <v>22</v>
      </c>
      <c r="H147" s="9">
        <f t="shared" si="12"/>
        <v>835</v>
      </c>
      <c r="I147" s="9">
        <f t="shared" si="13"/>
        <v>51</v>
      </c>
      <c r="J147" s="11">
        <f>SUMIFS('By structure'!$G$6:$G$701,'By structure'!$A$6:$A$701,A147,'By structure'!$C$6:$C$701,C147)</f>
        <v>568265148</v>
      </c>
      <c r="K147" s="9">
        <f>SUMIFS('By structure'!$H$6:$H$701,'By structure'!$A$6:$A$701,A147,'By structure'!$C$6:$C$701,C147)</f>
        <v>834</v>
      </c>
      <c r="L147" s="13">
        <f t="shared" si="14"/>
        <v>1.1976047904191617E-3</v>
      </c>
      <c r="M147" s="1" t="s">
        <v>110</v>
      </c>
      <c r="N147" s="1" t="s">
        <v>113</v>
      </c>
      <c r="O147" s="1" t="s">
        <v>115</v>
      </c>
      <c r="P147" s="15">
        <v>2694</v>
      </c>
    </row>
    <row r="148" spans="1:16" ht="22" customHeight="1" x14ac:dyDescent="0.35">
      <c r="A148" s="14">
        <v>2024</v>
      </c>
      <c r="B148" s="5" t="s">
        <v>104</v>
      </c>
      <c r="C148" s="6" t="s">
        <v>105</v>
      </c>
      <c r="D148" s="8">
        <v>2467</v>
      </c>
      <c r="E148" s="8">
        <v>0</v>
      </c>
      <c r="F148" s="8">
        <v>35</v>
      </c>
      <c r="G148" s="8">
        <v>650</v>
      </c>
      <c r="H148" s="8">
        <f t="shared" si="12"/>
        <v>3152</v>
      </c>
      <c r="I148" s="8">
        <f t="shared" si="13"/>
        <v>685</v>
      </c>
      <c r="J148" s="10">
        <f>SUMIFS('By structure'!$G$6:$G$701,'By structure'!$A$6:$A$701,A148,'By structure'!$C$6:$C$701,C148)</f>
        <v>613877835</v>
      </c>
      <c r="K148" s="8">
        <f>SUMIFS('By structure'!$H$6:$H$701,'By structure'!$A$6:$A$701,A148,'By structure'!$C$6:$C$701,C148)</f>
        <v>3065</v>
      </c>
      <c r="L148" s="12">
        <f t="shared" si="14"/>
        <v>2.7601522842639593E-2</v>
      </c>
      <c r="M148" s="5" t="s">
        <v>110</v>
      </c>
      <c r="N148" s="5" t="s">
        <v>113</v>
      </c>
      <c r="O148" s="5" t="s">
        <v>115</v>
      </c>
      <c r="P148" s="14">
        <v>2695</v>
      </c>
    </row>
    <row r="149" spans="1:16" ht="22" customHeight="1" x14ac:dyDescent="0.35">
      <c r="A149" s="15">
        <v>2024</v>
      </c>
      <c r="B149" s="1" t="s">
        <v>106</v>
      </c>
      <c r="C149" s="7" t="s">
        <v>107</v>
      </c>
      <c r="D149" s="9">
        <v>21</v>
      </c>
      <c r="E149" s="9">
        <v>0</v>
      </c>
      <c r="F149" s="9">
        <v>3</v>
      </c>
      <c r="G149" s="9">
        <v>0</v>
      </c>
      <c r="H149" s="9">
        <f t="shared" si="12"/>
        <v>24</v>
      </c>
      <c r="I149" s="9">
        <f t="shared" si="13"/>
        <v>3</v>
      </c>
      <c r="J149" s="11">
        <f>SUMIFS('By structure'!$G$6:$G$701,'By structure'!$A$6:$A$701,A149,'By structure'!$C$6:$C$701,C149)</f>
        <v>7673057</v>
      </c>
      <c r="K149" s="9">
        <f>SUMIFS('By structure'!$H$6:$H$701,'By structure'!$A$6:$A$701,A149,'By structure'!$C$6:$C$701,C149)</f>
        <v>24</v>
      </c>
      <c r="L149" s="13">
        <f t="shared" si="14"/>
        <v>0</v>
      </c>
      <c r="M149" s="1" t="s">
        <v>110</v>
      </c>
      <c r="N149" s="1" t="s">
        <v>113</v>
      </c>
      <c r="O149" s="1" t="s">
        <v>115</v>
      </c>
      <c r="P149" s="15">
        <v>2696</v>
      </c>
    </row>
    <row r="150" spans="1:16" ht="22" customHeight="1" x14ac:dyDescent="0.35">
      <c r="A150" s="14">
        <v>2024</v>
      </c>
      <c r="B150" s="5" t="s">
        <v>108</v>
      </c>
      <c r="C150" s="6" t="s">
        <v>109</v>
      </c>
      <c r="D150" s="8">
        <v>1044</v>
      </c>
      <c r="E150" s="8">
        <v>10</v>
      </c>
      <c r="F150" s="8">
        <v>55</v>
      </c>
      <c r="G150" s="8">
        <v>521</v>
      </c>
      <c r="H150" s="8">
        <f t="shared" si="12"/>
        <v>1630</v>
      </c>
      <c r="I150" s="8">
        <f t="shared" si="13"/>
        <v>586</v>
      </c>
      <c r="J150" s="10">
        <f>SUMIFS('By structure'!$G$6:$G$701,'By structure'!$A$6:$A$701,A150,'By structure'!$C$6:$C$701,C150)</f>
        <v>487007915</v>
      </c>
      <c r="K150" s="8">
        <f>SUMIFS('By structure'!$H$6:$H$701,'By structure'!$A$6:$A$701,A150,'By structure'!$C$6:$C$701,C150)</f>
        <v>884</v>
      </c>
      <c r="L150" s="12">
        <f t="shared" si="14"/>
        <v>0.45766871165644174</v>
      </c>
      <c r="M150" s="5" t="s">
        <v>110</v>
      </c>
      <c r="N150" s="5" t="s">
        <v>113</v>
      </c>
      <c r="O150" s="5" t="s">
        <v>115</v>
      </c>
      <c r="P150" s="14">
        <v>2697</v>
      </c>
    </row>
    <row r="151" spans="1:16" ht="22" customHeight="1" x14ac:dyDescent="0.35">
      <c r="A151" s="15">
        <v>2025</v>
      </c>
      <c r="B151" s="1" t="s">
        <v>49</v>
      </c>
      <c r="C151" s="7" t="s">
        <v>50</v>
      </c>
      <c r="D151" s="9">
        <v>38</v>
      </c>
      <c r="E151" s="9">
        <v>0</v>
      </c>
      <c r="F151" s="9">
        <v>0</v>
      </c>
      <c r="G151" s="9">
        <v>10</v>
      </c>
      <c r="H151" s="9">
        <f t="shared" si="12"/>
        <v>48</v>
      </c>
      <c r="I151" s="9">
        <f t="shared" si="13"/>
        <v>10</v>
      </c>
      <c r="J151" s="11">
        <f>SUMIFS('By structure'!$G$6:$G$701,'By structure'!$A$6:$A$701,A151,'By structure'!$C$6:$C$701,C151)</f>
        <v>17700952</v>
      </c>
      <c r="K151" s="9">
        <f>SUMIFS('By structure'!$H$6:$H$701,'By structure'!$A$6:$A$701,A151,'By structure'!$C$6:$C$701,C151)</f>
        <v>48</v>
      </c>
      <c r="L151" s="13">
        <f t="shared" si="14"/>
        <v>0</v>
      </c>
      <c r="M151" s="1" t="s">
        <v>110</v>
      </c>
      <c r="N151" s="1" t="s">
        <v>113</v>
      </c>
      <c r="O151" s="1" t="s">
        <v>116</v>
      </c>
      <c r="P151" s="15">
        <v>2670</v>
      </c>
    </row>
    <row r="152" spans="1:16" ht="22" customHeight="1" x14ac:dyDescent="0.35">
      <c r="A152" s="14">
        <v>2025</v>
      </c>
      <c r="B152" s="5" t="s">
        <v>54</v>
      </c>
      <c r="C152" s="6" t="s">
        <v>55</v>
      </c>
      <c r="D152" s="8">
        <v>369</v>
      </c>
      <c r="E152" s="8">
        <v>0</v>
      </c>
      <c r="F152" s="8">
        <v>35</v>
      </c>
      <c r="G152" s="8">
        <v>52</v>
      </c>
      <c r="H152" s="8">
        <f t="shared" si="12"/>
        <v>456</v>
      </c>
      <c r="I152" s="8">
        <f t="shared" si="13"/>
        <v>87</v>
      </c>
      <c r="J152" s="10">
        <f>SUMIFS('By structure'!$G$6:$G$701,'By structure'!$A$6:$A$701,A152,'By structure'!$C$6:$C$701,C152)</f>
        <v>155384290</v>
      </c>
      <c r="K152" s="8">
        <f>SUMIFS('By structure'!$H$6:$H$701,'By structure'!$A$6:$A$701,A152,'By structure'!$C$6:$C$701,C152)</f>
        <v>432</v>
      </c>
      <c r="L152" s="12">
        <f t="shared" si="14"/>
        <v>5.2631578947368418E-2</v>
      </c>
      <c r="M152" s="5" t="s">
        <v>110</v>
      </c>
      <c r="N152" s="5" t="s">
        <v>113</v>
      </c>
      <c r="O152" s="5" t="s">
        <v>116</v>
      </c>
      <c r="P152" s="14">
        <v>2671</v>
      </c>
    </row>
    <row r="153" spans="1:16" ht="22" customHeight="1" x14ac:dyDescent="0.35">
      <c r="A153" s="15">
        <v>2025</v>
      </c>
      <c r="B153" s="1" t="s">
        <v>56</v>
      </c>
      <c r="C153" s="7" t="s">
        <v>57</v>
      </c>
      <c r="D153" s="9">
        <v>850</v>
      </c>
      <c r="E153" s="9">
        <v>0</v>
      </c>
      <c r="F153" s="9">
        <v>0</v>
      </c>
      <c r="G153" s="9">
        <v>262</v>
      </c>
      <c r="H153" s="9">
        <f t="shared" si="12"/>
        <v>1112</v>
      </c>
      <c r="I153" s="9">
        <f t="shared" si="13"/>
        <v>262</v>
      </c>
      <c r="J153" s="11">
        <f>SUMIFS('By structure'!$G$6:$G$701,'By structure'!$A$6:$A$701,A153,'By structure'!$C$6:$C$701,C153)</f>
        <v>355947428</v>
      </c>
      <c r="K153" s="9">
        <f>SUMIFS('By structure'!$H$6:$H$701,'By structure'!$A$6:$A$701,A153,'By structure'!$C$6:$C$701,C153)</f>
        <v>1112</v>
      </c>
      <c r="L153" s="13">
        <f t="shared" si="14"/>
        <v>0</v>
      </c>
      <c r="M153" s="1" t="s">
        <v>110</v>
      </c>
      <c r="N153" s="1" t="s">
        <v>113</v>
      </c>
      <c r="O153" s="1" t="s">
        <v>116</v>
      </c>
      <c r="P153" s="15">
        <v>2672</v>
      </c>
    </row>
    <row r="154" spans="1:16" ht="22" customHeight="1" x14ac:dyDescent="0.35">
      <c r="A154" s="14">
        <v>2025</v>
      </c>
      <c r="B154" s="5" t="s">
        <v>58</v>
      </c>
      <c r="C154" s="6" t="s">
        <v>59</v>
      </c>
      <c r="D154" s="8">
        <v>45</v>
      </c>
      <c r="E154" s="8">
        <v>0</v>
      </c>
      <c r="F154" s="8">
        <v>0</v>
      </c>
      <c r="G154" s="8">
        <v>0</v>
      </c>
      <c r="H154" s="8">
        <f t="shared" si="12"/>
        <v>45</v>
      </c>
      <c r="I154" s="8">
        <f t="shared" si="13"/>
        <v>0</v>
      </c>
      <c r="J154" s="10">
        <f>SUMIFS('By structure'!$G$6:$G$701,'By structure'!$A$6:$A$701,A154,'By structure'!$C$6:$C$701,C154)</f>
        <v>19900132</v>
      </c>
      <c r="K154" s="8">
        <f>SUMIFS('By structure'!$H$6:$H$701,'By structure'!$A$6:$A$701,A154,'By structure'!$C$6:$C$701,C154)</f>
        <v>45</v>
      </c>
      <c r="L154" s="12">
        <f t="shared" si="14"/>
        <v>0</v>
      </c>
      <c r="M154" s="5" t="s">
        <v>110</v>
      </c>
      <c r="N154" s="5" t="s">
        <v>113</v>
      </c>
      <c r="O154" s="5" t="s">
        <v>116</v>
      </c>
      <c r="P154" s="14">
        <v>2673</v>
      </c>
    </row>
    <row r="155" spans="1:16" ht="22" customHeight="1" x14ac:dyDescent="0.35">
      <c r="A155" s="15">
        <v>2025</v>
      </c>
      <c r="B155" s="1" t="s">
        <v>60</v>
      </c>
      <c r="C155" s="7" t="s">
        <v>61</v>
      </c>
      <c r="D155" s="9">
        <v>17</v>
      </c>
      <c r="E155" s="9">
        <v>0</v>
      </c>
      <c r="F155" s="9">
        <v>0</v>
      </c>
      <c r="G155" s="9">
        <v>0</v>
      </c>
      <c r="H155" s="9">
        <f t="shared" si="12"/>
        <v>17</v>
      </c>
      <c r="I155" s="9">
        <f t="shared" si="13"/>
        <v>0</v>
      </c>
      <c r="J155" s="11">
        <f>SUMIFS('By structure'!$G$6:$G$701,'By structure'!$A$6:$A$701,A155,'By structure'!$C$6:$C$701,C155)</f>
        <v>6678405</v>
      </c>
      <c r="K155" s="9">
        <f>SUMIFS('By structure'!$H$6:$H$701,'By structure'!$A$6:$A$701,A155,'By structure'!$C$6:$C$701,C155)</f>
        <v>17</v>
      </c>
      <c r="L155" s="13">
        <f t="shared" si="14"/>
        <v>0</v>
      </c>
      <c r="M155" s="1" t="s">
        <v>110</v>
      </c>
      <c r="N155" s="1" t="s">
        <v>113</v>
      </c>
      <c r="O155" s="1" t="s">
        <v>116</v>
      </c>
      <c r="P155" s="15">
        <v>2674</v>
      </c>
    </row>
    <row r="156" spans="1:16" ht="22" customHeight="1" x14ac:dyDescent="0.35">
      <c r="A156" s="14">
        <v>2025</v>
      </c>
      <c r="B156" s="5" t="s">
        <v>62</v>
      </c>
      <c r="C156" s="6" t="s">
        <v>63</v>
      </c>
      <c r="D156" s="8">
        <v>841</v>
      </c>
      <c r="E156" s="8">
        <v>8</v>
      </c>
      <c r="F156" s="8">
        <v>72</v>
      </c>
      <c r="G156" s="8">
        <v>996</v>
      </c>
      <c r="H156" s="8">
        <f t="shared" si="12"/>
        <v>1917</v>
      </c>
      <c r="I156" s="8">
        <f t="shared" si="13"/>
        <v>1076</v>
      </c>
      <c r="J156" s="10">
        <f>SUMIFS('By structure'!$G$6:$G$701,'By structure'!$A$6:$A$701,A156,'By structure'!$C$6:$C$701,C156)</f>
        <v>489625762</v>
      </c>
      <c r="K156" s="8">
        <f>SUMIFS('By structure'!$H$6:$H$701,'By structure'!$A$6:$A$701,A156,'By structure'!$C$6:$C$701,C156)</f>
        <v>1917</v>
      </c>
      <c r="L156" s="12">
        <f t="shared" si="14"/>
        <v>0</v>
      </c>
      <c r="M156" s="5" t="s">
        <v>110</v>
      </c>
      <c r="N156" s="5" t="s">
        <v>113</v>
      </c>
      <c r="O156" s="5" t="s">
        <v>116</v>
      </c>
      <c r="P156" s="14">
        <v>2675</v>
      </c>
    </row>
    <row r="157" spans="1:16" ht="22" customHeight="1" x14ac:dyDescent="0.35">
      <c r="A157" s="15">
        <v>2025</v>
      </c>
      <c r="B157" s="1" t="s">
        <v>64</v>
      </c>
      <c r="C157" s="7" t="s">
        <v>65</v>
      </c>
      <c r="D157" s="9">
        <v>123</v>
      </c>
      <c r="E157" s="9">
        <v>0</v>
      </c>
      <c r="F157" s="9">
        <v>4</v>
      </c>
      <c r="G157" s="9">
        <v>0</v>
      </c>
      <c r="H157" s="9">
        <f t="shared" si="12"/>
        <v>127</v>
      </c>
      <c r="I157" s="9">
        <f t="shared" si="13"/>
        <v>4</v>
      </c>
      <c r="J157" s="11">
        <f>SUMIFS('By structure'!$G$6:$G$701,'By structure'!$A$6:$A$701,A157,'By structure'!$C$6:$C$701,C157)</f>
        <v>39117176</v>
      </c>
      <c r="K157" s="9">
        <f>SUMIFS('By structure'!$H$6:$H$701,'By structure'!$A$6:$A$701,A157,'By structure'!$C$6:$C$701,C157)</f>
        <v>66</v>
      </c>
      <c r="L157" s="13">
        <f t="shared" si="14"/>
        <v>0.48031496062992124</v>
      </c>
      <c r="M157" s="1" t="s">
        <v>110</v>
      </c>
      <c r="N157" s="1" t="s">
        <v>113</v>
      </c>
      <c r="O157" s="1" t="s">
        <v>116</v>
      </c>
      <c r="P157" s="15">
        <v>2676</v>
      </c>
    </row>
    <row r="158" spans="1:16" ht="22" customHeight="1" x14ac:dyDescent="0.35">
      <c r="A158" s="14">
        <v>2025</v>
      </c>
      <c r="B158" s="5" t="s">
        <v>66</v>
      </c>
      <c r="C158" s="6" t="s">
        <v>67</v>
      </c>
      <c r="D158" s="8">
        <v>77</v>
      </c>
      <c r="E158" s="8">
        <v>0</v>
      </c>
      <c r="F158" s="8">
        <v>0</v>
      </c>
      <c r="G158" s="8">
        <v>0</v>
      </c>
      <c r="H158" s="8">
        <f t="shared" si="12"/>
        <v>77</v>
      </c>
      <c r="I158" s="8">
        <f t="shared" si="13"/>
        <v>0</v>
      </c>
      <c r="J158" s="10">
        <f>SUMIFS('By structure'!$G$6:$G$701,'By structure'!$A$6:$A$701,A158,'By structure'!$C$6:$C$701,C158)</f>
        <v>7299770</v>
      </c>
      <c r="K158" s="8">
        <f>SUMIFS('By structure'!$H$6:$H$701,'By structure'!$A$6:$A$701,A158,'By structure'!$C$6:$C$701,C158)</f>
        <v>77</v>
      </c>
      <c r="L158" s="12">
        <f t="shared" si="14"/>
        <v>0</v>
      </c>
      <c r="M158" s="5" t="s">
        <v>110</v>
      </c>
      <c r="N158" s="5" t="s">
        <v>113</v>
      </c>
      <c r="O158" s="5" t="s">
        <v>116</v>
      </c>
      <c r="P158" s="14">
        <v>2677</v>
      </c>
    </row>
    <row r="159" spans="1:16" ht="22" customHeight="1" x14ac:dyDescent="0.35">
      <c r="A159" s="15">
        <v>2025</v>
      </c>
      <c r="B159" s="1" t="s">
        <v>68</v>
      </c>
      <c r="C159" s="7" t="s">
        <v>69</v>
      </c>
      <c r="D159" s="9">
        <v>27</v>
      </c>
      <c r="E159" s="9">
        <v>0</v>
      </c>
      <c r="F159" s="9">
        <v>0</v>
      </c>
      <c r="G159" s="9">
        <v>0</v>
      </c>
      <c r="H159" s="9">
        <f t="shared" si="12"/>
        <v>27</v>
      </c>
      <c r="I159" s="9">
        <f t="shared" si="13"/>
        <v>0</v>
      </c>
      <c r="J159" s="11">
        <f>SUMIFS('By structure'!$G$6:$G$701,'By structure'!$A$6:$A$701,A159,'By structure'!$C$6:$C$701,C159)</f>
        <v>10535601</v>
      </c>
      <c r="K159" s="9">
        <f>SUMIFS('By structure'!$H$6:$H$701,'By structure'!$A$6:$A$701,A159,'By structure'!$C$6:$C$701,C159)</f>
        <v>27</v>
      </c>
      <c r="L159" s="13">
        <f t="shared" si="14"/>
        <v>0</v>
      </c>
      <c r="M159" s="1" t="s">
        <v>110</v>
      </c>
      <c r="N159" s="1" t="s">
        <v>113</v>
      </c>
      <c r="O159" s="1" t="s">
        <v>116</v>
      </c>
      <c r="P159" s="15">
        <v>2678</v>
      </c>
    </row>
    <row r="160" spans="1:16" ht="22" customHeight="1" x14ac:dyDescent="0.35">
      <c r="A160" s="14">
        <v>2025</v>
      </c>
      <c r="B160" s="5" t="s">
        <v>70</v>
      </c>
      <c r="C160" s="6" t="s">
        <v>71</v>
      </c>
      <c r="D160" s="8">
        <v>42</v>
      </c>
      <c r="E160" s="8">
        <v>6</v>
      </c>
      <c r="F160" s="8">
        <v>0</v>
      </c>
      <c r="G160" s="8">
        <v>76</v>
      </c>
      <c r="H160" s="8">
        <f t="shared" si="12"/>
        <v>124</v>
      </c>
      <c r="I160" s="8">
        <f t="shared" si="13"/>
        <v>82</v>
      </c>
      <c r="J160" s="10">
        <f>SUMIFS('By structure'!$G$6:$G$701,'By structure'!$A$6:$A$701,A160,'By structure'!$C$6:$C$701,C160)</f>
        <v>29569688</v>
      </c>
      <c r="K160" s="8">
        <f>SUMIFS('By structure'!$H$6:$H$701,'By structure'!$A$6:$A$701,A160,'By structure'!$C$6:$C$701,C160)</f>
        <v>124</v>
      </c>
      <c r="L160" s="12">
        <f t="shared" si="14"/>
        <v>0</v>
      </c>
      <c r="M160" s="5" t="s">
        <v>110</v>
      </c>
      <c r="N160" s="5" t="s">
        <v>113</v>
      </c>
      <c r="O160" s="5" t="s">
        <v>116</v>
      </c>
      <c r="P160" s="14">
        <v>2679</v>
      </c>
    </row>
    <row r="161" spans="1:16" ht="22" customHeight="1" x14ac:dyDescent="0.35">
      <c r="A161" s="15">
        <v>2025</v>
      </c>
      <c r="B161" s="1" t="s">
        <v>72</v>
      </c>
      <c r="C161" s="7" t="s">
        <v>73</v>
      </c>
      <c r="D161" s="9">
        <v>678</v>
      </c>
      <c r="E161" s="9">
        <v>0</v>
      </c>
      <c r="F161" s="9">
        <v>0</v>
      </c>
      <c r="G161" s="9">
        <v>0</v>
      </c>
      <c r="H161" s="9">
        <f t="shared" si="12"/>
        <v>678</v>
      </c>
      <c r="I161" s="9">
        <f t="shared" si="13"/>
        <v>0</v>
      </c>
      <c r="J161" s="11">
        <f>SUMIFS('By structure'!$G$6:$G$701,'By structure'!$A$6:$A$701,A161,'By structure'!$C$6:$C$701,C161)</f>
        <v>190390382</v>
      </c>
      <c r="K161" s="9">
        <f>SUMIFS('By structure'!$H$6:$H$701,'By structure'!$A$6:$A$701,A161,'By structure'!$C$6:$C$701,C161)</f>
        <v>678</v>
      </c>
      <c r="L161" s="13">
        <f t="shared" si="14"/>
        <v>0</v>
      </c>
      <c r="M161" s="1" t="s">
        <v>110</v>
      </c>
      <c r="N161" s="1" t="s">
        <v>113</v>
      </c>
      <c r="O161" s="1" t="s">
        <v>116</v>
      </c>
      <c r="P161" s="15">
        <v>2680</v>
      </c>
    </row>
    <row r="162" spans="1:16" ht="22" customHeight="1" x14ac:dyDescent="0.35">
      <c r="A162" s="14">
        <v>2025</v>
      </c>
      <c r="B162" s="5" t="s">
        <v>74</v>
      </c>
      <c r="C162" s="6" t="s">
        <v>75</v>
      </c>
      <c r="D162" s="8">
        <v>71</v>
      </c>
      <c r="E162" s="8">
        <v>12</v>
      </c>
      <c r="F162" s="8">
        <v>11</v>
      </c>
      <c r="G162" s="8">
        <v>8</v>
      </c>
      <c r="H162" s="8">
        <f t="shared" si="12"/>
        <v>102</v>
      </c>
      <c r="I162" s="8">
        <f t="shared" si="13"/>
        <v>31</v>
      </c>
      <c r="J162" s="10">
        <f>SUMIFS('By structure'!$G$6:$G$701,'By structure'!$A$6:$A$701,A162,'By structure'!$C$6:$C$701,C162)</f>
        <v>36003263</v>
      </c>
      <c r="K162" s="8">
        <f>SUMIFS('By structure'!$H$6:$H$701,'By structure'!$A$6:$A$701,A162,'By structure'!$C$6:$C$701,C162)</f>
        <v>93</v>
      </c>
      <c r="L162" s="12">
        <f t="shared" si="14"/>
        <v>8.8235294117647065E-2</v>
      </c>
      <c r="M162" s="5" t="s">
        <v>110</v>
      </c>
      <c r="N162" s="5" t="s">
        <v>113</v>
      </c>
      <c r="O162" s="5" t="s">
        <v>116</v>
      </c>
      <c r="P162" s="14">
        <v>2681</v>
      </c>
    </row>
    <row r="163" spans="1:16" ht="22" customHeight="1" x14ac:dyDescent="0.35">
      <c r="A163" s="15">
        <v>2025</v>
      </c>
      <c r="B163" s="1" t="s">
        <v>76</v>
      </c>
      <c r="C163" s="7" t="s">
        <v>77</v>
      </c>
      <c r="D163" s="9">
        <v>122</v>
      </c>
      <c r="E163" s="9">
        <v>4</v>
      </c>
      <c r="F163" s="9">
        <v>4</v>
      </c>
      <c r="G163" s="9">
        <v>16</v>
      </c>
      <c r="H163" s="9">
        <f t="shared" si="12"/>
        <v>146</v>
      </c>
      <c r="I163" s="9">
        <f t="shared" si="13"/>
        <v>24</v>
      </c>
      <c r="J163" s="11">
        <f>SUMIFS('By structure'!$G$6:$G$701,'By structure'!$A$6:$A$701,A163,'By structure'!$C$6:$C$701,C163)</f>
        <v>50602489</v>
      </c>
      <c r="K163" s="9">
        <f>SUMIFS('By structure'!$H$6:$H$701,'By structure'!$A$6:$A$701,A163,'By structure'!$C$6:$C$701,C163)</f>
        <v>124</v>
      </c>
      <c r="L163" s="13">
        <f t="shared" si="14"/>
        <v>0.15068493150684931</v>
      </c>
      <c r="M163" s="1" t="s">
        <v>110</v>
      </c>
      <c r="N163" s="1" t="s">
        <v>113</v>
      </c>
      <c r="O163" s="1" t="s">
        <v>116</v>
      </c>
      <c r="P163" s="15">
        <v>2682</v>
      </c>
    </row>
    <row r="164" spans="1:16" ht="22" customHeight="1" x14ac:dyDescent="0.35">
      <c r="A164" s="14">
        <v>2025</v>
      </c>
      <c r="B164" s="5" t="s">
        <v>78</v>
      </c>
      <c r="C164" s="6" t="s">
        <v>79</v>
      </c>
      <c r="D164" s="8">
        <v>67</v>
      </c>
      <c r="E164" s="8">
        <v>6</v>
      </c>
      <c r="F164" s="8">
        <v>0</v>
      </c>
      <c r="G164" s="8">
        <v>0</v>
      </c>
      <c r="H164" s="8">
        <f t="shared" si="12"/>
        <v>73</v>
      </c>
      <c r="I164" s="8">
        <f t="shared" si="13"/>
        <v>6</v>
      </c>
      <c r="J164" s="10">
        <f>SUMIFS('By structure'!$G$6:$G$701,'By structure'!$A$6:$A$701,A164,'By structure'!$C$6:$C$701,C164)</f>
        <v>19384153</v>
      </c>
      <c r="K164" s="8">
        <f>SUMIFS('By structure'!$H$6:$H$701,'By structure'!$A$6:$A$701,A164,'By structure'!$C$6:$C$701,C164)</f>
        <v>73</v>
      </c>
      <c r="L164" s="12">
        <f t="shared" si="14"/>
        <v>0</v>
      </c>
      <c r="M164" s="5" t="s">
        <v>110</v>
      </c>
      <c r="N164" s="5" t="s">
        <v>113</v>
      </c>
      <c r="O164" s="5" t="s">
        <v>116</v>
      </c>
      <c r="P164" s="14">
        <v>2683</v>
      </c>
    </row>
    <row r="165" spans="1:16" ht="22" customHeight="1" x14ac:dyDescent="0.35">
      <c r="A165" s="15">
        <v>2025</v>
      </c>
      <c r="B165" s="1" t="s">
        <v>80</v>
      </c>
      <c r="C165" s="7" t="s">
        <v>81</v>
      </c>
      <c r="D165" s="9">
        <v>92</v>
      </c>
      <c r="E165" s="9">
        <v>12</v>
      </c>
      <c r="F165" s="9">
        <v>42</v>
      </c>
      <c r="G165" s="9">
        <v>46</v>
      </c>
      <c r="H165" s="9">
        <f t="shared" si="12"/>
        <v>192</v>
      </c>
      <c r="I165" s="9">
        <f t="shared" si="13"/>
        <v>100</v>
      </c>
      <c r="J165" s="11">
        <f>SUMIFS('By structure'!$G$6:$G$701,'By structure'!$A$6:$A$701,A165,'By structure'!$C$6:$C$701,C165)</f>
        <v>48497754</v>
      </c>
      <c r="K165" s="9">
        <f>SUMIFS('By structure'!$H$6:$H$701,'By structure'!$A$6:$A$701,A165,'By structure'!$C$6:$C$701,C165)</f>
        <v>192</v>
      </c>
      <c r="L165" s="13">
        <f t="shared" si="14"/>
        <v>0</v>
      </c>
      <c r="M165" s="1" t="s">
        <v>110</v>
      </c>
      <c r="N165" s="1" t="s">
        <v>113</v>
      </c>
      <c r="O165" s="1" t="s">
        <v>116</v>
      </c>
      <c r="P165" s="15">
        <v>2684</v>
      </c>
    </row>
    <row r="166" spans="1:16" ht="22" customHeight="1" x14ac:dyDescent="0.35">
      <c r="A166" s="14">
        <v>2025</v>
      </c>
      <c r="B166" s="5" t="s">
        <v>82</v>
      </c>
      <c r="C166" s="6" t="s">
        <v>83</v>
      </c>
      <c r="D166" s="8">
        <v>21</v>
      </c>
      <c r="E166" s="8">
        <v>0</v>
      </c>
      <c r="F166" s="8">
        <v>0</v>
      </c>
      <c r="G166" s="8">
        <v>0</v>
      </c>
      <c r="H166" s="8">
        <f t="shared" ref="H166:H197" si="15">SUM(D166:G166)</f>
        <v>21</v>
      </c>
      <c r="I166" s="8">
        <f t="shared" ref="I166:I179" si="16">SUM(E166:G166)</f>
        <v>0</v>
      </c>
      <c r="J166" s="10">
        <f>SUMIFS('By structure'!$G$6:$G$701,'By structure'!$A$6:$A$701,A166,'By structure'!$C$6:$C$701,C166)</f>
        <v>3166800</v>
      </c>
      <c r="K166" s="8">
        <f>SUMIFS('By structure'!$H$6:$H$701,'By structure'!$A$6:$A$701,A166,'By structure'!$C$6:$C$701,C166)</f>
        <v>0</v>
      </c>
      <c r="L166" s="12">
        <f t="shared" ref="L166:L197" si="17">IF(H166=0,"",(H166-K166)/H166)</f>
        <v>1</v>
      </c>
      <c r="M166" s="5" t="s">
        <v>110</v>
      </c>
      <c r="N166" s="5" t="s">
        <v>113</v>
      </c>
      <c r="O166" s="5" t="s">
        <v>116</v>
      </c>
      <c r="P166" s="14">
        <v>2685</v>
      </c>
    </row>
    <row r="167" spans="1:16" ht="22" customHeight="1" x14ac:dyDescent="0.35">
      <c r="A167" s="15">
        <v>2025</v>
      </c>
      <c r="B167" s="1" t="s">
        <v>84</v>
      </c>
      <c r="C167" s="7" t="s">
        <v>85</v>
      </c>
      <c r="D167" s="9">
        <v>62</v>
      </c>
      <c r="E167" s="9">
        <v>0</v>
      </c>
      <c r="F167" s="9">
        <v>4</v>
      </c>
      <c r="G167" s="9">
        <v>16</v>
      </c>
      <c r="H167" s="9">
        <f t="shared" si="15"/>
        <v>82</v>
      </c>
      <c r="I167" s="9">
        <f t="shared" si="16"/>
        <v>20</v>
      </c>
      <c r="J167" s="11">
        <f>SUMIFS('By structure'!$G$6:$G$701,'By structure'!$A$6:$A$701,A167,'By structure'!$C$6:$C$701,C167)</f>
        <v>41735352</v>
      </c>
      <c r="K167" s="9">
        <f>SUMIFS('By structure'!$H$6:$H$701,'By structure'!$A$6:$A$701,A167,'By structure'!$C$6:$C$701,C167)</f>
        <v>42</v>
      </c>
      <c r="L167" s="13">
        <f t="shared" si="17"/>
        <v>0.48780487804878048</v>
      </c>
      <c r="M167" s="1" t="s">
        <v>110</v>
      </c>
      <c r="N167" s="1" t="s">
        <v>113</v>
      </c>
      <c r="O167" s="1" t="s">
        <v>116</v>
      </c>
      <c r="P167" s="15">
        <v>2686</v>
      </c>
    </row>
    <row r="168" spans="1:16" ht="22" customHeight="1" x14ac:dyDescent="0.35">
      <c r="A168" s="14">
        <v>2025</v>
      </c>
      <c r="B168" s="5" t="s">
        <v>86</v>
      </c>
      <c r="C168" s="6" t="s">
        <v>87</v>
      </c>
      <c r="D168" s="8">
        <v>2576</v>
      </c>
      <c r="E168" s="8">
        <v>68</v>
      </c>
      <c r="F168" s="8">
        <v>101</v>
      </c>
      <c r="G168" s="8">
        <v>4434</v>
      </c>
      <c r="H168" s="8">
        <f t="shared" si="15"/>
        <v>7179</v>
      </c>
      <c r="I168" s="8">
        <f t="shared" si="16"/>
        <v>4603</v>
      </c>
      <c r="J168" s="10">
        <f>SUMIFS('By structure'!$G$6:$G$701,'By structure'!$A$6:$A$701,A168,'By structure'!$C$6:$C$701,C168)</f>
        <v>1987390933</v>
      </c>
      <c r="K168" s="8">
        <f>SUMIFS('By structure'!$H$6:$H$701,'By structure'!$A$6:$A$701,A168,'By structure'!$C$6:$C$701,C168)</f>
        <v>7155</v>
      </c>
      <c r="L168" s="12">
        <f t="shared" si="17"/>
        <v>3.3430839949853742E-3</v>
      </c>
      <c r="M168" s="5" t="s">
        <v>110</v>
      </c>
      <c r="N168" s="5" t="s">
        <v>113</v>
      </c>
      <c r="O168" s="5" t="s">
        <v>116</v>
      </c>
      <c r="P168" s="14">
        <v>2687</v>
      </c>
    </row>
    <row r="169" spans="1:16" ht="22" customHeight="1" x14ac:dyDescent="0.35">
      <c r="A169" s="15">
        <v>2025</v>
      </c>
      <c r="B169" s="1" t="s">
        <v>88</v>
      </c>
      <c r="C169" s="7" t="s">
        <v>89</v>
      </c>
      <c r="D169" s="9">
        <v>49</v>
      </c>
      <c r="E169" s="9">
        <v>6</v>
      </c>
      <c r="F169" s="9">
        <v>0</v>
      </c>
      <c r="G169" s="9">
        <v>0</v>
      </c>
      <c r="H169" s="9">
        <f t="shared" si="15"/>
        <v>55</v>
      </c>
      <c r="I169" s="9">
        <f t="shared" si="16"/>
        <v>6</v>
      </c>
      <c r="J169" s="11">
        <f>SUMIFS('By structure'!$G$6:$G$701,'By structure'!$A$6:$A$701,A169,'By structure'!$C$6:$C$701,C169)</f>
        <v>19777598</v>
      </c>
      <c r="K169" s="9">
        <f>SUMIFS('By structure'!$H$6:$H$701,'By structure'!$A$6:$A$701,A169,'By structure'!$C$6:$C$701,C169)</f>
        <v>8</v>
      </c>
      <c r="L169" s="13">
        <f t="shared" si="17"/>
        <v>0.8545454545454545</v>
      </c>
      <c r="M169" s="1" t="s">
        <v>110</v>
      </c>
      <c r="N169" s="1" t="s">
        <v>113</v>
      </c>
      <c r="O169" s="1" t="s">
        <v>116</v>
      </c>
      <c r="P169" s="15">
        <v>2688</v>
      </c>
    </row>
    <row r="170" spans="1:16" ht="22" customHeight="1" x14ac:dyDescent="0.35">
      <c r="A170" s="14">
        <v>2025</v>
      </c>
      <c r="B170" s="5" t="s">
        <v>90</v>
      </c>
      <c r="C170" s="6" t="s">
        <v>91</v>
      </c>
      <c r="D170" s="8">
        <v>190</v>
      </c>
      <c r="E170" s="8">
        <v>32</v>
      </c>
      <c r="F170" s="8">
        <v>4</v>
      </c>
      <c r="G170" s="8">
        <v>12</v>
      </c>
      <c r="H170" s="8">
        <f t="shared" si="15"/>
        <v>238</v>
      </c>
      <c r="I170" s="8">
        <f t="shared" si="16"/>
        <v>48</v>
      </c>
      <c r="J170" s="10">
        <f>SUMIFS('By structure'!$G$6:$G$701,'By structure'!$A$6:$A$701,A170,'By structure'!$C$6:$C$701,C170)</f>
        <v>91412427</v>
      </c>
      <c r="K170" s="8">
        <f>SUMIFS('By structure'!$H$6:$H$701,'By structure'!$A$6:$A$701,A170,'By structure'!$C$6:$C$701,C170)</f>
        <v>238</v>
      </c>
      <c r="L170" s="12">
        <f t="shared" si="17"/>
        <v>0</v>
      </c>
      <c r="M170" s="5" t="s">
        <v>110</v>
      </c>
      <c r="N170" s="5" t="s">
        <v>113</v>
      </c>
      <c r="O170" s="5" t="s">
        <v>116</v>
      </c>
      <c r="P170" s="14">
        <v>2689</v>
      </c>
    </row>
    <row r="171" spans="1:16" ht="22" customHeight="1" x14ac:dyDescent="0.35">
      <c r="A171" s="15">
        <v>2025</v>
      </c>
      <c r="B171" s="1" t="s">
        <v>92</v>
      </c>
      <c r="C171" s="7" t="s">
        <v>93</v>
      </c>
      <c r="D171" s="9">
        <v>97</v>
      </c>
      <c r="E171" s="9">
        <v>0</v>
      </c>
      <c r="F171" s="9">
        <v>0</v>
      </c>
      <c r="G171" s="9">
        <v>0</v>
      </c>
      <c r="H171" s="9">
        <f t="shared" si="15"/>
        <v>97</v>
      </c>
      <c r="I171" s="9">
        <f t="shared" si="16"/>
        <v>0</v>
      </c>
      <c r="J171" s="11">
        <f>SUMIFS('By structure'!$G$6:$G$701,'By structure'!$A$6:$A$701,A171,'By structure'!$C$6:$C$701,C171)</f>
        <v>43574509</v>
      </c>
      <c r="K171" s="9">
        <f>SUMIFS('By structure'!$H$6:$H$701,'By structure'!$A$6:$A$701,A171,'By structure'!$C$6:$C$701,C171)</f>
        <v>97</v>
      </c>
      <c r="L171" s="13">
        <f t="shared" si="17"/>
        <v>0</v>
      </c>
      <c r="M171" s="1" t="s">
        <v>110</v>
      </c>
      <c r="N171" s="1" t="s">
        <v>113</v>
      </c>
      <c r="O171" s="1" t="s">
        <v>116</v>
      </c>
      <c r="P171" s="15">
        <v>2690</v>
      </c>
    </row>
    <row r="172" spans="1:16" ht="22" customHeight="1" x14ac:dyDescent="0.35">
      <c r="A172" s="14">
        <v>2025</v>
      </c>
      <c r="B172" s="5" t="s">
        <v>94</v>
      </c>
      <c r="C172" s="6" t="s">
        <v>95</v>
      </c>
      <c r="D172" s="8">
        <v>334</v>
      </c>
      <c r="E172" s="8">
        <v>2</v>
      </c>
      <c r="F172" s="8">
        <v>8</v>
      </c>
      <c r="G172" s="8">
        <v>219</v>
      </c>
      <c r="H172" s="8">
        <f t="shared" si="15"/>
        <v>563</v>
      </c>
      <c r="I172" s="8">
        <f t="shared" si="16"/>
        <v>229</v>
      </c>
      <c r="J172" s="10">
        <f>SUMIFS('By structure'!$G$6:$G$701,'By structure'!$A$6:$A$701,A172,'By structure'!$C$6:$C$701,C172)</f>
        <v>403173887</v>
      </c>
      <c r="K172" s="8">
        <f>SUMIFS('By structure'!$H$6:$H$701,'By structure'!$A$6:$A$701,A172,'By structure'!$C$6:$C$701,C172)</f>
        <v>563</v>
      </c>
      <c r="L172" s="12">
        <f t="shared" si="17"/>
        <v>0</v>
      </c>
      <c r="M172" s="5" t="s">
        <v>110</v>
      </c>
      <c r="N172" s="5" t="s">
        <v>113</v>
      </c>
      <c r="O172" s="5" t="s">
        <v>116</v>
      </c>
      <c r="P172" s="14">
        <v>2691</v>
      </c>
    </row>
    <row r="173" spans="1:16" ht="22" customHeight="1" x14ac:dyDescent="0.35">
      <c r="A173" s="15">
        <v>2025</v>
      </c>
      <c r="B173" s="1" t="s">
        <v>96</v>
      </c>
      <c r="C173" s="7" t="s">
        <v>97</v>
      </c>
      <c r="D173" s="9">
        <v>439</v>
      </c>
      <c r="E173" s="9">
        <v>8</v>
      </c>
      <c r="F173" s="9">
        <v>39</v>
      </c>
      <c r="G173" s="9">
        <v>37</v>
      </c>
      <c r="H173" s="9">
        <f t="shared" si="15"/>
        <v>523</v>
      </c>
      <c r="I173" s="9">
        <f t="shared" si="16"/>
        <v>84</v>
      </c>
      <c r="J173" s="11">
        <f>SUMIFS('By structure'!$G$6:$G$701,'By structure'!$A$6:$A$701,A173,'By structure'!$C$6:$C$701,C173)</f>
        <v>191457450</v>
      </c>
      <c r="K173" s="9">
        <f>SUMIFS('By structure'!$H$6:$H$701,'By structure'!$A$6:$A$701,A173,'By structure'!$C$6:$C$701,C173)</f>
        <v>516</v>
      </c>
      <c r="L173" s="13">
        <f t="shared" si="17"/>
        <v>1.338432122370937E-2</v>
      </c>
      <c r="M173" s="1" t="s">
        <v>110</v>
      </c>
      <c r="N173" s="1" t="s">
        <v>113</v>
      </c>
      <c r="O173" s="1" t="s">
        <v>116</v>
      </c>
      <c r="P173" s="15">
        <v>2692</v>
      </c>
    </row>
    <row r="174" spans="1:16" ht="22" customHeight="1" x14ac:dyDescent="0.35">
      <c r="A174" s="14">
        <v>2025</v>
      </c>
      <c r="B174" s="5" t="s">
        <v>98</v>
      </c>
      <c r="C174" s="6" t="s">
        <v>99</v>
      </c>
      <c r="D174" s="8">
        <v>98</v>
      </c>
      <c r="E174" s="8">
        <v>0</v>
      </c>
      <c r="F174" s="8">
        <v>4</v>
      </c>
      <c r="G174" s="8">
        <v>68</v>
      </c>
      <c r="H174" s="8">
        <f t="shared" si="15"/>
        <v>170</v>
      </c>
      <c r="I174" s="8">
        <f t="shared" si="16"/>
        <v>72</v>
      </c>
      <c r="J174" s="10">
        <f>SUMIFS('By structure'!$G$6:$G$701,'By structure'!$A$6:$A$701,A174,'By structure'!$C$6:$C$701,C174)</f>
        <v>48165851</v>
      </c>
      <c r="K174" s="8">
        <f>SUMIFS('By structure'!$H$6:$H$701,'By structure'!$A$6:$A$701,A174,'By structure'!$C$6:$C$701,C174)</f>
        <v>170</v>
      </c>
      <c r="L174" s="12">
        <f t="shared" si="17"/>
        <v>0</v>
      </c>
      <c r="M174" s="5" t="s">
        <v>110</v>
      </c>
      <c r="N174" s="5" t="s">
        <v>113</v>
      </c>
      <c r="O174" s="5" t="s">
        <v>116</v>
      </c>
      <c r="P174" s="14">
        <v>2693</v>
      </c>
    </row>
    <row r="175" spans="1:16" ht="22" customHeight="1" x14ac:dyDescent="0.35">
      <c r="A175" s="15">
        <v>2025</v>
      </c>
      <c r="B175" s="1" t="s">
        <v>100</v>
      </c>
      <c r="C175" s="7" t="s">
        <v>101</v>
      </c>
      <c r="D175" s="9">
        <v>5324</v>
      </c>
      <c r="E175" s="9">
        <v>22</v>
      </c>
      <c r="F175" s="9">
        <v>169</v>
      </c>
      <c r="G175" s="9">
        <v>1687</v>
      </c>
      <c r="H175" s="9">
        <f t="shared" si="15"/>
        <v>7202</v>
      </c>
      <c r="I175" s="9">
        <f t="shared" si="16"/>
        <v>1878</v>
      </c>
      <c r="J175" s="11">
        <f>SUMIFS('By structure'!$G$6:$G$701,'By structure'!$A$6:$A$701,A175,'By structure'!$C$6:$C$701,C175)</f>
        <v>2102511859</v>
      </c>
      <c r="K175" s="9">
        <f>SUMIFS('By structure'!$H$6:$H$701,'By structure'!$A$6:$A$701,A175,'By structure'!$C$6:$C$701,C175)</f>
        <v>7172</v>
      </c>
      <c r="L175" s="13">
        <f t="shared" si="17"/>
        <v>4.1655095806720352E-3</v>
      </c>
      <c r="M175" s="1" t="s">
        <v>110</v>
      </c>
      <c r="N175" s="1" t="s">
        <v>113</v>
      </c>
      <c r="O175" s="1" t="s">
        <v>116</v>
      </c>
      <c r="P175" s="15">
        <v>2694</v>
      </c>
    </row>
    <row r="176" spans="1:16" ht="22" customHeight="1" x14ac:dyDescent="0.35">
      <c r="A176" s="14">
        <v>2025</v>
      </c>
      <c r="B176" s="5" t="s">
        <v>102</v>
      </c>
      <c r="C176" s="6" t="s">
        <v>103</v>
      </c>
      <c r="D176" s="8">
        <v>786</v>
      </c>
      <c r="E176" s="8">
        <v>0</v>
      </c>
      <c r="F176" s="8">
        <v>0</v>
      </c>
      <c r="G176" s="8">
        <v>342</v>
      </c>
      <c r="H176" s="8">
        <f t="shared" si="15"/>
        <v>1128</v>
      </c>
      <c r="I176" s="8">
        <f t="shared" si="16"/>
        <v>342</v>
      </c>
      <c r="J176" s="10">
        <f>SUMIFS('By structure'!$G$6:$G$701,'By structure'!$A$6:$A$701,A176,'By structure'!$C$6:$C$701,C176)</f>
        <v>790999430</v>
      </c>
      <c r="K176" s="8">
        <f>SUMIFS('By structure'!$H$6:$H$701,'By structure'!$A$6:$A$701,A176,'By structure'!$C$6:$C$701,C176)</f>
        <v>1100</v>
      </c>
      <c r="L176" s="12">
        <f t="shared" si="17"/>
        <v>2.4822695035460994E-2</v>
      </c>
      <c r="M176" s="5" t="s">
        <v>110</v>
      </c>
      <c r="N176" s="5" t="s">
        <v>113</v>
      </c>
      <c r="O176" s="5" t="s">
        <v>116</v>
      </c>
      <c r="P176" s="14">
        <v>2695</v>
      </c>
    </row>
    <row r="177" spans="1:16" ht="22" customHeight="1" x14ac:dyDescent="0.35">
      <c r="A177" s="15">
        <v>2025</v>
      </c>
      <c r="B177" s="1" t="s">
        <v>104</v>
      </c>
      <c r="C177" s="7" t="s">
        <v>105</v>
      </c>
      <c r="D177" s="9">
        <v>2497</v>
      </c>
      <c r="E177" s="9">
        <v>10</v>
      </c>
      <c r="F177" s="9">
        <v>24</v>
      </c>
      <c r="G177" s="9">
        <v>326</v>
      </c>
      <c r="H177" s="9">
        <f t="shared" si="15"/>
        <v>2857</v>
      </c>
      <c r="I177" s="9">
        <f t="shared" si="16"/>
        <v>360</v>
      </c>
      <c r="J177" s="11">
        <f>SUMIFS('By structure'!$G$6:$G$701,'By structure'!$A$6:$A$701,A177,'By structure'!$C$6:$C$701,C177)</f>
        <v>656018061</v>
      </c>
      <c r="K177" s="9">
        <f>SUMIFS('By structure'!$H$6:$H$701,'By structure'!$A$6:$A$701,A177,'By structure'!$C$6:$C$701,C177)</f>
        <v>2835</v>
      </c>
      <c r="L177" s="13">
        <f t="shared" si="17"/>
        <v>7.7003850192509625E-3</v>
      </c>
      <c r="M177" s="1" t="s">
        <v>110</v>
      </c>
      <c r="N177" s="1" t="s">
        <v>113</v>
      </c>
      <c r="O177" s="1" t="s">
        <v>116</v>
      </c>
      <c r="P177" s="15">
        <v>2696</v>
      </c>
    </row>
    <row r="178" spans="1:16" ht="22" customHeight="1" x14ac:dyDescent="0.35">
      <c r="A178" s="14">
        <v>2025</v>
      </c>
      <c r="B178" s="5" t="s">
        <v>106</v>
      </c>
      <c r="C178" s="6" t="s">
        <v>107</v>
      </c>
      <c r="D178" s="8">
        <v>29</v>
      </c>
      <c r="E178" s="8">
        <v>0</v>
      </c>
      <c r="F178" s="8">
        <v>0</v>
      </c>
      <c r="G178" s="8">
        <v>0</v>
      </c>
      <c r="H178" s="8">
        <f t="shared" si="15"/>
        <v>29</v>
      </c>
      <c r="I178" s="8">
        <f t="shared" si="16"/>
        <v>0</v>
      </c>
      <c r="J178" s="10">
        <f>SUMIFS('By structure'!$G$6:$G$701,'By structure'!$A$6:$A$701,A178,'By structure'!$C$6:$C$701,C178)</f>
        <v>10893780</v>
      </c>
      <c r="K178" s="8">
        <f>SUMIFS('By structure'!$H$6:$H$701,'By structure'!$A$6:$A$701,A178,'By structure'!$C$6:$C$701,C178)</f>
        <v>29</v>
      </c>
      <c r="L178" s="12">
        <f t="shared" si="17"/>
        <v>0</v>
      </c>
      <c r="M178" s="5" t="s">
        <v>110</v>
      </c>
      <c r="N178" s="5" t="s">
        <v>113</v>
      </c>
      <c r="O178" s="5" t="s">
        <v>116</v>
      </c>
      <c r="P178" s="14">
        <v>2697</v>
      </c>
    </row>
    <row r="179" spans="1:16" ht="22" customHeight="1" x14ac:dyDescent="0.35">
      <c r="A179" s="15">
        <v>2025</v>
      </c>
      <c r="B179" s="1" t="s">
        <v>108</v>
      </c>
      <c r="C179" s="7" t="s">
        <v>109</v>
      </c>
      <c r="D179" s="9">
        <v>813</v>
      </c>
      <c r="E179" s="9">
        <v>6</v>
      </c>
      <c r="F179" s="9">
        <v>57</v>
      </c>
      <c r="G179" s="9">
        <v>614</v>
      </c>
      <c r="H179" s="9">
        <f t="shared" si="15"/>
        <v>1490</v>
      </c>
      <c r="I179" s="9">
        <f t="shared" si="16"/>
        <v>677</v>
      </c>
      <c r="J179" s="11">
        <f>SUMIFS('By structure'!$G$6:$G$701,'By structure'!$A$6:$A$701,A179,'By structure'!$C$6:$C$701,C179)</f>
        <v>442546376</v>
      </c>
      <c r="K179" s="9">
        <f>SUMIFS('By structure'!$H$6:$H$701,'By structure'!$A$6:$A$701,A179,'By structure'!$C$6:$C$701,C179)</f>
        <v>845</v>
      </c>
      <c r="L179" s="13">
        <f t="shared" si="17"/>
        <v>0.43288590604026844</v>
      </c>
      <c r="M179" s="1" t="s">
        <v>110</v>
      </c>
      <c r="N179" s="1" t="s">
        <v>113</v>
      </c>
      <c r="O179" s="1" t="s">
        <v>116</v>
      </c>
      <c r="P179" s="15">
        <v>2698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E8B"/>
  </sheetPr>
  <dimension ref="A1:L701"/>
  <sheetViews>
    <sheetView showGridLines="0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8" customWidth="1"/>
    <col min="2" max="2" width="19.453125" customWidth="1"/>
    <col min="3" max="3" width="11.6328125" customWidth="1"/>
    <col min="4" max="4" width="14" customWidth="1"/>
    <col min="5" max="5" width="13.453125" customWidth="1"/>
    <col min="6" max="6" width="12.7265625" customWidth="1"/>
    <col min="7" max="7" width="18.453125" customWidth="1"/>
    <col min="8" max="8" width="14" customWidth="1"/>
    <col min="9" max="9" width="14.453125" customWidth="1"/>
    <col min="10" max="10" width="19.453125" customWidth="1"/>
    <col min="11" max="11" width="17.26953125" customWidth="1"/>
    <col min="12" max="12" width="11.26953125" customWidth="1"/>
  </cols>
  <sheetData>
    <row r="1" spans="1:12" ht="30" customHeight="1" x14ac:dyDescent="0.35">
      <c r="A1" s="2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" customHeight="1" x14ac:dyDescent="0.35">
      <c r="A2" s="3" t="s">
        <v>118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42" customHeight="1" x14ac:dyDescent="0.35">
      <c r="A5" s="4" t="s">
        <v>33</v>
      </c>
      <c r="B5" s="4" t="s">
        <v>34</v>
      </c>
      <c r="C5" s="4" t="s">
        <v>35</v>
      </c>
      <c r="D5" s="4" t="s">
        <v>119</v>
      </c>
      <c r="E5" s="4" t="s">
        <v>120</v>
      </c>
      <c r="F5" s="4" t="s">
        <v>121</v>
      </c>
      <c r="G5" s="4" t="s">
        <v>122</v>
      </c>
      <c r="H5" s="4" t="s">
        <v>43</v>
      </c>
      <c r="I5" s="4" t="s">
        <v>123</v>
      </c>
      <c r="J5" s="4" t="s">
        <v>124</v>
      </c>
      <c r="K5" s="4" t="s">
        <v>47</v>
      </c>
      <c r="L5" s="4" t="s">
        <v>48</v>
      </c>
    </row>
    <row r="6" spans="1:12" ht="22" customHeight="1" x14ac:dyDescent="0.35">
      <c r="A6" s="5">
        <v>2020</v>
      </c>
      <c r="B6" s="5" t="s">
        <v>49</v>
      </c>
      <c r="C6" s="6" t="s">
        <v>50</v>
      </c>
      <c r="D6" s="5" t="s">
        <v>125</v>
      </c>
      <c r="E6" s="8">
        <v>38</v>
      </c>
      <c r="F6" s="8">
        <v>38</v>
      </c>
      <c r="G6" s="10">
        <v>11007562</v>
      </c>
      <c r="H6" s="8">
        <v>38</v>
      </c>
      <c r="I6" s="8">
        <v>38</v>
      </c>
      <c r="J6" s="10">
        <v>11007562</v>
      </c>
      <c r="K6" s="5" t="s">
        <v>53</v>
      </c>
      <c r="L6" s="5">
        <v>2675</v>
      </c>
    </row>
    <row r="7" spans="1:12" ht="22" customHeight="1" x14ac:dyDescent="0.35">
      <c r="A7" s="1">
        <v>2020</v>
      </c>
      <c r="B7" s="1" t="s">
        <v>49</v>
      </c>
      <c r="C7" s="7" t="s">
        <v>50</v>
      </c>
      <c r="D7" s="1" t="s">
        <v>126</v>
      </c>
      <c r="E7" s="9">
        <v>0</v>
      </c>
      <c r="F7" s="9">
        <v>0</v>
      </c>
      <c r="G7" s="11">
        <v>0</v>
      </c>
      <c r="H7" s="9">
        <v>0</v>
      </c>
      <c r="I7" s="9">
        <v>0</v>
      </c>
      <c r="J7" s="11">
        <v>0</v>
      </c>
      <c r="K7" s="1" t="s">
        <v>53</v>
      </c>
      <c r="L7" s="1">
        <v>2675</v>
      </c>
    </row>
    <row r="8" spans="1:12" ht="22" customHeight="1" x14ac:dyDescent="0.35">
      <c r="A8" s="5">
        <v>2020</v>
      </c>
      <c r="B8" s="5" t="s">
        <v>49</v>
      </c>
      <c r="C8" s="6" t="s">
        <v>50</v>
      </c>
      <c r="D8" s="5" t="s">
        <v>127</v>
      </c>
      <c r="E8" s="8">
        <v>1</v>
      </c>
      <c r="F8" s="8">
        <v>4</v>
      </c>
      <c r="G8" s="10">
        <v>806985</v>
      </c>
      <c r="H8" s="8">
        <v>4</v>
      </c>
      <c r="I8" s="8">
        <v>1</v>
      </c>
      <c r="J8" s="10">
        <v>806985</v>
      </c>
      <c r="K8" s="5" t="s">
        <v>53</v>
      </c>
      <c r="L8" s="5">
        <v>2675</v>
      </c>
    </row>
    <row r="9" spans="1:12" ht="22" customHeight="1" x14ac:dyDescent="0.35">
      <c r="A9" s="1">
        <v>2020</v>
      </c>
      <c r="B9" s="1" t="s">
        <v>49</v>
      </c>
      <c r="C9" s="7" t="s">
        <v>50</v>
      </c>
      <c r="D9" s="1" t="s">
        <v>128</v>
      </c>
      <c r="E9" s="9">
        <v>0</v>
      </c>
      <c r="F9" s="9">
        <v>0</v>
      </c>
      <c r="G9" s="11">
        <v>0</v>
      </c>
      <c r="H9" s="9">
        <v>0</v>
      </c>
      <c r="I9" s="9">
        <v>0</v>
      </c>
      <c r="J9" s="11">
        <v>0</v>
      </c>
      <c r="K9" s="1" t="s">
        <v>53</v>
      </c>
      <c r="L9" s="1">
        <v>2675</v>
      </c>
    </row>
    <row r="10" spans="1:12" ht="22" customHeight="1" x14ac:dyDescent="0.35">
      <c r="A10" s="5">
        <v>2020</v>
      </c>
      <c r="B10" s="5" t="s">
        <v>54</v>
      </c>
      <c r="C10" s="6" t="s">
        <v>55</v>
      </c>
      <c r="D10" s="5" t="s">
        <v>125</v>
      </c>
      <c r="E10" s="8">
        <v>381</v>
      </c>
      <c r="F10" s="8">
        <v>381</v>
      </c>
      <c r="G10" s="10">
        <v>81497548</v>
      </c>
      <c r="H10" s="8">
        <v>236</v>
      </c>
      <c r="I10" s="8">
        <v>236</v>
      </c>
      <c r="J10" s="10">
        <v>46344986</v>
      </c>
      <c r="K10" s="5" t="s">
        <v>53</v>
      </c>
      <c r="L10" s="5">
        <v>2676</v>
      </c>
    </row>
    <row r="11" spans="1:12" ht="22" customHeight="1" x14ac:dyDescent="0.35">
      <c r="A11" s="1">
        <v>2020</v>
      </c>
      <c r="B11" s="1" t="s">
        <v>54</v>
      </c>
      <c r="C11" s="7" t="s">
        <v>55</v>
      </c>
      <c r="D11" s="1" t="s">
        <v>126</v>
      </c>
      <c r="E11" s="9">
        <v>2</v>
      </c>
      <c r="F11" s="9">
        <v>4</v>
      </c>
      <c r="G11" s="11">
        <v>318718</v>
      </c>
      <c r="H11" s="9">
        <v>4</v>
      </c>
      <c r="I11" s="9">
        <v>2</v>
      </c>
      <c r="J11" s="11">
        <v>318718</v>
      </c>
      <c r="K11" s="1" t="s">
        <v>53</v>
      </c>
      <c r="L11" s="1">
        <v>2676</v>
      </c>
    </row>
    <row r="12" spans="1:12" ht="22" customHeight="1" x14ac:dyDescent="0.35">
      <c r="A12" s="5">
        <v>2020</v>
      </c>
      <c r="B12" s="5" t="s">
        <v>54</v>
      </c>
      <c r="C12" s="6" t="s">
        <v>55</v>
      </c>
      <c r="D12" s="5" t="s">
        <v>127</v>
      </c>
      <c r="E12" s="8">
        <v>15</v>
      </c>
      <c r="F12" s="8">
        <v>60</v>
      </c>
      <c r="G12" s="10">
        <v>2534906</v>
      </c>
      <c r="H12" s="8">
        <v>56</v>
      </c>
      <c r="I12" s="8">
        <v>14</v>
      </c>
      <c r="J12" s="10">
        <v>2072393</v>
      </c>
      <c r="K12" s="5" t="s">
        <v>53</v>
      </c>
      <c r="L12" s="5">
        <v>2676</v>
      </c>
    </row>
    <row r="13" spans="1:12" ht="22" customHeight="1" x14ac:dyDescent="0.35">
      <c r="A13" s="1">
        <v>2020</v>
      </c>
      <c r="B13" s="1" t="s">
        <v>54</v>
      </c>
      <c r="C13" s="7" t="s">
        <v>55</v>
      </c>
      <c r="D13" s="1" t="s">
        <v>128</v>
      </c>
      <c r="E13" s="9">
        <v>14</v>
      </c>
      <c r="F13" s="9">
        <v>88</v>
      </c>
      <c r="G13" s="11">
        <v>8363088</v>
      </c>
      <c r="H13" s="9">
        <v>88</v>
      </c>
      <c r="I13" s="9">
        <v>14</v>
      </c>
      <c r="J13" s="11">
        <v>8363088</v>
      </c>
      <c r="K13" s="1" t="s">
        <v>53</v>
      </c>
      <c r="L13" s="1">
        <v>2676</v>
      </c>
    </row>
    <row r="14" spans="1:12" ht="22" customHeight="1" x14ac:dyDescent="0.35">
      <c r="A14" s="5">
        <v>2020</v>
      </c>
      <c r="B14" s="5" t="s">
        <v>56</v>
      </c>
      <c r="C14" s="6" t="s">
        <v>57</v>
      </c>
      <c r="D14" s="5" t="s">
        <v>125</v>
      </c>
      <c r="E14" s="8">
        <v>987</v>
      </c>
      <c r="F14" s="8">
        <v>987</v>
      </c>
      <c r="G14" s="10">
        <v>259620189</v>
      </c>
      <c r="H14" s="8">
        <v>987</v>
      </c>
      <c r="I14" s="8">
        <v>987</v>
      </c>
      <c r="J14" s="10">
        <v>259620189</v>
      </c>
      <c r="K14" s="5" t="s">
        <v>53</v>
      </c>
      <c r="L14" s="5">
        <v>2677</v>
      </c>
    </row>
    <row r="15" spans="1:12" ht="22" customHeight="1" x14ac:dyDescent="0.35">
      <c r="A15" s="1">
        <v>2020</v>
      </c>
      <c r="B15" s="1" t="s">
        <v>56</v>
      </c>
      <c r="C15" s="7" t="s">
        <v>57</v>
      </c>
      <c r="D15" s="1" t="s">
        <v>126</v>
      </c>
      <c r="E15" s="9">
        <v>3</v>
      </c>
      <c r="F15" s="9">
        <v>6</v>
      </c>
      <c r="G15" s="11">
        <v>1382564</v>
      </c>
      <c r="H15" s="9">
        <v>6</v>
      </c>
      <c r="I15" s="9">
        <v>3</v>
      </c>
      <c r="J15" s="11">
        <v>1382564</v>
      </c>
      <c r="K15" s="1" t="s">
        <v>53</v>
      </c>
      <c r="L15" s="1">
        <v>2677</v>
      </c>
    </row>
    <row r="16" spans="1:12" ht="22" customHeight="1" x14ac:dyDescent="0.35">
      <c r="A16" s="5">
        <v>2020</v>
      </c>
      <c r="B16" s="5" t="s">
        <v>56</v>
      </c>
      <c r="C16" s="6" t="s">
        <v>57</v>
      </c>
      <c r="D16" s="5" t="s">
        <v>127</v>
      </c>
      <c r="E16" s="8">
        <v>10</v>
      </c>
      <c r="F16" s="8">
        <v>31</v>
      </c>
      <c r="G16" s="10">
        <v>5254435</v>
      </c>
      <c r="H16" s="8">
        <v>31</v>
      </c>
      <c r="I16" s="8">
        <v>10</v>
      </c>
      <c r="J16" s="10">
        <v>5254435</v>
      </c>
      <c r="K16" s="5" t="s">
        <v>53</v>
      </c>
      <c r="L16" s="5">
        <v>2677</v>
      </c>
    </row>
    <row r="17" spans="1:12" ht="22" customHeight="1" x14ac:dyDescent="0.35">
      <c r="A17" s="1">
        <v>2020</v>
      </c>
      <c r="B17" s="1" t="s">
        <v>56</v>
      </c>
      <c r="C17" s="7" t="s">
        <v>57</v>
      </c>
      <c r="D17" s="1" t="s">
        <v>128</v>
      </c>
      <c r="E17" s="9">
        <v>30</v>
      </c>
      <c r="F17" s="9">
        <v>586</v>
      </c>
      <c r="G17" s="11">
        <v>55271118</v>
      </c>
      <c r="H17" s="9">
        <v>586</v>
      </c>
      <c r="I17" s="9">
        <v>30</v>
      </c>
      <c r="J17" s="11">
        <v>55271118</v>
      </c>
      <c r="K17" s="1" t="s">
        <v>53</v>
      </c>
      <c r="L17" s="1">
        <v>2677</v>
      </c>
    </row>
    <row r="18" spans="1:12" ht="22" customHeight="1" x14ac:dyDescent="0.35">
      <c r="A18" s="5">
        <v>2020</v>
      </c>
      <c r="B18" s="5" t="s">
        <v>58</v>
      </c>
      <c r="C18" s="6" t="s">
        <v>59</v>
      </c>
      <c r="D18" s="5" t="s">
        <v>125</v>
      </c>
      <c r="E18" s="8">
        <v>21</v>
      </c>
      <c r="F18" s="8">
        <v>21</v>
      </c>
      <c r="G18" s="10">
        <v>6682438</v>
      </c>
      <c r="H18" s="8">
        <v>21</v>
      </c>
      <c r="I18" s="8">
        <v>21</v>
      </c>
      <c r="J18" s="10">
        <v>6682438</v>
      </c>
      <c r="K18" s="5" t="s">
        <v>53</v>
      </c>
      <c r="L18" s="5">
        <v>2678</v>
      </c>
    </row>
    <row r="19" spans="1:12" ht="22" customHeight="1" x14ac:dyDescent="0.35">
      <c r="A19" s="1">
        <v>2020</v>
      </c>
      <c r="B19" s="1" t="s">
        <v>58</v>
      </c>
      <c r="C19" s="7" t="s">
        <v>59</v>
      </c>
      <c r="D19" s="1" t="s">
        <v>126</v>
      </c>
      <c r="E19" s="9">
        <v>1</v>
      </c>
      <c r="F19" s="9">
        <v>2</v>
      </c>
      <c r="G19" s="11">
        <v>135000</v>
      </c>
      <c r="H19" s="9">
        <v>2</v>
      </c>
      <c r="I19" s="9">
        <v>1</v>
      </c>
      <c r="J19" s="11">
        <v>135000</v>
      </c>
      <c r="K19" s="1" t="s">
        <v>53</v>
      </c>
      <c r="L19" s="1">
        <v>2678</v>
      </c>
    </row>
    <row r="20" spans="1:12" ht="22" customHeight="1" x14ac:dyDescent="0.35">
      <c r="A20" s="5">
        <v>2020</v>
      </c>
      <c r="B20" s="5" t="s">
        <v>58</v>
      </c>
      <c r="C20" s="6" t="s">
        <v>59</v>
      </c>
      <c r="D20" s="5" t="s">
        <v>127</v>
      </c>
      <c r="E20" s="8">
        <v>0</v>
      </c>
      <c r="F20" s="8">
        <v>0</v>
      </c>
      <c r="G20" s="10">
        <v>0</v>
      </c>
      <c r="H20" s="8">
        <v>0</v>
      </c>
      <c r="I20" s="8">
        <v>0</v>
      </c>
      <c r="J20" s="10">
        <v>0</v>
      </c>
      <c r="K20" s="5" t="s">
        <v>53</v>
      </c>
      <c r="L20" s="5">
        <v>2678</v>
      </c>
    </row>
    <row r="21" spans="1:12" ht="22" customHeight="1" x14ac:dyDescent="0.35">
      <c r="A21" s="1">
        <v>2020</v>
      </c>
      <c r="B21" s="1" t="s">
        <v>58</v>
      </c>
      <c r="C21" s="7" t="s">
        <v>59</v>
      </c>
      <c r="D21" s="1" t="s">
        <v>128</v>
      </c>
      <c r="E21" s="9">
        <v>0</v>
      </c>
      <c r="F21" s="9">
        <v>0</v>
      </c>
      <c r="G21" s="11">
        <v>0</v>
      </c>
      <c r="H21" s="9">
        <v>0</v>
      </c>
      <c r="I21" s="9">
        <v>0</v>
      </c>
      <c r="J21" s="11">
        <v>0</v>
      </c>
      <c r="K21" s="1" t="s">
        <v>53</v>
      </c>
      <c r="L21" s="1">
        <v>2678</v>
      </c>
    </row>
    <row r="22" spans="1:12" ht="22" customHeight="1" x14ac:dyDescent="0.35">
      <c r="A22" s="5">
        <v>2020</v>
      </c>
      <c r="B22" s="5" t="s">
        <v>60</v>
      </c>
      <c r="C22" s="6" t="s">
        <v>61</v>
      </c>
      <c r="D22" s="5" t="s">
        <v>125</v>
      </c>
      <c r="E22" s="8">
        <v>9</v>
      </c>
      <c r="F22" s="8">
        <v>9</v>
      </c>
      <c r="G22" s="10">
        <v>2258152</v>
      </c>
      <c r="H22" s="8">
        <v>4</v>
      </c>
      <c r="I22" s="8">
        <v>4</v>
      </c>
      <c r="J22" s="10">
        <v>764369</v>
      </c>
      <c r="K22" s="5" t="s">
        <v>53</v>
      </c>
      <c r="L22" s="5">
        <v>2679</v>
      </c>
    </row>
    <row r="23" spans="1:12" ht="22" customHeight="1" x14ac:dyDescent="0.35">
      <c r="A23" s="1">
        <v>2020</v>
      </c>
      <c r="B23" s="1" t="s">
        <v>60</v>
      </c>
      <c r="C23" s="7" t="s">
        <v>61</v>
      </c>
      <c r="D23" s="1" t="s">
        <v>126</v>
      </c>
      <c r="E23" s="9">
        <v>0</v>
      </c>
      <c r="F23" s="9">
        <v>0</v>
      </c>
      <c r="G23" s="11">
        <v>0</v>
      </c>
      <c r="H23" s="9">
        <v>0</v>
      </c>
      <c r="I23" s="9">
        <v>0</v>
      </c>
      <c r="J23" s="11">
        <v>0</v>
      </c>
      <c r="K23" s="1" t="s">
        <v>53</v>
      </c>
      <c r="L23" s="1">
        <v>2679</v>
      </c>
    </row>
    <row r="24" spans="1:12" ht="22" customHeight="1" x14ac:dyDescent="0.35">
      <c r="A24" s="5">
        <v>2020</v>
      </c>
      <c r="B24" s="5" t="s">
        <v>60</v>
      </c>
      <c r="C24" s="6" t="s">
        <v>61</v>
      </c>
      <c r="D24" s="5" t="s">
        <v>127</v>
      </c>
      <c r="E24" s="8">
        <v>0</v>
      </c>
      <c r="F24" s="8">
        <v>0</v>
      </c>
      <c r="G24" s="10">
        <v>0</v>
      </c>
      <c r="H24" s="8">
        <v>0</v>
      </c>
      <c r="I24" s="8">
        <v>0</v>
      </c>
      <c r="J24" s="10">
        <v>0</v>
      </c>
      <c r="K24" s="5" t="s">
        <v>53</v>
      </c>
      <c r="L24" s="5">
        <v>2679</v>
      </c>
    </row>
    <row r="25" spans="1:12" ht="22" customHeight="1" x14ac:dyDescent="0.35">
      <c r="A25" s="1">
        <v>2020</v>
      </c>
      <c r="B25" s="1" t="s">
        <v>60</v>
      </c>
      <c r="C25" s="7" t="s">
        <v>61</v>
      </c>
      <c r="D25" s="1" t="s">
        <v>128</v>
      </c>
      <c r="E25" s="9">
        <v>0</v>
      </c>
      <c r="F25" s="9">
        <v>0</v>
      </c>
      <c r="G25" s="11">
        <v>0</v>
      </c>
      <c r="H25" s="9">
        <v>0</v>
      </c>
      <c r="I25" s="9">
        <v>0</v>
      </c>
      <c r="J25" s="11">
        <v>0</v>
      </c>
      <c r="K25" s="1" t="s">
        <v>53</v>
      </c>
      <c r="L25" s="1">
        <v>2679</v>
      </c>
    </row>
    <row r="26" spans="1:12" ht="22" customHeight="1" x14ac:dyDescent="0.35">
      <c r="A26" s="5">
        <v>2020</v>
      </c>
      <c r="B26" s="5" t="s">
        <v>62</v>
      </c>
      <c r="C26" s="6" t="s">
        <v>63</v>
      </c>
      <c r="D26" s="5" t="s">
        <v>125</v>
      </c>
      <c r="E26" s="8">
        <v>1946</v>
      </c>
      <c r="F26" s="8">
        <v>1946</v>
      </c>
      <c r="G26" s="10">
        <v>551229504</v>
      </c>
      <c r="H26" s="8">
        <v>1946</v>
      </c>
      <c r="I26" s="8">
        <v>1946</v>
      </c>
      <c r="J26" s="10">
        <v>551229504</v>
      </c>
      <c r="K26" s="5" t="s">
        <v>53</v>
      </c>
      <c r="L26" s="5">
        <v>2680</v>
      </c>
    </row>
    <row r="27" spans="1:12" ht="22" customHeight="1" x14ac:dyDescent="0.35">
      <c r="A27" s="1">
        <v>2020</v>
      </c>
      <c r="B27" s="1" t="s">
        <v>62</v>
      </c>
      <c r="C27" s="7" t="s">
        <v>63</v>
      </c>
      <c r="D27" s="1" t="s">
        <v>126</v>
      </c>
      <c r="E27" s="9">
        <v>6</v>
      </c>
      <c r="F27" s="9">
        <v>12</v>
      </c>
      <c r="G27" s="11">
        <v>2966474</v>
      </c>
      <c r="H27" s="9">
        <v>12</v>
      </c>
      <c r="I27" s="9">
        <v>6</v>
      </c>
      <c r="J27" s="11">
        <v>2966474</v>
      </c>
      <c r="K27" s="1" t="s">
        <v>53</v>
      </c>
      <c r="L27" s="1">
        <v>2680</v>
      </c>
    </row>
    <row r="28" spans="1:12" ht="22" customHeight="1" x14ac:dyDescent="0.35">
      <c r="A28" s="5">
        <v>2020</v>
      </c>
      <c r="B28" s="5" t="s">
        <v>62</v>
      </c>
      <c r="C28" s="6" t="s">
        <v>63</v>
      </c>
      <c r="D28" s="5" t="s">
        <v>127</v>
      </c>
      <c r="E28" s="8">
        <v>8</v>
      </c>
      <c r="F28" s="8">
        <v>25</v>
      </c>
      <c r="G28" s="10">
        <v>4539029</v>
      </c>
      <c r="H28" s="8">
        <v>25</v>
      </c>
      <c r="I28" s="8">
        <v>8</v>
      </c>
      <c r="J28" s="10">
        <v>4539029</v>
      </c>
      <c r="K28" s="5" t="s">
        <v>53</v>
      </c>
      <c r="L28" s="5">
        <v>2680</v>
      </c>
    </row>
    <row r="29" spans="1:12" ht="22" customHeight="1" x14ac:dyDescent="0.35">
      <c r="A29" s="1">
        <v>2020</v>
      </c>
      <c r="B29" s="1" t="s">
        <v>62</v>
      </c>
      <c r="C29" s="7" t="s">
        <v>63</v>
      </c>
      <c r="D29" s="1" t="s">
        <v>128</v>
      </c>
      <c r="E29" s="9">
        <v>14</v>
      </c>
      <c r="F29" s="9">
        <v>434</v>
      </c>
      <c r="G29" s="11">
        <v>44501920</v>
      </c>
      <c r="H29" s="9">
        <v>434</v>
      </c>
      <c r="I29" s="9">
        <v>14</v>
      </c>
      <c r="J29" s="11">
        <v>44501920</v>
      </c>
      <c r="K29" s="1" t="s">
        <v>53</v>
      </c>
      <c r="L29" s="1">
        <v>2680</v>
      </c>
    </row>
    <row r="30" spans="1:12" ht="22" customHeight="1" x14ac:dyDescent="0.35">
      <c r="A30" s="5">
        <v>2020</v>
      </c>
      <c r="B30" s="5" t="s">
        <v>64</v>
      </c>
      <c r="C30" s="6" t="s">
        <v>65</v>
      </c>
      <c r="D30" s="5" t="s">
        <v>125</v>
      </c>
      <c r="E30" s="8">
        <v>101</v>
      </c>
      <c r="F30" s="8">
        <v>101</v>
      </c>
      <c r="G30" s="10">
        <v>23819750</v>
      </c>
      <c r="H30" s="8">
        <v>54</v>
      </c>
      <c r="I30" s="8">
        <v>54</v>
      </c>
      <c r="J30" s="10">
        <v>13654909</v>
      </c>
      <c r="K30" s="5" t="s">
        <v>53</v>
      </c>
      <c r="L30" s="5">
        <v>2681</v>
      </c>
    </row>
    <row r="31" spans="1:12" ht="22" customHeight="1" x14ac:dyDescent="0.35">
      <c r="A31" s="1">
        <v>2020</v>
      </c>
      <c r="B31" s="1" t="s">
        <v>64</v>
      </c>
      <c r="C31" s="7" t="s">
        <v>65</v>
      </c>
      <c r="D31" s="1" t="s">
        <v>126</v>
      </c>
      <c r="E31" s="9">
        <v>0</v>
      </c>
      <c r="F31" s="9">
        <v>0</v>
      </c>
      <c r="G31" s="11">
        <v>0</v>
      </c>
      <c r="H31" s="9">
        <v>0</v>
      </c>
      <c r="I31" s="9">
        <v>0</v>
      </c>
      <c r="J31" s="11">
        <v>0</v>
      </c>
      <c r="K31" s="1" t="s">
        <v>53</v>
      </c>
      <c r="L31" s="1">
        <v>2681</v>
      </c>
    </row>
    <row r="32" spans="1:12" ht="22" customHeight="1" x14ac:dyDescent="0.35">
      <c r="A32" s="5">
        <v>2020</v>
      </c>
      <c r="B32" s="5" t="s">
        <v>64</v>
      </c>
      <c r="C32" s="6" t="s">
        <v>65</v>
      </c>
      <c r="D32" s="5" t="s">
        <v>127</v>
      </c>
      <c r="E32" s="8">
        <v>1</v>
      </c>
      <c r="F32" s="8">
        <v>4</v>
      </c>
      <c r="G32" s="10">
        <v>285524</v>
      </c>
      <c r="H32" s="8">
        <v>0</v>
      </c>
      <c r="I32" s="8">
        <v>0</v>
      </c>
      <c r="J32" s="10">
        <v>0</v>
      </c>
      <c r="K32" s="5" t="s">
        <v>53</v>
      </c>
      <c r="L32" s="5">
        <v>2681</v>
      </c>
    </row>
    <row r="33" spans="1:12" ht="22" customHeight="1" x14ac:dyDescent="0.35">
      <c r="A33" s="1">
        <v>2020</v>
      </c>
      <c r="B33" s="1" t="s">
        <v>64</v>
      </c>
      <c r="C33" s="7" t="s">
        <v>65</v>
      </c>
      <c r="D33" s="1" t="s">
        <v>128</v>
      </c>
      <c r="E33" s="9">
        <v>0</v>
      </c>
      <c r="F33" s="9">
        <v>0</v>
      </c>
      <c r="G33" s="11">
        <v>0</v>
      </c>
      <c r="H33" s="9">
        <v>0</v>
      </c>
      <c r="I33" s="9">
        <v>0</v>
      </c>
      <c r="J33" s="11">
        <v>0</v>
      </c>
      <c r="K33" s="1" t="s">
        <v>53</v>
      </c>
      <c r="L33" s="1">
        <v>2681</v>
      </c>
    </row>
    <row r="34" spans="1:12" ht="22" customHeight="1" x14ac:dyDescent="0.35">
      <c r="A34" s="5">
        <v>2020</v>
      </c>
      <c r="B34" s="5" t="s">
        <v>66</v>
      </c>
      <c r="C34" s="6" t="s">
        <v>67</v>
      </c>
      <c r="D34" s="5" t="s">
        <v>125</v>
      </c>
      <c r="E34" s="8">
        <v>7</v>
      </c>
      <c r="F34" s="8">
        <v>7</v>
      </c>
      <c r="G34" s="10">
        <v>1628900</v>
      </c>
      <c r="H34" s="8">
        <v>0</v>
      </c>
      <c r="I34" s="8">
        <v>0</v>
      </c>
      <c r="J34" s="10">
        <v>0</v>
      </c>
      <c r="K34" s="5" t="s">
        <v>53</v>
      </c>
      <c r="L34" s="5">
        <v>2682</v>
      </c>
    </row>
    <row r="35" spans="1:12" ht="22" customHeight="1" x14ac:dyDescent="0.35">
      <c r="A35" s="1">
        <v>2020</v>
      </c>
      <c r="B35" s="1" t="s">
        <v>66</v>
      </c>
      <c r="C35" s="7" t="s">
        <v>67</v>
      </c>
      <c r="D35" s="1" t="s">
        <v>126</v>
      </c>
      <c r="E35" s="9">
        <v>0</v>
      </c>
      <c r="F35" s="9">
        <v>0</v>
      </c>
      <c r="G35" s="11">
        <v>0</v>
      </c>
      <c r="H35" s="9">
        <v>0</v>
      </c>
      <c r="I35" s="9">
        <v>0</v>
      </c>
      <c r="J35" s="11">
        <v>0</v>
      </c>
      <c r="K35" s="1" t="s">
        <v>53</v>
      </c>
      <c r="L35" s="1">
        <v>2682</v>
      </c>
    </row>
    <row r="36" spans="1:12" ht="22" customHeight="1" x14ac:dyDescent="0.35">
      <c r="A36" s="5">
        <v>2020</v>
      </c>
      <c r="B36" s="5" t="s">
        <v>66</v>
      </c>
      <c r="C36" s="6" t="s">
        <v>67</v>
      </c>
      <c r="D36" s="5" t="s">
        <v>127</v>
      </c>
      <c r="E36" s="8">
        <v>0</v>
      </c>
      <c r="F36" s="8">
        <v>0</v>
      </c>
      <c r="G36" s="10">
        <v>0</v>
      </c>
      <c r="H36" s="8">
        <v>0</v>
      </c>
      <c r="I36" s="8">
        <v>0</v>
      </c>
      <c r="J36" s="10">
        <v>0</v>
      </c>
      <c r="K36" s="5" t="s">
        <v>53</v>
      </c>
      <c r="L36" s="5">
        <v>2682</v>
      </c>
    </row>
    <row r="37" spans="1:12" ht="22" customHeight="1" x14ac:dyDescent="0.35">
      <c r="A37" s="1">
        <v>2020</v>
      </c>
      <c r="B37" s="1" t="s">
        <v>66</v>
      </c>
      <c r="C37" s="7" t="s">
        <v>67</v>
      </c>
      <c r="D37" s="1" t="s">
        <v>128</v>
      </c>
      <c r="E37" s="9">
        <v>0</v>
      </c>
      <c r="F37" s="9">
        <v>0</v>
      </c>
      <c r="G37" s="11">
        <v>0</v>
      </c>
      <c r="H37" s="9">
        <v>0</v>
      </c>
      <c r="I37" s="9">
        <v>0</v>
      </c>
      <c r="J37" s="11">
        <v>0</v>
      </c>
      <c r="K37" s="1" t="s">
        <v>53</v>
      </c>
      <c r="L37" s="1">
        <v>2682</v>
      </c>
    </row>
    <row r="38" spans="1:12" ht="22" customHeight="1" x14ac:dyDescent="0.35">
      <c r="A38" s="5">
        <v>2020</v>
      </c>
      <c r="B38" s="5" t="s">
        <v>68</v>
      </c>
      <c r="C38" s="6" t="s">
        <v>69</v>
      </c>
      <c r="D38" s="5" t="s">
        <v>125</v>
      </c>
      <c r="E38" s="8">
        <v>58</v>
      </c>
      <c r="F38" s="8">
        <v>58</v>
      </c>
      <c r="G38" s="10">
        <v>12107805</v>
      </c>
      <c r="H38" s="8">
        <v>58</v>
      </c>
      <c r="I38" s="8">
        <v>58</v>
      </c>
      <c r="J38" s="10">
        <v>12107805</v>
      </c>
      <c r="K38" s="5" t="s">
        <v>53</v>
      </c>
      <c r="L38" s="5">
        <v>2683</v>
      </c>
    </row>
    <row r="39" spans="1:12" ht="22" customHeight="1" x14ac:dyDescent="0.35">
      <c r="A39" s="1">
        <v>2020</v>
      </c>
      <c r="B39" s="1" t="s">
        <v>68</v>
      </c>
      <c r="C39" s="7" t="s">
        <v>69</v>
      </c>
      <c r="D39" s="1" t="s">
        <v>126</v>
      </c>
      <c r="E39" s="9">
        <v>0</v>
      </c>
      <c r="F39" s="9">
        <v>0</v>
      </c>
      <c r="G39" s="11">
        <v>0</v>
      </c>
      <c r="H39" s="9">
        <v>0</v>
      </c>
      <c r="I39" s="9">
        <v>0</v>
      </c>
      <c r="J39" s="11">
        <v>0</v>
      </c>
      <c r="K39" s="1" t="s">
        <v>53</v>
      </c>
      <c r="L39" s="1">
        <v>2683</v>
      </c>
    </row>
    <row r="40" spans="1:12" ht="22" customHeight="1" x14ac:dyDescent="0.35">
      <c r="A40" s="5">
        <v>2020</v>
      </c>
      <c r="B40" s="5" t="s">
        <v>68</v>
      </c>
      <c r="C40" s="6" t="s">
        <v>69</v>
      </c>
      <c r="D40" s="5" t="s">
        <v>127</v>
      </c>
      <c r="E40" s="8">
        <v>0</v>
      </c>
      <c r="F40" s="8">
        <v>0</v>
      </c>
      <c r="G40" s="10">
        <v>0</v>
      </c>
      <c r="H40" s="8">
        <v>0</v>
      </c>
      <c r="I40" s="8">
        <v>0</v>
      </c>
      <c r="J40" s="10">
        <v>0</v>
      </c>
      <c r="K40" s="5" t="s">
        <v>53</v>
      </c>
      <c r="L40" s="5">
        <v>2683</v>
      </c>
    </row>
    <row r="41" spans="1:12" ht="22" customHeight="1" x14ac:dyDescent="0.35">
      <c r="A41" s="1">
        <v>2020</v>
      </c>
      <c r="B41" s="1" t="s">
        <v>68</v>
      </c>
      <c r="C41" s="7" t="s">
        <v>69</v>
      </c>
      <c r="D41" s="1" t="s">
        <v>128</v>
      </c>
      <c r="E41" s="9">
        <v>0</v>
      </c>
      <c r="F41" s="9">
        <v>0</v>
      </c>
      <c r="G41" s="11">
        <v>0</v>
      </c>
      <c r="H41" s="9">
        <v>0</v>
      </c>
      <c r="I41" s="9">
        <v>0</v>
      </c>
      <c r="J41" s="11">
        <v>0</v>
      </c>
      <c r="K41" s="1" t="s">
        <v>53</v>
      </c>
      <c r="L41" s="1">
        <v>2683</v>
      </c>
    </row>
    <row r="42" spans="1:12" ht="22" customHeight="1" x14ac:dyDescent="0.35">
      <c r="A42" s="5">
        <v>2020</v>
      </c>
      <c r="B42" s="5" t="s">
        <v>70</v>
      </c>
      <c r="C42" s="6" t="s">
        <v>71</v>
      </c>
      <c r="D42" s="5" t="s">
        <v>125</v>
      </c>
      <c r="E42" s="8">
        <v>71</v>
      </c>
      <c r="F42" s="8">
        <v>71</v>
      </c>
      <c r="G42" s="10">
        <v>16820464</v>
      </c>
      <c r="H42" s="8">
        <v>71</v>
      </c>
      <c r="I42" s="8">
        <v>71</v>
      </c>
      <c r="J42" s="10">
        <v>16820464</v>
      </c>
      <c r="K42" s="5" t="s">
        <v>53</v>
      </c>
      <c r="L42" s="5">
        <v>2684</v>
      </c>
    </row>
    <row r="43" spans="1:12" ht="22" customHeight="1" x14ac:dyDescent="0.35">
      <c r="A43" s="1">
        <v>2020</v>
      </c>
      <c r="B43" s="1" t="s">
        <v>70</v>
      </c>
      <c r="C43" s="7" t="s">
        <v>71</v>
      </c>
      <c r="D43" s="1" t="s">
        <v>126</v>
      </c>
      <c r="E43" s="9">
        <v>6</v>
      </c>
      <c r="F43" s="9">
        <v>12</v>
      </c>
      <c r="G43" s="11">
        <v>1843945</v>
      </c>
      <c r="H43" s="9">
        <v>12</v>
      </c>
      <c r="I43" s="9">
        <v>6</v>
      </c>
      <c r="J43" s="11">
        <v>1843945</v>
      </c>
      <c r="K43" s="1" t="s">
        <v>53</v>
      </c>
      <c r="L43" s="1">
        <v>2684</v>
      </c>
    </row>
    <row r="44" spans="1:12" ht="22" customHeight="1" x14ac:dyDescent="0.35">
      <c r="A44" s="5">
        <v>2020</v>
      </c>
      <c r="B44" s="5" t="s">
        <v>70</v>
      </c>
      <c r="C44" s="6" t="s">
        <v>71</v>
      </c>
      <c r="D44" s="5" t="s">
        <v>127</v>
      </c>
      <c r="E44" s="8">
        <v>6</v>
      </c>
      <c r="F44" s="8">
        <v>24</v>
      </c>
      <c r="G44" s="10">
        <v>4131971</v>
      </c>
      <c r="H44" s="8">
        <v>24</v>
      </c>
      <c r="I44" s="8">
        <v>6</v>
      </c>
      <c r="J44" s="10">
        <v>4131971</v>
      </c>
      <c r="K44" s="5" t="s">
        <v>53</v>
      </c>
      <c r="L44" s="5">
        <v>2684</v>
      </c>
    </row>
    <row r="45" spans="1:12" ht="22" customHeight="1" x14ac:dyDescent="0.35">
      <c r="A45" s="1">
        <v>2020</v>
      </c>
      <c r="B45" s="1" t="s">
        <v>70</v>
      </c>
      <c r="C45" s="7" t="s">
        <v>71</v>
      </c>
      <c r="D45" s="1" t="s">
        <v>128</v>
      </c>
      <c r="E45" s="9">
        <v>0</v>
      </c>
      <c r="F45" s="9">
        <v>0</v>
      </c>
      <c r="G45" s="11">
        <v>0</v>
      </c>
      <c r="H45" s="9">
        <v>0</v>
      </c>
      <c r="I45" s="9">
        <v>0</v>
      </c>
      <c r="J45" s="11">
        <v>0</v>
      </c>
      <c r="K45" s="1" t="s">
        <v>53</v>
      </c>
      <c r="L45" s="1">
        <v>2684</v>
      </c>
    </row>
    <row r="46" spans="1:12" ht="22" customHeight="1" x14ac:dyDescent="0.35">
      <c r="A46" s="5">
        <v>2020</v>
      </c>
      <c r="B46" s="5" t="s">
        <v>72</v>
      </c>
      <c r="C46" s="6" t="s">
        <v>73</v>
      </c>
      <c r="D46" s="5" t="s">
        <v>125</v>
      </c>
      <c r="E46" s="8">
        <v>473</v>
      </c>
      <c r="F46" s="8">
        <v>473</v>
      </c>
      <c r="G46" s="10">
        <v>102854176</v>
      </c>
      <c r="H46" s="8">
        <v>203</v>
      </c>
      <c r="I46" s="8">
        <v>203</v>
      </c>
      <c r="J46" s="10">
        <v>43339166</v>
      </c>
      <c r="K46" s="5" t="s">
        <v>53</v>
      </c>
      <c r="L46" s="5">
        <v>2685</v>
      </c>
    </row>
    <row r="47" spans="1:12" ht="22" customHeight="1" x14ac:dyDescent="0.35">
      <c r="A47" s="1">
        <v>2020</v>
      </c>
      <c r="B47" s="1" t="s">
        <v>72</v>
      </c>
      <c r="C47" s="7" t="s">
        <v>73</v>
      </c>
      <c r="D47" s="1" t="s">
        <v>126</v>
      </c>
      <c r="E47" s="9">
        <v>1</v>
      </c>
      <c r="F47" s="9">
        <v>2</v>
      </c>
      <c r="G47" s="11">
        <v>222769</v>
      </c>
      <c r="H47" s="9">
        <v>0</v>
      </c>
      <c r="I47" s="9">
        <v>0</v>
      </c>
      <c r="J47" s="11">
        <v>0</v>
      </c>
      <c r="K47" s="1" t="s">
        <v>53</v>
      </c>
      <c r="L47" s="1">
        <v>2685</v>
      </c>
    </row>
    <row r="48" spans="1:12" ht="22" customHeight="1" x14ac:dyDescent="0.35">
      <c r="A48" s="5">
        <v>2020</v>
      </c>
      <c r="B48" s="5" t="s">
        <v>72</v>
      </c>
      <c r="C48" s="6" t="s">
        <v>73</v>
      </c>
      <c r="D48" s="5" t="s">
        <v>127</v>
      </c>
      <c r="E48" s="8">
        <v>0</v>
      </c>
      <c r="F48" s="8">
        <v>0</v>
      </c>
      <c r="G48" s="10">
        <v>0</v>
      </c>
      <c r="H48" s="8">
        <v>0</v>
      </c>
      <c r="I48" s="8">
        <v>0</v>
      </c>
      <c r="J48" s="10">
        <v>0</v>
      </c>
      <c r="K48" s="5" t="s">
        <v>53</v>
      </c>
      <c r="L48" s="5">
        <v>2685</v>
      </c>
    </row>
    <row r="49" spans="1:12" ht="22" customHeight="1" x14ac:dyDescent="0.35">
      <c r="A49" s="1">
        <v>2020</v>
      </c>
      <c r="B49" s="1" t="s">
        <v>72</v>
      </c>
      <c r="C49" s="7" t="s">
        <v>73</v>
      </c>
      <c r="D49" s="1" t="s">
        <v>128</v>
      </c>
      <c r="E49" s="9">
        <v>1</v>
      </c>
      <c r="F49" s="9">
        <v>39</v>
      </c>
      <c r="G49" s="11">
        <v>6301541</v>
      </c>
      <c r="H49" s="9">
        <v>0</v>
      </c>
      <c r="I49" s="9">
        <v>0</v>
      </c>
      <c r="J49" s="11">
        <v>0</v>
      </c>
      <c r="K49" s="1" t="s">
        <v>53</v>
      </c>
      <c r="L49" s="1">
        <v>2685</v>
      </c>
    </row>
    <row r="50" spans="1:12" ht="22" customHeight="1" x14ac:dyDescent="0.35">
      <c r="A50" s="5">
        <v>2020</v>
      </c>
      <c r="B50" s="5" t="s">
        <v>74</v>
      </c>
      <c r="C50" s="6" t="s">
        <v>75</v>
      </c>
      <c r="D50" s="5" t="s">
        <v>125</v>
      </c>
      <c r="E50" s="8">
        <v>69</v>
      </c>
      <c r="F50" s="8">
        <v>69</v>
      </c>
      <c r="G50" s="10">
        <v>22027544</v>
      </c>
      <c r="H50" s="8">
        <v>53</v>
      </c>
      <c r="I50" s="8">
        <v>53</v>
      </c>
      <c r="J50" s="10">
        <v>16188959</v>
      </c>
      <c r="K50" s="5" t="s">
        <v>53</v>
      </c>
      <c r="L50" s="5">
        <v>2686</v>
      </c>
    </row>
    <row r="51" spans="1:12" ht="22" customHeight="1" x14ac:dyDescent="0.35">
      <c r="A51" s="1">
        <v>2020</v>
      </c>
      <c r="B51" s="1" t="s">
        <v>74</v>
      </c>
      <c r="C51" s="7" t="s">
        <v>75</v>
      </c>
      <c r="D51" s="1" t="s">
        <v>126</v>
      </c>
      <c r="E51" s="9">
        <v>5</v>
      </c>
      <c r="F51" s="9">
        <v>10</v>
      </c>
      <c r="G51" s="11">
        <v>1779658</v>
      </c>
      <c r="H51" s="9">
        <v>10</v>
      </c>
      <c r="I51" s="9">
        <v>5</v>
      </c>
      <c r="J51" s="11">
        <v>1779658</v>
      </c>
      <c r="K51" s="1" t="s">
        <v>53</v>
      </c>
      <c r="L51" s="1">
        <v>2686</v>
      </c>
    </row>
    <row r="52" spans="1:12" ht="22" customHeight="1" x14ac:dyDescent="0.35">
      <c r="A52" s="5">
        <v>2020</v>
      </c>
      <c r="B52" s="5" t="s">
        <v>74</v>
      </c>
      <c r="C52" s="6" t="s">
        <v>75</v>
      </c>
      <c r="D52" s="5" t="s">
        <v>127</v>
      </c>
      <c r="E52" s="8">
        <v>1</v>
      </c>
      <c r="F52" s="8">
        <v>4</v>
      </c>
      <c r="G52" s="10">
        <v>677699</v>
      </c>
      <c r="H52" s="8">
        <v>4</v>
      </c>
      <c r="I52" s="8">
        <v>1</v>
      </c>
      <c r="J52" s="10">
        <v>677699</v>
      </c>
      <c r="K52" s="5" t="s">
        <v>53</v>
      </c>
      <c r="L52" s="5">
        <v>2686</v>
      </c>
    </row>
    <row r="53" spans="1:12" ht="22" customHeight="1" x14ac:dyDescent="0.35">
      <c r="A53" s="1">
        <v>2020</v>
      </c>
      <c r="B53" s="1" t="s">
        <v>74</v>
      </c>
      <c r="C53" s="7" t="s">
        <v>75</v>
      </c>
      <c r="D53" s="1" t="s">
        <v>128</v>
      </c>
      <c r="E53" s="9">
        <v>5</v>
      </c>
      <c r="F53" s="9">
        <v>25</v>
      </c>
      <c r="G53" s="11">
        <v>4226966</v>
      </c>
      <c r="H53" s="9">
        <v>25</v>
      </c>
      <c r="I53" s="9">
        <v>5</v>
      </c>
      <c r="J53" s="11">
        <v>4226966</v>
      </c>
      <c r="K53" s="1" t="s">
        <v>53</v>
      </c>
      <c r="L53" s="1">
        <v>2686</v>
      </c>
    </row>
    <row r="54" spans="1:12" ht="22" customHeight="1" x14ac:dyDescent="0.35">
      <c r="A54" s="5">
        <v>2020</v>
      </c>
      <c r="B54" s="5" t="s">
        <v>76</v>
      </c>
      <c r="C54" s="6" t="s">
        <v>77</v>
      </c>
      <c r="D54" s="5" t="s">
        <v>125</v>
      </c>
      <c r="E54" s="8">
        <v>231</v>
      </c>
      <c r="F54" s="8">
        <v>231</v>
      </c>
      <c r="G54" s="10">
        <v>59248201</v>
      </c>
      <c r="H54" s="8">
        <v>230</v>
      </c>
      <c r="I54" s="8">
        <v>230</v>
      </c>
      <c r="J54" s="10">
        <v>58965366</v>
      </c>
      <c r="K54" s="5" t="s">
        <v>53</v>
      </c>
      <c r="L54" s="5">
        <v>2687</v>
      </c>
    </row>
    <row r="55" spans="1:12" ht="22" customHeight="1" x14ac:dyDescent="0.35">
      <c r="A55" s="1">
        <v>2020</v>
      </c>
      <c r="B55" s="1" t="s">
        <v>76</v>
      </c>
      <c r="C55" s="7" t="s">
        <v>77</v>
      </c>
      <c r="D55" s="1" t="s">
        <v>126</v>
      </c>
      <c r="E55" s="9">
        <v>1</v>
      </c>
      <c r="F55" s="9">
        <v>2</v>
      </c>
      <c r="G55" s="11">
        <v>298000</v>
      </c>
      <c r="H55" s="9">
        <v>2</v>
      </c>
      <c r="I55" s="9">
        <v>1</v>
      </c>
      <c r="J55" s="11">
        <v>298000</v>
      </c>
      <c r="K55" s="1" t="s">
        <v>53</v>
      </c>
      <c r="L55" s="1">
        <v>2687</v>
      </c>
    </row>
    <row r="56" spans="1:12" ht="22" customHeight="1" x14ac:dyDescent="0.35">
      <c r="A56" s="5">
        <v>2020</v>
      </c>
      <c r="B56" s="5" t="s">
        <v>76</v>
      </c>
      <c r="C56" s="6" t="s">
        <v>77</v>
      </c>
      <c r="D56" s="5" t="s">
        <v>127</v>
      </c>
      <c r="E56" s="8">
        <v>1</v>
      </c>
      <c r="F56" s="8">
        <v>3</v>
      </c>
      <c r="G56" s="10">
        <v>840000</v>
      </c>
      <c r="H56" s="8">
        <v>3</v>
      </c>
      <c r="I56" s="8">
        <v>1</v>
      </c>
      <c r="J56" s="10">
        <v>840000</v>
      </c>
      <c r="K56" s="5" t="s">
        <v>53</v>
      </c>
      <c r="L56" s="5">
        <v>2687</v>
      </c>
    </row>
    <row r="57" spans="1:12" ht="22" customHeight="1" x14ac:dyDescent="0.35">
      <c r="A57" s="1">
        <v>2020</v>
      </c>
      <c r="B57" s="1" t="s">
        <v>76</v>
      </c>
      <c r="C57" s="7" t="s">
        <v>77</v>
      </c>
      <c r="D57" s="1" t="s">
        <v>128</v>
      </c>
      <c r="E57" s="9">
        <v>0</v>
      </c>
      <c r="F57" s="9">
        <v>0</v>
      </c>
      <c r="G57" s="11">
        <v>0</v>
      </c>
      <c r="H57" s="9">
        <v>0</v>
      </c>
      <c r="I57" s="9">
        <v>0</v>
      </c>
      <c r="J57" s="11">
        <v>0</v>
      </c>
      <c r="K57" s="1" t="s">
        <v>53</v>
      </c>
      <c r="L57" s="1">
        <v>2687</v>
      </c>
    </row>
    <row r="58" spans="1:12" ht="22" customHeight="1" x14ac:dyDescent="0.35">
      <c r="A58" s="5">
        <v>2020</v>
      </c>
      <c r="B58" s="5" t="s">
        <v>78</v>
      </c>
      <c r="C58" s="6" t="s">
        <v>79</v>
      </c>
      <c r="D58" s="5" t="s">
        <v>125</v>
      </c>
      <c r="E58" s="8">
        <v>55</v>
      </c>
      <c r="F58" s="8">
        <v>55</v>
      </c>
      <c r="G58" s="10">
        <v>10040841</v>
      </c>
      <c r="H58" s="8">
        <v>54</v>
      </c>
      <c r="I58" s="8">
        <v>54</v>
      </c>
      <c r="J58" s="10">
        <v>9764690</v>
      </c>
      <c r="K58" s="5" t="s">
        <v>53</v>
      </c>
      <c r="L58" s="5">
        <v>2688</v>
      </c>
    </row>
    <row r="59" spans="1:12" ht="22" customHeight="1" x14ac:dyDescent="0.35">
      <c r="A59" s="1">
        <v>2020</v>
      </c>
      <c r="B59" s="1" t="s">
        <v>78</v>
      </c>
      <c r="C59" s="7" t="s">
        <v>79</v>
      </c>
      <c r="D59" s="1" t="s">
        <v>126</v>
      </c>
      <c r="E59" s="9">
        <v>2</v>
      </c>
      <c r="F59" s="9">
        <v>4</v>
      </c>
      <c r="G59" s="11">
        <v>319665</v>
      </c>
      <c r="H59" s="9">
        <v>4</v>
      </c>
      <c r="I59" s="9">
        <v>2</v>
      </c>
      <c r="J59" s="11">
        <v>319665</v>
      </c>
      <c r="K59" s="1" t="s">
        <v>53</v>
      </c>
      <c r="L59" s="1">
        <v>2688</v>
      </c>
    </row>
    <row r="60" spans="1:12" ht="22" customHeight="1" x14ac:dyDescent="0.35">
      <c r="A60" s="5">
        <v>2020</v>
      </c>
      <c r="B60" s="5" t="s">
        <v>78</v>
      </c>
      <c r="C60" s="6" t="s">
        <v>79</v>
      </c>
      <c r="D60" s="5" t="s">
        <v>127</v>
      </c>
      <c r="E60" s="8">
        <v>1</v>
      </c>
      <c r="F60" s="8">
        <v>4</v>
      </c>
      <c r="G60" s="10">
        <v>351360</v>
      </c>
      <c r="H60" s="8">
        <v>4</v>
      </c>
      <c r="I60" s="8">
        <v>1</v>
      </c>
      <c r="J60" s="10">
        <v>351360</v>
      </c>
      <c r="K60" s="5" t="s">
        <v>53</v>
      </c>
      <c r="L60" s="5">
        <v>2688</v>
      </c>
    </row>
    <row r="61" spans="1:12" ht="22" customHeight="1" x14ac:dyDescent="0.35">
      <c r="A61" s="1">
        <v>2020</v>
      </c>
      <c r="B61" s="1" t="s">
        <v>78</v>
      </c>
      <c r="C61" s="7" t="s">
        <v>79</v>
      </c>
      <c r="D61" s="1" t="s">
        <v>128</v>
      </c>
      <c r="E61" s="9">
        <v>0</v>
      </c>
      <c r="F61" s="9">
        <v>0</v>
      </c>
      <c r="G61" s="11">
        <v>0</v>
      </c>
      <c r="H61" s="9">
        <v>0</v>
      </c>
      <c r="I61" s="9">
        <v>0</v>
      </c>
      <c r="J61" s="11">
        <v>0</v>
      </c>
      <c r="K61" s="1" t="s">
        <v>53</v>
      </c>
      <c r="L61" s="1">
        <v>2688</v>
      </c>
    </row>
    <row r="62" spans="1:12" ht="22" customHeight="1" x14ac:dyDescent="0.35">
      <c r="A62" s="5">
        <v>2020</v>
      </c>
      <c r="B62" s="5" t="s">
        <v>80</v>
      </c>
      <c r="C62" s="6" t="s">
        <v>81</v>
      </c>
      <c r="D62" s="5" t="s">
        <v>125</v>
      </c>
      <c r="E62" s="8">
        <v>80</v>
      </c>
      <c r="F62" s="8">
        <v>80</v>
      </c>
      <c r="G62" s="10">
        <v>39896970</v>
      </c>
      <c r="H62" s="8">
        <v>80</v>
      </c>
      <c r="I62" s="8">
        <v>80</v>
      </c>
      <c r="J62" s="10">
        <v>39896970</v>
      </c>
      <c r="K62" s="5" t="s">
        <v>53</v>
      </c>
      <c r="L62" s="5">
        <v>2689</v>
      </c>
    </row>
    <row r="63" spans="1:12" ht="22" customHeight="1" x14ac:dyDescent="0.35">
      <c r="A63" s="1">
        <v>2020</v>
      </c>
      <c r="B63" s="1" t="s">
        <v>80</v>
      </c>
      <c r="C63" s="7" t="s">
        <v>81</v>
      </c>
      <c r="D63" s="1" t="s">
        <v>126</v>
      </c>
      <c r="E63" s="9">
        <v>0</v>
      </c>
      <c r="F63" s="9">
        <v>0</v>
      </c>
      <c r="G63" s="11">
        <v>0</v>
      </c>
      <c r="H63" s="9">
        <v>0</v>
      </c>
      <c r="I63" s="9">
        <v>0</v>
      </c>
      <c r="J63" s="11">
        <v>0</v>
      </c>
      <c r="K63" s="1" t="s">
        <v>53</v>
      </c>
      <c r="L63" s="1">
        <v>2689</v>
      </c>
    </row>
    <row r="64" spans="1:12" ht="22" customHeight="1" x14ac:dyDescent="0.35">
      <c r="A64" s="5">
        <v>2020</v>
      </c>
      <c r="B64" s="5" t="s">
        <v>80</v>
      </c>
      <c r="C64" s="6" t="s">
        <v>81</v>
      </c>
      <c r="D64" s="5" t="s">
        <v>127</v>
      </c>
      <c r="E64" s="8">
        <v>7</v>
      </c>
      <c r="F64" s="8">
        <v>25</v>
      </c>
      <c r="G64" s="10">
        <v>4987728</v>
      </c>
      <c r="H64" s="8">
        <v>25</v>
      </c>
      <c r="I64" s="8">
        <v>7</v>
      </c>
      <c r="J64" s="10">
        <v>4987728</v>
      </c>
      <c r="K64" s="5" t="s">
        <v>53</v>
      </c>
      <c r="L64" s="5">
        <v>2689</v>
      </c>
    </row>
    <row r="65" spans="1:12" ht="22" customHeight="1" x14ac:dyDescent="0.35">
      <c r="A65" s="1">
        <v>2020</v>
      </c>
      <c r="B65" s="1" t="s">
        <v>80</v>
      </c>
      <c r="C65" s="7" t="s">
        <v>81</v>
      </c>
      <c r="D65" s="1" t="s">
        <v>128</v>
      </c>
      <c r="E65" s="9">
        <v>0</v>
      </c>
      <c r="F65" s="9">
        <v>0</v>
      </c>
      <c r="G65" s="11">
        <v>0</v>
      </c>
      <c r="H65" s="9">
        <v>0</v>
      </c>
      <c r="I65" s="9">
        <v>0</v>
      </c>
      <c r="J65" s="11">
        <v>0</v>
      </c>
      <c r="K65" s="1" t="s">
        <v>53</v>
      </c>
      <c r="L65" s="1">
        <v>2689</v>
      </c>
    </row>
    <row r="66" spans="1:12" ht="22" customHeight="1" x14ac:dyDescent="0.35">
      <c r="A66" s="5">
        <v>2020</v>
      </c>
      <c r="B66" s="5" t="s">
        <v>82</v>
      </c>
      <c r="C66" s="6" t="s">
        <v>83</v>
      </c>
      <c r="D66" s="5" t="s">
        <v>125</v>
      </c>
      <c r="E66" s="8">
        <v>26</v>
      </c>
      <c r="F66" s="8">
        <v>26</v>
      </c>
      <c r="G66" s="10">
        <v>4155930</v>
      </c>
      <c r="H66" s="8">
        <v>0</v>
      </c>
      <c r="I66" s="8">
        <v>0</v>
      </c>
      <c r="J66" s="10">
        <v>0</v>
      </c>
      <c r="K66" s="5" t="s">
        <v>53</v>
      </c>
      <c r="L66" s="5">
        <v>2690</v>
      </c>
    </row>
    <row r="67" spans="1:12" ht="22" customHeight="1" x14ac:dyDescent="0.35">
      <c r="A67" s="1">
        <v>2020</v>
      </c>
      <c r="B67" s="1" t="s">
        <v>82</v>
      </c>
      <c r="C67" s="7" t="s">
        <v>83</v>
      </c>
      <c r="D67" s="1" t="s">
        <v>126</v>
      </c>
      <c r="E67" s="9">
        <v>0</v>
      </c>
      <c r="F67" s="9">
        <v>0</v>
      </c>
      <c r="G67" s="11">
        <v>0</v>
      </c>
      <c r="H67" s="9">
        <v>0</v>
      </c>
      <c r="I67" s="9">
        <v>0</v>
      </c>
      <c r="J67" s="11">
        <v>0</v>
      </c>
      <c r="K67" s="1" t="s">
        <v>53</v>
      </c>
      <c r="L67" s="1">
        <v>2690</v>
      </c>
    </row>
    <row r="68" spans="1:12" ht="22" customHeight="1" x14ac:dyDescent="0.35">
      <c r="A68" s="5">
        <v>2020</v>
      </c>
      <c r="B68" s="5" t="s">
        <v>82</v>
      </c>
      <c r="C68" s="6" t="s">
        <v>83</v>
      </c>
      <c r="D68" s="5" t="s">
        <v>127</v>
      </c>
      <c r="E68" s="8">
        <v>0</v>
      </c>
      <c r="F68" s="8">
        <v>0</v>
      </c>
      <c r="G68" s="10">
        <v>0</v>
      </c>
      <c r="H68" s="8">
        <v>0</v>
      </c>
      <c r="I68" s="8">
        <v>0</v>
      </c>
      <c r="J68" s="10">
        <v>0</v>
      </c>
      <c r="K68" s="5" t="s">
        <v>53</v>
      </c>
      <c r="L68" s="5">
        <v>2690</v>
      </c>
    </row>
    <row r="69" spans="1:12" ht="22" customHeight="1" x14ac:dyDescent="0.35">
      <c r="A69" s="1">
        <v>2020</v>
      </c>
      <c r="B69" s="1" t="s">
        <v>82</v>
      </c>
      <c r="C69" s="7" t="s">
        <v>83</v>
      </c>
      <c r="D69" s="1" t="s">
        <v>128</v>
      </c>
      <c r="E69" s="9">
        <v>0</v>
      </c>
      <c r="F69" s="9">
        <v>0</v>
      </c>
      <c r="G69" s="11">
        <v>0</v>
      </c>
      <c r="H69" s="9">
        <v>0</v>
      </c>
      <c r="I69" s="9">
        <v>0</v>
      </c>
      <c r="J69" s="11">
        <v>0</v>
      </c>
      <c r="K69" s="1" t="s">
        <v>53</v>
      </c>
      <c r="L69" s="1">
        <v>2690</v>
      </c>
    </row>
    <row r="70" spans="1:12" ht="22" customHeight="1" x14ac:dyDescent="0.35">
      <c r="A70" s="5">
        <v>2020</v>
      </c>
      <c r="B70" s="5" t="s">
        <v>84</v>
      </c>
      <c r="C70" s="6" t="s">
        <v>85</v>
      </c>
      <c r="D70" s="5" t="s">
        <v>125</v>
      </c>
      <c r="E70" s="8">
        <v>53</v>
      </c>
      <c r="F70" s="8">
        <v>53</v>
      </c>
      <c r="G70" s="10">
        <v>17192563</v>
      </c>
      <c r="H70" s="8">
        <v>0</v>
      </c>
      <c r="I70" s="8">
        <v>0</v>
      </c>
      <c r="J70" s="10">
        <v>0</v>
      </c>
      <c r="K70" s="5" t="s">
        <v>53</v>
      </c>
      <c r="L70" s="5">
        <v>2691</v>
      </c>
    </row>
    <row r="71" spans="1:12" ht="22" customHeight="1" x14ac:dyDescent="0.35">
      <c r="A71" s="1">
        <v>2020</v>
      </c>
      <c r="B71" s="1" t="s">
        <v>84</v>
      </c>
      <c r="C71" s="7" t="s">
        <v>85</v>
      </c>
      <c r="D71" s="1" t="s">
        <v>126</v>
      </c>
      <c r="E71" s="9">
        <v>0</v>
      </c>
      <c r="F71" s="9">
        <v>0</v>
      </c>
      <c r="G71" s="11">
        <v>0</v>
      </c>
      <c r="H71" s="9">
        <v>0</v>
      </c>
      <c r="I71" s="9">
        <v>0</v>
      </c>
      <c r="J71" s="11">
        <v>0</v>
      </c>
      <c r="K71" s="1" t="s">
        <v>53</v>
      </c>
      <c r="L71" s="1">
        <v>2691</v>
      </c>
    </row>
    <row r="72" spans="1:12" ht="22" customHeight="1" x14ac:dyDescent="0.35">
      <c r="A72" s="5">
        <v>2020</v>
      </c>
      <c r="B72" s="5" t="s">
        <v>84</v>
      </c>
      <c r="C72" s="6" t="s">
        <v>85</v>
      </c>
      <c r="D72" s="5" t="s">
        <v>127</v>
      </c>
      <c r="E72" s="8">
        <v>0</v>
      </c>
      <c r="F72" s="8">
        <v>0</v>
      </c>
      <c r="G72" s="10">
        <v>0</v>
      </c>
      <c r="H72" s="8">
        <v>0</v>
      </c>
      <c r="I72" s="8">
        <v>0</v>
      </c>
      <c r="J72" s="10">
        <v>0</v>
      </c>
      <c r="K72" s="5" t="s">
        <v>53</v>
      </c>
      <c r="L72" s="5">
        <v>2691</v>
      </c>
    </row>
    <row r="73" spans="1:12" ht="22" customHeight="1" x14ac:dyDescent="0.35">
      <c r="A73" s="1">
        <v>2020</v>
      </c>
      <c r="B73" s="1" t="s">
        <v>84</v>
      </c>
      <c r="C73" s="7" t="s">
        <v>85</v>
      </c>
      <c r="D73" s="1" t="s">
        <v>128</v>
      </c>
      <c r="E73" s="9">
        <v>0</v>
      </c>
      <c r="F73" s="9">
        <v>0</v>
      </c>
      <c r="G73" s="11">
        <v>0</v>
      </c>
      <c r="H73" s="9">
        <v>0</v>
      </c>
      <c r="I73" s="9">
        <v>0</v>
      </c>
      <c r="J73" s="11">
        <v>0</v>
      </c>
      <c r="K73" s="1" t="s">
        <v>53</v>
      </c>
      <c r="L73" s="1">
        <v>2691</v>
      </c>
    </row>
    <row r="74" spans="1:12" ht="22" customHeight="1" x14ac:dyDescent="0.35">
      <c r="A74" s="5">
        <v>2020</v>
      </c>
      <c r="B74" s="5" t="s">
        <v>86</v>
      </c>
      <c r="C74" s="6" t="s">
        <v>87</v>
      </c>
      <c r="D74" s="5" t="s">
        <v>125</v>
      </c>
      <c r="E74" s="8">
        <v>4322</v>
      </c>
      <c r="F74" s="8">
        <v>4322</v>
      </c>
      <c r="G74" s="10">
        <v>1142261913</v>
      </c>
      <c r="H74" s="8">
        <v>3590</v>
      </c>
      <c r="I74" s="8">
        <v>3590</v>
      </c>
      <c r="J74" s="10">
        <v>967812472</v>
      </c>
      <c r="K74" s="5" t="s">
        <v>53</v>
      </c>
      <c r="L74" s="5">
        <v>2692</v>
      </c>
    </row>
    <row r="75" spans="1:12" ht="22" customHeight="1" x14ac:dyDescent="0.35">
      <c r="A75" s="1">
        <v>2020</v>
      </c>
      <c r="B75" s="1" t="s">
        <v>86</v>
      </c>
      <c r="C75" s="7" t="s">
        <v>87</v>
      </c>
      <c r="D75" s="1" t="s">
        <v>126</v>
      </c>
      <c r="E75" s="9">
        <v>137</v>
      </c>
      <c r="F75" s="9">
        <v>274</v>
      </c>
      <c r="G75" s="11">
        <v>33555896</v>
      </c>
      <c r="H75" s="9">
        <v>270</v>
      </c>
      <c r="I75" s="9">
        <v>135</v>
      </c>
      <c r="J75" s="11">
        <v>32889229</v>
      </c>
      <c r="K75" s="1" t="s">
        <v>53</v>
      </c>
      <c r="L75" s="1">
        <v>2692</v>
      </c>
    </row>
    <row r="76" spans="1:12" ht="22" customHeight="1" x14ac:dyDescent="0.35">
      <c r="A76" s="5">
        <v>2020</v>
      </c>
      <c r="B76" s="5" t="s">
        <v>86</v>
      </c>
      <c r="C76" s="6" t="s">
        <v>87</v>
      </c>
      <c r="D76" s="5" t="s">
        <v>127</v>
      </c>
      <c r="E76" s="8">
        <v>70</v>
      </c>
      <c r="F76" s="8">
        <v>249</v>
      </c>
      <c r="G76" s="10">
        <v>50976958</v>
      </c>
      <c r="H76" s="8">
        <v>205</v>
      </c>
      <c r="I76" s="8">
        <v>56</v>
      </c>
      <c r="J76" s="10">
        <v>43354100</v>
      </c>
      <c r="K76" s="5" t="s">
        <v>53</v>
      </c>
      <c r="L76" s="5">
        <v>2692</v>
      </c>
    </row>
    <row r="77" spans="1:12" ht="22" customHeight="1" x14ac:dyDescent="0.35">
      <c r="A77" s="1">
        <v>2020</v>
      </c>
      <c r="B77" s="1" t="s">
        <v>86</v>
      </c>
      <c r="C77" s="7" t="s">
        <v>87</v>
      </c>
      <c r="D77" s="1" t="s">
        <v>128</v>
      </c>
      <c r="E77" s="9">
        <v>109</v>
      </c>
      <c r="F77" s="9">
        <v>5256</v>
      </c>
      <c r="G77" s="11">
        <v>787238613</v>
      </c>
      <c r="H77" s="9">
        <v>4827</v>
      </c>
      <c r="I77" s="9">
        <v>98</v>
      </c>
      <c r="J77" s="11">
        <v>722430978</v>
      </c>
      <c r="K77" s="1" t="s">
        <v>53</v>
      </c>
      <c r="L77" s="1">
        <v>2692</v>
      </c>
    </row>
    <row r="78" spans="1:12" ht="22" customHeight="1" x14ac:dyDescent="0.35">
      <c r="A78" s="5">
        <v>2020</v>
      </c>
      <c r="B78" s="5" t="s">
        <v>88</v>
      </c>
      <c r="C78" s="6" t="s">
        <v>89</v>
      </c>
      <c r="D78" s="5" t="s">
        <v>125</v>
      </c>
      <c r="E78" s="8">
        <v>46</v>
      </c>
      <c r="F78" s="8">
        <v>46</v>
      </c>
      <c r="G78" s="10">
        <v>7171344</v>
      </c>
      <c r="H78" s="8">
        <v>8</v>
      </c>
      <c r="I78" s="8">
        <v>8</v>
      </c>
      <c r="J78" s="10">
        <v>1371912</v>
      </c>
      <c r="K78" s="5" t="s">
        <v>53</v>
      </c>
      <c r="L78" s="5">
        <v>2693</v>
      </c>
    </row>
    <row r="79" spans="1:12" ht="22" customHeight="1" x14ac:dyDescent="0.35">
      <c r="A79" s="1">
        <v>2020</v>
      </c>
      <c r="B79" s="1" t="s">
        <v>88</v>
      </c>
      <c r="C79" s="7" t="s">
        <v>89</v>
      </c>
      <c r="D79" s="1" t="s">
        <v>126</v>
      </c>
      <c r="E79" s="9">
        <v>0</v>
      </c>
      <c r="F79" s="9">
        <v>0</v>
      </c>
      <c r="G79" s="11">
        <v>0</v>
      </c>
      <c r="H79" s="9">
        <v>0</v>
      </c>
      <c r="I79" s="9">
        <v>0</v>
      </c>
      <c r="J79" s="11">
        <v>0</v>
      </c>
      <c r="K79" s="1" t="s">
        <v>53</v>
      </c>
      <c r="L79" s="1">
        <v>2693</v>
      </c>
    </row>
    <row r="80" spans="1:12" ht="22" customHeight="1" x14ac:dyDescent="0.35">
      <c r="A80" s="5">
        <v>2020</v>
      </c>
      <c r="B80" s="5" t="s">
        <v>88</v>
      </c>
      <c r="C80" s="6" t="s">
        <v>89</v>
      </c>
      <c r="D80" s="5" t="s">
        <v>127</v>
      </c>
      <c r="E80" s="8">
        <v>0</v>
      </c>
      <c r="F80" s="8">
        <v>0</v>
      </c>
      <c r="G80" s="10">
        <v>0</v>
      </c>
      <c r="H80" s="8">
        <v>0</v>
      </c>
      <c r="I80" s="8">
        <v>0</v>
      </c>
      <c r="J80" s="10">
        <v>0</v>
      </c>
      <c r="K80" s="5" t="s">
        <v>53</v>
      </c>
      <c r="L80" s="5">
        <v>2693</v>
      </c>
    </row>
    <row r="81" spans="1:12" ht="22" customHeight="1" x14ac:dyDescent="0.35">
      <c r="A81" s="1">
        <v>2020</v>
      </c>
      <c r="B81" s="1" t="s">
        <v>88</v>
      </c>
      <c r="C81" s="7" t="s">
        <v>89</v>
      </c>
      <c r="D81" s="1" t="s">
        <v>128</v>
      </c>
      <c r="E81" s="9">
        <v>0</v>
      </c>
      <c r="F81" s="9">
        <v>0</v>
      </c>
      <c r="G81" s="11">
        <v>0</v>
      </c>
      <c r="H81" s="9">
        <v>0</v>
      </c>
      <c r="I81" s="9">
        <v>0</v>
      </c>
      <c r="J81" s="11">
        <v>0</v>
      </c>
      <c r="K81" s="1" t="s">
        <v>53</v>
      </c>
      <c r="L81" s="1">
        <v>2693</v>
      </c>
    </row>
    <row r="82" spans="1:12" ht="22" customHeight="1" x14ac:dyDescent="0.35">
      <c r="A82" s="5">
        <v>2020</v>
      </c>
      <c r="B82" s="5" t="s">
        <v>90</v>
      </c>
      <c r="C82" s="6" t="s">
        <v>91</v>
      </c>
      <c r="D82" s="5" t="s">
        <v>125</v>
      </c>
      <c r="E82" s="8">
        <v>73</v>
      </c>
      <c r="F82" s="8">
        <v>73</v>
      </c>
      <c r="G82" s="10">
        <v>14797439</v>
      </c>
      <c r="H82" s="8">
        <v>73</v>
      </c>
      <c r="I82" s="8">
        <v>73</v>
      </c>
      <c r="J82" s="10">
        <v>14797439</v>
      </c>
      <c r="K82" s="5" t="s">
        <v>53</v>
      </c>
      <c r="L82" s="5">
        <v>2694</v>
      </c>
    </row>
    <row r="83" spans="1:12" ht="22" customHeight="1" x14ac:dyDescent="0.35">
      <c r="A83" s="1">
        <v>2020</v>
      </c>
      <c r="B83" s="1" t="s">
        <v>90</v>
      </c>
      <c r="C83" s="7" t="s">
        <v>91</v>
      </c>
      <c r="D83" s="1" t="s">
        <v>126</v>
      </c>
      <c r="E83" s="9">
        <v>0</v>
      </c>
      <c r="F83" s="9">
        <v>0</v>
      </c>
      <c r="G83" s="11">
        <v>0</v>
      </c>
      <c r="H83" s="9">
        <v>0</v>
      </c>
      <c r="I83" s="9">
        <v>0</v>
      </c>
      <c r="J83" s="11">
        <v>0</v>
      </c>
      <c r="K83" s="1" t="s">
        <v>53</v>
      </c>
      <c r="L83" s="1">
        <v>2694</v>
      </c>
    </row>
    <row r="84" spans="1:12" ht="22" customHeight="1" x14ac:dyDescent="0.35">
      <c r="A84" s="5">
        <v>2020</v>
      </c>
      <c r="B84" s="5" t="s">
        <v>90</v>
      </c>
      <c r="C84" s="6" t="s">
        <v>91</v>
      </c>
      <c r="D84" s="5" t="s">
        <v>127</v>
      </c>
      <c r="E84" s="8">
        <v>0</v>
      </c>
      <c r="F84" s="8">
        <v>0</v>
      </c>
      <c r="G84" s="10">
        <v>0</v>
      </c>
      <c r="H84" s="8">
        <v>0</v>
      </c>
      <c r="I84" s="8">
        <v>0</v>
      </c>
      <c r="J84" s="10">
        <v>0</v>
      </c>
      <c r="K84" s="5" t="s">
        <v>53</v>
      </c>
      <c r="L84" s="5">
        <v>2694</v>
      </c>
    </row>
    <row r="85" spans="1:12" ht="22" customHeight="1" x14ac:dyDescent="0.35">
      <c r="A85" s="1">
        <v>2020</v>
      </c>
      <c r="B85" s="1" t="s">
        <v>90</v>
      </c>
      <c r="C85" s="7" t="s">
        <v>91</v>
      </c>
      <c r="D85" s="1" t="s">
        <v>128</v>
      </c>
      <c r="E85" s="9">
        <v>0</v>
      </c>
      <c r="F85" s="9">
        <v>0</v>
      </c>
      <c r="G85" s="11">
        <v>0</v>
      </c>
      <c r="H85" s="9">
        <v>0</v>
      </c>
      <c r="I85" s="9">
        <v>0</v>
      </c>
      <c r="J85" s="11">
        <v>0</v>
      </c>
      <c r="K85" s="1" t="s">
        <v>53</v>
      </c>
      <c r="L85" s="1">
        <v>2694</v>
      </c>
    </row>
    <row r="86" spans="1:12" ht="22" customHeight="1" x14ac:dyDescent="0.35">
      <c r="A86" s="5">
        <v>2020</v>
      </c>
      <c r="B86" s="5" t="s">
        <v>92</v>
      </c>
      <c r="C86" s="6" t="s">
        <v>93</v>
      </c>
      <c r="D86" s="5" t="s">
        <v>125</v>
      </c>
      <c r="E86" s="8">
        <v>101</v>
      </c>
      <c r="F86" s="8">
        <v>101</v>
      </c>
      <c r="G86" s="10">
        <v>24589061</v>
      </c>
      <c r="H86" s="8">
        <v>101</v>
      </c>
      <c r="I86" s="8">
        <v>101</v>
      </c>
      <c r="J86" s="10">
        <v>24589061</v>
      </c>
      <c r="K86" s="5" t="s">
        <v>53</v>
      </c>
      <c r="L86" s="5">
        <v>2695</v>
      </c>
    </row>
    <row r="87" spans="1:12" ht="22" customHeight="1" x14ac:dyDescent="0.35">
      <c r="A87" s="1">
        <v>2020</v>
      </c>
      <c r="B87" s="1" t="s">
        <v>92</v>
      </c>
      <c r="C87" s="7" t="s">
        <v>93</v>
      </c>
      <c r="D87" s="1" t="s">
        <v>126</v>
      </c>
      <c r="E87" s="9">
        <v>2</v>
      </c>
      <c r="F87" s="9">
        <v>4</v>
      </c>
      <c r="G87" s="11">
        <v>526000</v>
      </c>
      <c r="H87" s="9">
        <v>4</v>
      </c>
      <c r="I87" s="9">
        <v>2</v>
      </c>
      <c r="J87" s="11">
        <v>526000</v>
      </c>
      <c r="K87" s="1" t="s">
        <v>53</v>
      </c>
      <c r="L87" s="1">
        <v>2695</v>
      </c>
    </row>
    <row r="88" spans="1:12" ht="22" customHeight="1" x14ac:dyDescent="0.35">
      <c r="A88" s="5">
        <v>2020</v>
      </c>
      <c r="B88" s="5" t="s">
        <v>92</v>
      </c>
      <c r="C88" s="6" t="s">
        <v>93</v>
      </c>
      <c r="D88" s="5" t="s">
        <v>127</v>
      </c>
      <c r="E88" s="8">
        <v>0</v>
      </c>
      <c r="F88" s="8">
        <v>0</v>
      </c>
      <c r="G88" s="10">
        <v>0</v>
      </c>
      <c r="H88" s="8">
        <v>0</v>
      </c>
      <c r="I88" s="8">
        <v>0</v>
      </c>
      <c r="J88" s="10">
        <v>0</v>
      </c>
      <c r="K88" s="5" t="s">
        <v>53</v>
      </c>
      <c r="L88" s="5">
        <v>2695</v>
      </c>
    </row>
    <row r="89" spans="1:12" ht="22" customHeight="1" x14ac:dyDescent="0.35">
      <c r="A89" s="1">
        <v>2020</v>
      </c>
      <c r="B89" s="1" t="s">
        <v>92</v>
      </c>
      <c r="C89" s="7" t="s">
        <v>93</v>
      </c>
      <c r="D89" s="1" t="s">
        <v>128</v>
      </c>
      <c r="E89" s="9">
        <v>0</v>
      </c>
      <c r="F89" s="9">
        <v>0</v>
      </c>
      <c r="G89" s="11">
        <v>0</v>
      </c>
      <c r="H89" s="9">
        <v>0</v>
      </c>
      <c r="I89" s="9">
        <v>0</v>
      </c>
      <c r="J89" s="11">
        <v>0</v>
      </c>
      <c r="K89" s="1" t="s">
        <v>53</v>
      </c>
      <c r="L89" s="1">
        <v>2695</v>
      </c>
    </row>
    <row r="90" spans="1:12" ht="22" customHeight="1" x14ac:dyDescent="0.35">
      <c r="A90" s="5">
        <v>2020</v>
      </c>
      <c r="B90" s="5" t="s">
        <v>94</v>
      </c>
      <c r="C90" s="6" t="s">
        <v>95</v>
      </c>
      <c r="D90" s="5" t="s">
        <v>125</v>
      </c>
      <c r="E90" s="8">
        <v>199</v>
      </c>
      <c r="F90" s="8">
        <v>199</v>
      </c>
      <c r="G90" s="10">
        <v>141399173</v>
      </c>
      <c r="H90" s="8">
        <v>93</v>
      </c>
      <c r="I90" s="8">
        <v>93</v>
      </c>
      <c r="J90" s="10">
        <v>86940944</v>
      </c>
      <c r="K90" s="5" t="s">
        <v>53</v>
      </c>
      <c r="L90" s="5">
        <v>2696</v>
      </c>
    </row>
    <row r="91" spans="1:12" ht="22" customHeight="1" x14ac:dyDescent="0.35">
      <c r="A91" s="1">
        <v>2020</v>
      </c>
      <c r="B91" s="1" t="s">
        <v>94</v>
      </c>
      <c r="C91" s="7" t="s">
        <v>95</v>
      </c>
      <c r="D91" s="1" t="s">
        <v>126</v>
      </c>
      <c r="E91" s="9">
        <v>2</v>
      </c>
      <c r="F91" s="9">
        <v>4</v>
      </c>
      <c r="G91" s="11">
        <v>691450</v>
      </c>
      <c r="H91" s="9">
        <v>4</v>
      </c>
      <c r="I91" s="9">
        <v>2</v>
      </c>
      <c r="J91" s="11">
        <v>691450</v>
      </c>
      <c r="K91" s="1" t="s">
        <v>53</v>
      </c>
      <c r="L91" s="1">
        <v>2696</v>
      </c>
    </row>
    <row r="92" spans="1:12" ht="22" customHeight="1" x14ac:dyDescent="0.35">
      <c r="A92" s="5">
        <v>2020</v>
      </c>
      <c r="B92" s="5" t="s">
        <v>94</v>
      </c>
      <c r="C92" s="6" t="s">
        <v>95</v>
      </c>
      <c r="D92" s="5" t="s">
        <v>127</v>
      </c>
      <c r="E92" s="8">
        <v>12</v>
      </c>
      <c r="F92" s="8">
        <v>40</v>
      </c>
      <c r="G92" s="10">
        <v>7478123</v>
      </c>
      <c r="H92" s="8">
        <v>19</v>
      </c>
      <c r="I92" s="8">
        <v>5</v>
      </c>
      <c r="J92" s="10">
        <v>1587413</v>
      </c>
      <c r="K92" s="5" t="s">
        <v>53</v>
      </c>
      <c r="L92" s="5">
        <v>2696</v>
      </c>
    </row>
    <row r="93" spans="1:12" ht="22" customHeight="1" x14ac:dyDescent="0.35">
      <c r="A93" s="1">
        <v>2020</v>
      </c>
      <c r="B93" s="1" t="s">
        <v>94</v>
      </c>
      <c r="C93" s="7" t="s">
        <v>95</v>
      </c>
      <c r="D93" s="1" t="s">
        <v>128</v>
      </c>
      <c r="E93" s="9">
        <v>13</v>
      </c>
      <c r="F93" s="9">
        <v>72</v>
      </c>
      <c r="G93" s="11">
        <v>12301690</v>
      </c>
      <c r="H93" s="9">
        <v>0</v>
      </c>
      <c r="I93" s="9">
        <v>0</v>
      </c>
      <c r="J93" s="11">
        <v>0</v>
      </c>
      <c r="K93" s="1" t="s">
        <v>53</v>
      </c>
      <c r="L93" s="1">
        <v>2696</v>
      </c>
    </row>
    <row r="94" spans="1:12" ht="22" customHeight="1" x14ac:dyDescent="0.35">
      <c r="A94" s="5">
        <v>2020</v>
      </c>
      <c r="B94" s="5" t="s">
        <v>96</v>
      </c>
      <c r="C94" s="6" t="s">
        <v>97</v>
      </c>
      <c r="D94" s="5" t="s">
        <v>125</v>
      </c>
      <c r="E94" s="8">
        <v>881</v>
      </c>
      <c r="F94" s="8">
        <v>881</v>
      </c>
      <c r="G94" s="10">
        <v>206503680</v>
      </c>
      <c r="H94" s="8">
        <v>881</v>
      </c>
      <c r="I94" s="8">
        <v>881</v>
      </c>
      <c r="J94" s="10">
        <v>206503680</v>
      </c>
      <c r="K94" s="5" t="s">
        <v>53</v>
      </c>
      <c r="L94" s="5">
        <v>2697</v>
      </c>
    </row>
    <row r="95" spans="1:12" ht="22" customHeight="1" x14ac:dyDescent="0.35">
      <c r="A95" s="1">
        <v>2020</v>
      </c>
      <c r="B95" s="1" t="s">
        <v>96</v>
      </c>
      <c r="C95" s="7" t="s">
        <v>97</v>
      </c>
      <c r="D95" s="1" t="s">
        <v>126</v>
      </c>
      <c r="E95" s="9">
        <v>3</v>
      </c>
      <c r="F95" s="9">
        <v>6</v>
      </c>
      <c r="G95" s="11">
        <v>1194810</v>
      </c>
      <c r="H95" s="9">
        <v>6</v>
      </c>
      <c r="I95" s="9">
        <v>3</v>
      </c>
      <c r="J95" s="11">
        <v>1194810</v>
      </c>
      <c r="K95" s="1" t="s">
        <v>53</v>
      </c>
      <c r="L95" s="1">
        <v>2697</v>
      </c>
    </row>
    <row r="96" spans="1:12" ht="22" customHeight="1" x14ac:dyDescent="0.35">
      <c r="A96" s="5">
        <v>2020</v>
      </c>
      <c r="B96" s="5" t="s">
        <v>96</v>
      </c>
      <c r="C96" s="6" t="s">
        <v>97</v>
      </c>
      <c r="D96" s="5" t="s">
        <v>127</v>
      </c>
      <c r="E96" s="8">
        <v>3</v>
      </c>
      <c r="F96" s="8">
        <v>11</v>
      </c>
      <c r="G96" s="10">
        <v>2118308</v>
      </c>
      <c r="H96" s="8">
        <v>11</v>
      </c>
      <c r="I96" s="8">
        <v>3</v>
      </c>
      <c r="J96" s="10">
        <v>2118308</v>
      </c>
      <c r="K96" s="5" t="s">
        <v>53</v>
      </c>
      <c r="L96" s="5">
        <v>2697</v>
      </c>
    </row>
    <row r="97" spans="1:12" ht="22" customHeight="1" x14ac:dyDescent="0.35">
      <c r="A97" s="1">
        <v>2020</v>
      </c>
      <c r="B97" s="1" t="s">
        <v>96</v>
      </c>
      <c r="C97" s="7" t="s">
        <v>97</v>
      </c>
      <c r="D97" s="1" t="s">
        <v>128</v>
      </c>
      <c r="E97" s="9">
        <v>3</v>
      </c>
      <c r="F97" s="9">
        <v>34</v>
      </c>
      <c r="G97" s="11">
        <v>4043059</v>
      </c>
      <c r="H97" s="9">
        <v>34</v>
      </c>
      <c r="I97" s="9">
        <v>3</v>
      </c>
      <c r="J97" s="11">
        <v>4043059</v>
      </c>
      <c r="K97" s="1" t="s">
        <v>53</v>
      </c>
      <c r="L97" s="1">
        <v>2697</v>
      </c>
    </row>
    <row r="98" spans="1:12" ht="22" customHeight="1" x14ac:dyDescent="0.35">
      <c r="A98" s="5">
        <v>2020</v>
      </c>
      <c r="B98" s="5" t="s">
        <v>98</v>
      </c>
      <c r="C98" s="6" t="s">
        <v>99</v>
      </c>
      <c r="D98" s="5" t="s">
        <v>125</v>
      </c>
      <c r="E98" s="8">
        <v>59</v>
      </c>
      <c r="F98" s="8">
        <v>59</v>
      </c>
      <c r="G98" s="10">
        <v>16891102</v>
      </c>
      <c r="H98" s="8">
        <v>59</v>
      </c>
      <c r="I98" s="8">
        <v>59</v>
      </c>
      <c r="J98" s="10">
        <v>16891102</v>
      </c>
      <c r="K98" s="5" t="s">
        <v>53</v>
      </c>
      <c r="L98" s="5">
        <v>2698</v>
      </c>
    </row>
    <row r="99" spans="1:12" ht="22" customHeight="1" x14ac:dyDescent="0.35">
      <c r="A99" s="1">
        <v>2020</v>
      </c>
      <c r="B99" s="1" t="s">
        <v>98</v>
      </c>
      <c r="C99" s="7" t="s">
        <v>99</v>
      </c>
      <c r="D99" s="1" t="s">
        <v>126</v>
      </c>
      <c r="E99" s="9">
        <v>0</v>
      </c>
      <c r="F99" s="9">
        <v>0</v>
      </c>
      <c r="G99" s="11">
        <v>0</v>
      </c>
      <c r="H99" s="9">
        <v>0</v>
      </c>
      <c r="I99" s="9">
        <v>0</v>
      </c>
      <c r="J99" s="11">
        <v>0</v>
      </c>
      <c r="K99" s="1" t="s">
        <v>53</v>
      </c>
      <c r="L99" s="1">
        <v>2698</v>
      </c>
    </row>
    <row r="100" spans="1:12" ht="22" customHeight="1" x14ac:dyDescent="0.35">
      <c r="A100" s="5">
        <v>2020</v>
      </c>
      <c r="B100" s="5" t="s">
        <v>98</v>
      </c>
      <c r="C100" s="6" t="s">
        <v>99</v>
      </c>
      <c r="D100" s="5" t="s">
        <v>127</v>
      </c>
      <c r="E100" s="8">
        <v>0</v>
      </c>
      <c r="F100" s="8">
        <v>0</v>
      </c>
      <c r="G100" s="10">
        <v>0</v>
      </c>
      <c r="H100" s="8">
        <v>0</v>
      </c>
      <c r="I100" s="8">
        <v>0</v>
      </c>
      <c r="J100" s="10">
        <v>0</v>
      </c>
      <c r="K100" s="5" t="s">
        <v>53</v>
      </c>
      <c r="L100" s="5">
        <v>2698</v>
      </c>
    </row>
    <row r="101" spans="1:12" ht="22" customHeight="1" x14ac:dyDescent="0.35">
      <c r="A101" s="1">
        <v>2020</v>
      </c>
      <c r="B101" s="1" t="s">
        <v>98</v>
      </c>
      <c r="C101" s="7" t="s">
        <v>99</v>
      </c>
      <c r="D101" s="1" t="s">
        <v>128</v>
      </c>
      <c r="E101" s="9">
        <v>0</v>
      </c>
      <c r="F101" s="9">
        <v>0</v>
      </c>
      <c r="G101" s="11">
        <v>0</v>
      </c>
      <c r="H101" s="9">
        <v>0</v>
      </c>
      <c r="I101" s="9">
        <v>0</v>
      </c>
      <c r="J101" s="11">
        <v>0</v>
      </c>
      <c r="K101" s="1" t="s">
        <v>53</v>
      </c>
      <c r="L101" s="1">
        <v>2698</v>
      </c>
    </row>
    <row r="102" spans="1:12" ht="22" customHeight="1" x14ac:dyDescent="0.35">
      <c r="A102" s="5">
        <v>2020</v>
      </c>
      <c r="B102" s="5" t="s">
        <v>100</v>
      </c>
      <c r="C102" s="6" t="s">
        <v>101</v>
      </c>
      <c r="D102" s="5" t="s">
        <v>125</v>
      </c>
      <c r="E102" s="8">
        <v>6731</v>
      </c>
      <c r="F102" s="8">
        <v>6731</v>
      </c>
      <c r="G102" s="10">
        <v>1909827180</v>
      </c>
      <c r="H102" s="8">
        <v>6612</v>
      </c>
      <c r="I102" s="8">
        <v>6612</v>
      </c>
      <c r="J102" s="10">
        <v>1862889224</v>
      </c>
      <c r="K102" s="5" t="s">
        <v>53</v>
      </c>
      <c r="L102" s="5">
        <v>2699</v>
      </c>
    </row>
    <row r="103" spans="1:12" ht="22" customHeight="1" x14ac:dyDescent="0.35">
      <c r="A103" s="1">
        <v>2020</v>
      </c>
      <c r="B103" s="1" t="s">
        <v>100</v>
      </c>
      <c r="C103" s="7" t="s">
        <v>101</v>
      </c>
      <c r="D103" s="1" t="s">
        <v>126</v>
      </c>
      <c r="E103" s="9">
        <v>19</v>
      </c>
      <c r="F103" s="9">
        <v>38</v>
      </c>
      <c r="G103" s="11">
        <v>7337426</v>
      </c>
      <c r="H103" s="9">
        <v>38</v>
      </c>
      <c r="I103" s="9">
        <v>19</v>
      </c>
      <c r="J103" s="11">
        <v>7337426</v>
      </c>
      <c r="K103" s="1" t="s">
        <v>53</v>
      </c>
      <c r="L103" s="1">
        <v>2699</v>
      </c>
    </row>
    <row r="104" spans="1:12" ht="22" customHeight="1" x14ac:dyDescent="0.35">
      <c r="A104" s="5">
        <v>2020</v>
      </c>
      <c r="B104" s="5" t="s">
        <v>100</v>
      </c>
      <c r="C104" s="6" t="s">
        <v>101</v>
      </c>
      <c r="D104" s="5" t="s">
        <v>127</v>
      </c>
      <c r="E104" s="8">
        <v>105</v>
      </c>
      <c r="F104" s="8">
        <v>391</v>
      </c>
      <c r="G104" s="10">
        <v>54039911</v>
      </c>
      <c r="H104" s="8">
        <v>391</v>
      </c>
      <c r="I104" s="8">
        <v>105</v>
      </c>
      <c r="J104" s="10">
        <v>54039911</v>
      </c>
      <c r="K104" s="5" t="s">
        <v>53</v>
      </c>
      <c r="L104" s="5">
        <v>2699</v>
      </c>
    </row>
    <row r="105" spans="1:12" ht="22" customHeight="1" x14ac:dyDescent="0.35">
      <c r="A105" s="1">
        <v>2020</v>
      </c>
      <c r="B105" s="1" t="s">
        <v>100</v>
      </c>
      <c r="C105" s="7" t="s">
        <v>101</v>
      </c>
      <c r="D105" s="1" t="s">
        <v>128</v>
      </c>
      <c r="E105" s="9">
        <v>71</v>
      </c>
      <c r="F105" s="9">
        <v>699</v>
      </c>
      <c r="G105" s="11">
        <v>96985999</v>
      </c>
      <c r="H105" s="9">
        <v>699</v>
      </c>
      <c r="I105" s="9">
        <v>71</v>
      </c>
      <c r="J105" s="11">
        <v>96985999</v>
      </c>
      <c r="K105" s="1" t="s">
        <v>53</v>
      </c>
      <c r="L105" s="1">
        <v>2699</v>
      </c>
    </row>
    <row r="106" spans="1:12" ht="22" customHeight="1" x14ac:dyDescent="0.35">
      <c r="A106" s="5">
        <v>2020</v>
      </c>
      <c r="B106" s="5" t="s">
        <v>102</v>
      </c>
      <c r="C106" s="6" t="s">
        <v>103</v>
      </c>
      <c r="D106" s="5" t="s">
        <v>125</v>
      </c>
      <c r="E106" s="8">
        <v>496</v>
      </c>
      <c r="F106" s="8">
        <v>496</v>
      </c>
      <c r="G106" s="10">
        <v>265381247</v>
      </c>
      <c r="H106" s="8">
        <v>491</v>
      </c>
      <c r="I106" s="8">
        <v>491</v>
      </c>
      <c r="J106" s="10">
        <v>263204997</v>
      </c>
      <c r="K106" s="5" t="s">
        <v>53</v>
      </c>
      <c r="L106" s="5">
        <v>2700</v>
      </c>
    </row>
    <row r="107" spans="1:12" ht="22" customHeight="1" x14ac:dyDescent="0.35">
      <c r="A107" s="1">
        <v>2020</v>
      </c>
      <c r="B107" s="1" t="s">
        <v>102</v>
      </c>
      <c r="C107" s="7" t="s">
        <v>103</v>
      </c>
      <c r="D107" s="1" t="s">
        <v>126</v>
      </c>
      <c r="E107" s="9">
        <v>0</v>
      </c>
      <c r="F107" s="9">
        <v>0</v>
      </c>
      <c r="G107" s="11">
        <v>0</v>
      </c>
      <c r="H107" s="9">
        <v>0</v>
      </c>
      <c r="I107" s="9">
        <v>0</v>
      </c>
      <c r="J107" s="11">
        <v>0</v>
      </c>
      <c r="K107" s="1" t="s">
        <v>53</v>
      </c>
      <c r="L107" s="1">
        <v>2700</v>
      </c>
    </row>
    <row r="108" spans="1:12" ht="22" customHeight="1" x14ac:dyDescent="0.35">
      <c r="A108" s="5">
        <v>2020</v>
      </c>
      <c r="B108" s="5" t="s">
        <v>102</v>
      </c>
      <c r="C108" s="6" t="s">
        <v>103</v>
      </c>
      <c r="D108" s="5" t="s">
        <v>127</v>
      </c>
      <c r="E108" s="8">
        <v>0</v>
      </c>
      <c r="F108" s="8">
        <v>0</v>
      </c>
      <c r="G108" s="10">
        <v>0</v>
      </c>
      <c r="H108" s="8">
        <v>0</v>
      </c>
      <c r="I108" s="8">
        <v>0</v>
      </c>
      <c r="J108" s="10">
        <v>0</v>
      </c>
      <c r="K108" s="5" t="s">
        <v>53</v>
      </c>
      <c r="L108" s="5">
        <v>2700</v>
      </c>
    </row>
    <row r="109" spans="1:12" ht="22" customHeight="1" x14ac:dyDescent="0.35">
      <c r="A109" s="1">
        <v>2020</v>
      </c>
      <c r="B109" s="1" t="s">
        <v>102</v>
      </c>
      <c r="C109" s="7" t="s">
        <v>103</v>
      </c>
      <c r="D109" s="1" t="s">
        <v>128</v>
      </c>
      <c r="E109" s="9">
        <v>2</v>
      </c>
      <c r="F109" s="9">
        <v>21</v>
      </c>
      <c r="G109" s="11">
        <v>5183919</v>
      </c>
      <c r="H109" s="9">
        <v>21</v>
      </c>
      <c r="I109" s="9">
        <v>2</v>
      </c>
      <c r="J109" s="11">
        <v>5183919</v>
      </c>
      <c r="K109" s="1" t="s">
        <v>53</v>
      </c>
      <c r="L109" s="1">
        <v>2700</v>
      </c>
    </row>
    <row r="110" spans="1:12" ht="22" customHeight="1" x14ac:dyDescent="0.35">
      <c r="A110" s="5">
        <v>2020</v>
      </c>
      <c r="B110" s="5" t="s">
        <v>104</v>
      </c>
      <c r="C110" s="6" t="s">
        <v>105</v>
      </c>
      <c r="D110" s="5" t="s">
        <v>125</v>
      </c>
      <c r="E110" s="8">
        <v>2939</v>
      </c>
      <c r="F110" s="8">
        <v>2939</v>
      </c>
      <c r="G110" s="10">
        <v>588176094</v>
      </c>
      <c r="H110" s="8">
        <v>2484</v>
      </c>
      <c r="I110" s="8">
        <v>2484</v>
      </c>
      <c r="J110" s="10">
        <v>506090868</v>
      </c>
      <c r="K110" s="5" t="s">
        <v>53</v>
      </c>
      <c r="L110" s="5">
        <v>2701</v>
      </c>
    </row>
    <row r="111" spans="1:12" ht="22" customHeight="1" x14ac:dyDescent="0.35">
      <c r="A111" s="1">
        <v>2020</v>
      </c>
      <c r="B111" s="1" t="s">
        <v>104</v>
      </c>
      <c r="C111" s="7" t="s">
        <v>105</v>
      </c>
      <c r="D111" s="1" t="s">
        <v>126</v>
      </c>
      <c r="E111" s="9">
        <v>7</v>
      </c>
      <c r="F111" s="9">
        <v>14</v>
      </c>
      <c r="G111" s="11">
        <v>2690126</v>
      </c>
      <c r="H111" s="9">
        <v>10</v>
      </c>
      <c r="I111" s="9">
        <v>5</v>
      </c>
      <c r="J111" s="11">
        <v>1936890</v>
      </c>
      <c r="K111" s="1" t="s">
        <v>53</v>
      </c>
      <c r="L111" s="1">
        <v>2701</v>
      </c>
    </row>
    <row r="112" spans="1:12" ht="22" customHeight="1" x14ac:dyDescent="0.35">
      <c r="A112" s="5">
        <v>2020</v>
      </c>
      <c r="B112" s="5" t="s">
        <v>104</v>
      </c>
      <c r="C112" s="6" t="s">
        <v>105</v>
      </c>
      <c r="D112" s="5" t="s">
        <v>127</v>
      </c>
      <c r="E112" s="8">
        <v>13</v>
      </c>
      <c r="F112" s="8">
        <v>51</v>
      </c>
      <c r="G112" s="10">
        <v>9451946</v>
      </c>
      <c r="H112" s="8">
        <v>47</v>
      </c>
      <c r="I112" s="8">
        <v>12</v>
      </c>
      <c r="J112" s="10">
        <v>8649946</v>
      </c>
      <c r="K112" s="5" t="s">
        <v>53</v>
      </c>
      <c r="L112" s="5">
        <v>2701</v>
      </c>
    </row>
    <row r="113" spans="1:12" ht="22" customHeight="1" x14ac:dyDescent="0.35">
      <c r="A113" s="1">
        <v>2020</v>
      </c>
      <c r="B113" s="1" t="s">
        <v>104</v>
      </c>
      <c r="C113" s="7" t="s">
        <v>105</v>
      </c>
      <c r="D113" s="1" t="s">
        <v>128</v>
      </c>
      <c r="E113" s="9">
        <v>18</v>
      </c>
      <c r="F113" s="9">
        <v>310</v>
      </c>
      <c r="G113" s="11">
        <v>41390914</v>
      </c>
      <c r="H113" s="9">
        <v>293</v>
      </c>
      <c r="I113" s="9">
        <v>16</v>
      </c>
      <c r="J113" s="11">
        <v>39329114</v>
      </c>
      <c r="K113" s="1" t="s">
        <v>53</v>
      </c>
      <c r="L113" s="1">
        <v>2701</v>
      </c>
    </row>
    <row r="114" spans="1:12" ht="22" customHeight="1" x14ac:dyDescent="0.35">
      <c r="A114" s="5">
        <v>2020</v>
      </c>
      <c r="B114" s="5" t="s">
        <v>106</v>
      </c>
      <c r="C114" s="6" t="s">
        <v>107</v>
      </c>
      <c r="D114" s="5" t="s">
        <v>125</v>
      </c>
      <c r="E114" s="8">
        <v>31</v>
      </c>
      <c r="F114" s="8">
        <v>31</v>
      </c>
      <c r="G114" s="10">
        <v>7760000</v>
      </c>
      <c r="H114" s="8">
        <v>31</v>
      </c>
      <c r="I114" s="8">
        <v>31</v>
      </c>
      <c r="J114" s="10">
        <v>7760000</v>
      </c>
      <c r="K114" s="5" t="s">
        <v>53</v>
      </c>
      <c r="L114" s="5">
        <v>2702</v>
      </c>
    </row>
    <row r="115" spans="1:12" ht="22" customHeight="1" x14ac:dyDescent="0.35">
      <c r="A115" s="1">
        <v>2020</v>
      </c>
      <c r="B115" s="1" t="s">
        <v>106</v>
      </c>
      <c r="C115" s="7" t="s">
        <v>107</v>
      </c>
      <c r="D115" s="1" t="s">
        <v>126</v>
      </c>
      <c r="E115" s="9">
        <v>0</v>
      </c>
      <c r="F115" s="9">
        <v>0</v>
      </c>
      <c r="G115" s="11">
        <v>0</v>
      </c>
      <c r="H115" s="9">
        <v>0</v>
      </c>
      <c r="I115" s="9">
        <v>0</v>
      </c>
      <c r="J115" s="11">
        <v>0</v>
      </c>
      <c r="K115" s="1" t="s">
        <v>53</v>
      </c>
      <c r="L115" s="1">
        <v>2702</v>
      </c>
    </row>
    <row r="116" spans="1:12" ht="22" customHeight="1" x14ac:dyDescent="0.35">
      <c r="A116" s="5">
        <v>2020</v>
      </c>
      <c r="B116" s="5" t="s">
        <v>106</v>
      </c>
      <c r="C116" s="6" t="s">
        <v>107</v>
      </c>
      <c r="D116" s="5" t="s">
        <v>127</v>
      </c>
      <c r="E116" s="8">
        <v>0</v>
      </c>
      <c r="F116" s="8">
        <v>0</v>
      </c>
      <c r="G116" s="10">
        <v>0</v>
      </c>
      <c r="H116" s="8">
        <v>0</v>
      </c>
      <c r="I116" s="8">
        <v>0</v>
      </c>
      <c r="J116" s="10">
        <v>0</v>
      </c>
      <c r="K116" s="5" t="s">
        <v>53</v>
      </c>
      <c r="L116" s="5">
        <v>2702</v>
      </c>
    </row>
    <row r="117" spans="1:12" ht="22" customHeight="1" x14ac:dyDescent="0.35">
      <c r="A117" s="1">
        <v>2020</v>
      </c>
      <c r="B117" s="1" t="s">
        <v>106</v>
      </c>
      <c r="C117" s="7" t="s">
        <v>107</v>
      </c>
      <c r="D117" s="1" t="s">
        <v>128</v>
      </c>
      <c r="E117" s="9">
        <v>0</v>
      </c>
      <c r="F117" s="9">
        <v>0</v>
      </c>
      <c r="G117" s="11">
        <v>0</v>
      </c>
      <c r="H117" s="9">
        <v>0</v>
      </c>
      <c r="I117" s="9">
        <v>0</v>
      </c>
      <c r="J117" s="11">
        <v>0</v>
      </c>
      <c r="K117" s="1" t="s">
        <v>53</v>
      </c>
      <c r="L117" s="1">
        <v>2702</v>
      </c>
    </row>
    <row r="118" spans="1:12" ht="22" customHeight="1" x14ac:dyDescent="0.35">
      <c r="A118" s="5">
        <v>2020</v>
      </c>
      <c r="B118" s="5" t="s">
        <v>108</v>
      </c>
      <c r="C118" s="6" t="s">
        <v>109</v>
      </c>
      <c r="D118" s="5" t="s">
        <v>125</v>
      </c>
      <c r="E118" s="8">
        <v>1817</v>
      </c>
      <c r="F118" s="8">
        <v>1817</v>
      </c>
      <c r="G118" s="10">
        <v>396175941</v>
      </c>
      <c r="H118" s="8">
        <v>1796</v>
      </c>
      <c r="I118" s="8">
        <v>1796</v>
      </c>
      <c r="J118" s="10">
        <v>390072925</v>
      </c>
      <c r="K118" s="5" t="s">
        <v>53</v>
      </c>
      <c r="L118" s="5">
        <v>2703</v>
      </c>
    </row>
    <row r="119" spans="1:12" ht="22" customHeight="1" x14ac:dyDescent="0.35">
      <c r="A119" s="1">
        <v>2020</v>
      </c>
      <c r="B119" s="1" t="s">
        <v>108</v>
      </c>
      <c r="C119" s="7" t="s">
        <v>109</v>
      </c>
      <c r="D119" s="1" t="s">
        <v>126</v>
      </c>
      <c r="E119" s="9">
        <v>5</v>
      </c>
      <c r="F119" s="9">
        <v>10</v>
      </c>
      <c r="G119" s="11">
        <v>1641946</v>
      </c>
      <c r="H119" s="9">
        <v>10</v>
      </c>
      <c r="I119" s="9">
        <v>5</v>
      </c>
      <c r="J119" s="11">
        <v>1641946</v>
      </c>
      <c r="K119" s="1" t="s">
        <v>53</v>
      </c>
      <c r="L119" s="1">
        <v>2703</v>
      </c>
    </row>
    <row r="120" spans="1:12" ht="22" customHeight="1" x14ac:dyDescent="0.35">
      <c r="A120" s="5">
        <v>2020</v>
      </c>
      <c r="B120" s="5" t="s">
        <v>108</v>
      </c>
      <c r="C120" s="6" t="s">
        <v>109</v>
      </c>
      <c r="D120" s="5" t="s">
        <v>127</v>
      </c>
      <c r="E120" s="8">
        <v>32</v>
      </c>
      <c r="F120" s="8">
        <v>122</v>
      </c>
      <c r="G120" s="10">
        <v>22106617</v>
      </c>
      <c r="H120" s="8">
        <v>110</v>
      </c>
      <c r="I120" s="8">
        <v>29</v>
      </c>
      <c r="J120" s="10">
        <v>19757104</v>
      </c>
      <c r="K120" s="5" t="s">
        <v>53</v>
      </c>
      <c r="L120" s="5">
        <v>2703</v>
      </c>
    </row>
    <row r="121" spans="1:12" ht="22" customHeight="1" x14ac:dyDescent="0.35">
      <c r="A121" s="1">
        <v>2020</v>
      </c>
      <c r="B121" s="1" t="s">
        <v>108</v>
      </c>
      <c r="C121" s="7" t="s">
        <v>109</v>
      </c>
      <c r="D121" s="1" t="s">
        <v>128</v>
      </c>
      <c r="E121" s="9">
        <v>23</v>
      </c>
      <c r="F121" s="9">
        <v>458</v>
      </c>
      <c r="G121" s="11">
        <v>51123315</v>
      </c>
      <c r="H121" s="9">
        <v>421</v>
      </c>
      <c r="I121" s="9">
        <v>16</v>
      </c>
      <c r="J121" s="11">
        <v>47837027</v>
      </c>
      <c r="K121" s="1" t="s">
        <v>53</v>
      </c>
      <c r="L121" s="1">
        <v>2703</v>
      </c>
    </row>
    <row r="122" spans="1:12" ht="22" customHeight="1" x14ac:dyDescent="0.35">
      <c r="A122" s="5">
        <v>2021</v>
      </c>
      <c r="B122" s="5" t="s">
        <v>49</v>
      </c>
      <c r="C122" s="6" t="s">
        <v>50</v>
      </c>
      <c r="D122" s="5" t="s">
        <v>125</v>
      </c>
      <c r="E122" s="8">
        <v>56</v>
      </c>
      <c r="F122" s="8">
        <v>56</v>
      </c>
      <c r="G122" s="10">
        <v>18177394</v>
      </c>
      <c r="H122" s="8">
        <v>56</v>
      </c>
      <c r="I122" s="8">
        <v>56</v>
      </c>
      <c r="J122" s="10">
        <v>18177394</v>
      </c>
      <c r="K122" s="5" t="s">
        <v>111</v>
      </c>
      <c r="L122" s="5">
        <v>2675</v>
      </c>
    </row>
    <row r="123" spans="1:12" ht="22" customHeight="1" x14ac:dyDescent="0.35">
      <c r="A123" s="1">
        <v>2021</v>
      </c>
      <c r="B123" s="1" t="s">
        <v>49</v>
      </c>
      <c r="C123" s="7" t="s">
        <v>50</v>
      </c>
      <c r="D123" s="1" t="s">
        <v>126</v>
      </c>
      <c r="E123" s="9">
        <v>1</v>
      </c>
      <c r="F123" s="9">
        <v>2</v>
      </c>
      <c r="G123" s="11">
        <v>273259</v>
      </c>
      <c r="H123" s="9">
        <v>2</v>
      </c>
      <c r="I123" s="9">
        <v>1</v>
      </c>
      <c r="J123" s="11">
        <v>273259</v>
      </c>
      <c r="K123" s="1" t="s">
        <v>111</v>
      </c>
      <c r="L123" s="1">
        <v>2675</v>
      </c>
    </row>
    <row r="124" spans="1:12" ht="22" customHeight="1" x14ac:dyDescent="0.35">
      <c r="A124" s="5">
        <v>2021</v>
      </c>
      <c r="B124" s="5" t="s">
        <v>49</v>
      </c>
      <c r="C124" s="6" t="s">
        <v>50</v>
      </c>
      <c r="D124" s="5" t="s">
        <v>127</v>
      </c>
      <c r="E124" s="8">
        <v>1</v>
      </c>
      <c r="F124" s="8">
        <v>4</v>
      </c>
      <c r="G124" s="10">
        <v>451143</v>
      </c>
      <c r="H124" s="8">
        <v>4</v>
      </c>
      <c r="I124" s="8">
        <v>1</v>
      </c>
      <c r="J124" s="10">
        <v>451143</v>
      </c>
      <c r="K124" s="5" t="s">
        <v>111</v>
      </c>
      <c r="L124" s="5">
        <v>2675</v>
      </c>
    </row>
    <row r="125" spans="1:12" ht="22" customHeight="1" x14ac:dyDescent="0.35">
      <c r="A125" s="1">
        <v>2021</v>
      </c>
      <c r="B125" s="1" t="s">
        <v>49</v>
      </c>
      <c r="C125" s="7" t="s">
        <v>50</v>
      </c>
      <c r="D125" s="1" t="s">
        <v>128</v>
      </c>
      <c r="E125" s="9">
        <v>0</v>
      </c>
      <c r="F125" s="9">
        <v>0</v>
      </c>
      <c r="G125" s="11">
        <v>0</v>
      </c>
      <c r="H125" s="9">
        <v>0</v>
      </c>
      <c r="I125" s="9">
        <v>0</v>
      </c>
      <c r="J125" s="11">
        <v>0</v>
      </c>
      <c r="K125" s="1" t="s">
        <v>111</v>
      </c>
      <c r="L125" s="1">
        <v>2675</v>
      </c>
    </row>
    <row r="126" spans="1:12" ht="22" customHeight="1" x14ac:dyDescent="0.35">
      <c r="A126" s="5">
        <v>2021</v>
      </c>
      <c r="B126" s="5" t="s">
        <v>54</v>
      </c>
      <c r="C126" s="6" t="s">
        <v>55</v>
      </c>
      <c r="D126" s="5" t="s">
        <v>125</v>
      </c>
      <c r="E126" s="8">
        <v>468</v>
      </c>
      <c r="F126" s="8">
        <v>468</v>
      </c>
      <c r="G126" s="10">
        <v>116108126</v>
      </c>
      <c r="H126" s="8">
        <v>370</v>
      </c>
      <c r="I126" s="8">
        <v>370</v>
      </c>
      <c r="J126" s="10">
        <v>92245732</v>
      </c>
      <c r="K126" s="5" t="s">
        <v>111</v>
      </c>
      <c r="L126" s="5">
        <v>2676</v>
      </c>
    </row>
    <row r="127" spans="1:12" ht="22" customHeight="1" x14ac:dyDescent="0.35">
      <c r="A127" s="1">
        <v>2021</v>
      </c>
      <c r="B127" s="1" t="s">
        <v>54</v>
      </c>
      <c r="C127" s="7" t="s">
        <v>55</v>
      </c>
      <c r="D127" s="1" t="s">
        <v>126</v>
      </c>
      <c r="E127" s="9">
        <v>1</v>
      </c>
      <c r="F127" s="9">
        <v>2</v>
      </c>
      <c r="G127" s="11">
        <v>322000</v>
      </c>
      <c r="H127" s="9">
        <v>2</v>
      </c>
      <c r="I127" s="9">
        <v>1</v>
      </c>
      <c r="J127" s="11">
        <v>322000</v>
      </c>
      <c r="K127" s="1" t="s">
        <v>111</v>
      </c>
      <c r="L127" s="1">
        <v>2676</v>
      </c>
    </row>
    <row r="128" spans="1:12" ht="22" customHeight="1" x14ac:dyDescent="0.35">
      <c r="A128" s="5">
        <v>2021</v>
      </c>
      <c r="B128" s="5" t="s">
        <v>54</v>
      </c>
      <c r="C128" s="6" t="s">
        <v>55</v>
      </c>
      <c r="D128" s="5" t="s">
        <v>127</v>
      </c>
      <c r="E128" s="8">
        <v>11</v>
      </c>
      <c r="F128" s="8">
        <v>43</v>
      </c>
      <c r="G128" s="10">
        <v>4730000</v>
      </c>
      <c r="H128" s="8">
        <v>43</v>
      </c>
      <c r="I128" s="8">
        <v>11</v>
      </c>
      <c r="J128" s="10">
        <v>4730000</v>
      </c>
      <c r="K128" s="5" t="s">
        <v>111</v>
      </c>
      <c r="L128" s="5">
        <v>2676</v>
      </c>
    </row>
    <row r="129" spans="1:12" ht="22" customHeight="1" x14ac:dyDescent="0.35">
      <c r="A129" s="1">
        <v>2021</v>
      </c>
      <c r="B129" s="1" t="s">
        <v>54</v>
      </c>
      <c r="C129" s="7" t="s">
        <v>55</v>
      </c>
      <c r="D129" s="1" t="s">
        <v>128</v>
      </c>
      <c r="E129" s="9">
        <v>25</v>
      </c>
      <c r="F129" s="9">
        <v>368</v>
      </c>
      <c r="G129" s="11">
        <v>29750000</v>
      </c>
      <c r="H129" s="9">
        <v>368</v>
      </c>
      <c r="I129" s="9">
        <v>25</v>
      </c>
      <c r="J129" s="11">
        <v>29750000</v>
      </c>
      <c r="K129" s="1" t="s">
        <v>111</v>
      </c>
      <c r="L129" s="1">
        <v>2676</v>
      </c>
    </row>
    <row r="130" spans="1:12" ht="22" customHeight="1" x14ac:dyDescent="0.35">
      <c r="A130" s="5">
        <v>2021</v>
      </c>
      <c r="B130" s="5" t="s">
        <v>56</v>
      </c>
      <c r="C130" s="6" t="s">
        <v>57</v>
      </c>
      <c r="D130" s="5" t="s">
        <v>125</v>
      </c>
      <c r="E130" s="8">
        <v>902</v>
      </c>
      <c r="F130" s="8">
        <v>902</v>
      </c>
      <c r="G130" s="10">
        <v>286464637</v>
      </c>
      <c r="H130" s="8">
        <v>902</v>
      </c>
      <c r="I130" s="8">
        <v>902</v>
      </c>
      <c r="J130" s="10">
        <v>286464637</v>
      </c>
      <c r="K130" s="5" t="s">
        <v>111</v>
      </c>
      <c r="L130" s="5">
        <v>2677</v>
      </c>
    </row>
    <row r="131" spans="1:12" ht="22" customHeight="1" x14ac:dyDescent="0.35">
      <c r="A131" s="1">
        <v>2021</v>
      </c>
      <c r="B131" s="1" t="s">
        <v>56</v>
      </c>
      <c r="C131" s="7" t="s">
        <v>57</v>
      </c>
      <c r="D131" s="1" t="s">
        <v>126</v>
      </c>
      <c r="E131" s="9">
        <v>0</v>
      </c>
      <c r="F131" s="9">
        <v>0</v>
      </c>
      <c r="G131" s="11">
        <v>0</v>
      </c>
      <c r="H131" s="9">
        <v>0</v>
      </c>
      <c r="I131" s="9">
        <v>0</v>
      </c>
      <c r="J131" s="11">
        <v>0</v>
      </c>
      <c r="K131" s="1" t="s">
        <v>111</v>
      </c>
      <c r="L131" s="1">
        <v>2677</v>
      </c>
    </row>
    <row r="132" spans="1:12" ht="22" customHeight="1" x14ac:dyDescent="0.35">
      <c r="A132" s="5">
        <v>2021</v>
      </c>
      <c r="B132" s="5" t="s">
        <v>56</v>
      </c>
      <c r="C132" s="6" t="s">
        <v>57</v>
      </c>
      <c r="D132" s="5" t="s">
        <v>127</v>
      </c>
      <c r="E132" s="8">
        <v>9</v>
      </c>
      <c r="F132" s="8">
        <v>35</v>
      </c>
      <c r="G132" s="10">
        <v>8365514</v>
      </c>
      <c r="H132" s="8">
        <v>35</v>
      </c>
      <c r="I132" s="8">
        <v>9</v>
      </c>
      <c r="J132" s="10">
        <v>8365514</v>
      </c>
      <c r="K132" s="5" t="s">
        <v>111</v>
      </c>
      <c r="L132" s="5">
        <v>2677</v>
      </c>
    </row>
    <row r="133" spans="1:12" ht="22" customHeight="1" x14ac:dyDescent="0.35">
      <c r="A133" s="1">
        <v>2021</v>
      </c>
      <c r="B133" s="1" t="s">
        <v>56</v>
      </c>
      <c r="C133" s="7" t="s">
        <v>57</v>
      </c>
      <c r="D133" s="1" t="s">
        <v>128</v>
      </c>
      <c r="E133" s="9">
        <v>24</v>
      </c>
      <c r="F133" s="9">
        <v>200</v>
      </c>
      <c r="G133" s="11">
        <v>27730316</v>
      </c>
      <c r="H133" s="9">
        <v>200</v>
      </c>
      <c r="I133" s="9">
        <v>24</v>
      </c>
      <c r="J133" s="11">
        <v>27730316</v>
      </c>
      <c r="K133" s="1" t="s">
        <v>111</v>
      </c>
      <c r="L133" s="1">
        <v>2677</v>
      </c>
    </row>
    <row r="134" spans="1:12" ht="22" customHeight="1" x14ac:dyDescent="0.35">
      <c r="A134" s="5">
        <v>2021</v>
      </c>
      <c r="B134" s="5" t="s">
        <v>58</v>
      </c>
      <c r="C134" s="6" t="s">
        <v>59</v>
      </c>
      <c r="D134" s="5" t="s">
        <v>125</v>
      </c>
      <c r="E134" s="8">
        <v>42</v>
      </c>
      <c r="F134" s="8">
        <v>42</v>
      </c>
      <c r="G134" s="10">
        <v>12847746</v>
      </c>
      <c r="H134" s="8">
        <v>42</v>
      </c>
      <c r="I134" s="8">
        <v>42</v>
      </c>
      <c r="J134" s="10">
        <v>12847746</v>
      </c>
      <c r="K134" s="5" t="s">
        <v>111</v>
      </c>
      <c r="L134" s="5">
        <v>2678</v>
      </c>
    </row>
    <row r="135" spans="1:12" ht="22" customHeight="1" x14ac:dyDescent="0.35">
      <c r="A135" s="1">
        <v>2021</v>
      </c>
      <c r="B135" s="1" t="s">
        <v>58</v>
      </c>
      <c r="C135" s="7" t="s">
        <v>59</v>
      </c>
      <c r="D135" s="1" t="s">
        <v>126</v>
      </c>
      <c r="E135" s="9">
        <v>0</v>
      </c>
      <c r="F135" s="9">
        <v>0</v>
      </c>
      <c r="G135" s="11">
        <v>0</v>
      </c>
      <c r="H135" s="9">
        <v>0</v>
      </c>
      <c r="I135" s="9">
        <v>0</v>
      </c>
      <c r="J135" s="11">
        <v>0</v>
      </c>
      <c r="K135" s="1" t="s">
        <v>111</v>
      </c>
      <c r="L135" s="1">
        <v>2678</v>
      </c>
    </row>
    <row r="136" spans="1:12" ht="22" customHeight="1" x14ac:dyDescent="0.35">
      <c r="A136" s="5">
        <v>2021</v>
      </c>
      <c r="B136" s="5" t="s">
        <v>58</v>
      </c>
      <c r="C136" s="6" t="s">
        <v>59</v>
      </c>
      <c r="D136" s="5" t="s">
        <v>127</v>
      </c>
      <c r="E136" s="8">
        <v>0</v>
      </c>
      <c r="F136" s="8">
        <v>0</v>
      </c>
      <c r="G136" s="10">
        <v>0</v>
      </c>
      <c r="H136" s="8">
        <v>0</v>
      </c>
      <c r="I136" s="8">
        <v>0</v>
      </c>
      <c r="J136" s="10">
        <v>0</v>
      </c>
      <c r="K136" s="5" t="s">
        <v>111</v>
      </c>
      <c r="L136" s="5">
        <v>2678</v>
      </c>
    </row>
    <row r="137" spans="1:12" ht="22" customHeight="1" x14ac:dyDescent="0.35">
      <c r="A137" s="1">
        <v>2021</v>
      </c>
      <c r="B137" s="1" t="s">
        <v>58</v>
      </c>
      <c r="C137" s="7" t="s">
        <v>59</v>
      </c>
      <c r="D137" s="1" t="s">
        <v>128</v>
      </c>
      <c r="E137" s="9">
        <v>0</v>
      </c>
      <c r="F137" s="9">
        <v>0</v>
      </c>
      <c r="G137" s="11">
        <v>0</v>
      </c>
      <c r="H137" s="9">
        <v>0</v>
      </c>
      <c r="I137" s="9">
        <v>0</v>
      </c>
      <c r="J137" s="11">
        <v>0</v>
      </c>
      <c r="K137" s="1" t="s">
        <v>111</v>
      </c>
      <c r="L137" s="1">
        <v>2678</v>
      </c>
    </row>
    <row r="138" spans="1:12" ht="22" customHeight="1" x14ac:dyDescent="0.35">
      <c r="A138" s="5">
        <v>2021</v>
      </c>
      <c r="B138" s="5" t="s">
        <v>60</v>
      </c>
      <c r="C138" s="6" t="s">
        <v>61</v>
      </c>
      <c r="D138" s="5" t="s">
        <v>125</v>
      </c>
      <c r="E138" s="8">
        <v>17</v>
      </c>
      <c r="F138" s="8">
        <v>17</v>
      </c>
      <c r="G138" s="10">
        <v>5072265</v>
      </c>
      <c r="H138" s="8">
        <v>11</v>
      </c>
      <c r="I138" s="8">
        <v>11</v>
      </c>
      <c r="J138" s="10">
        <v>3307886</v>
      </c>
      <c r="K138" s="5" t="s">
        <v>111</v>
      </c>
      <c r="L138" s="5">
        <v>2679</v>
      </c>
    </row>
    <row r="139" spans="1:12" ht="22" customHeight="1" x14ac:dyDescent="0.35">
      <c r="A139" s="1">
        <v>2021</v>
      </c>
      <c r="B139" s="1" t="s">
        <v>60</v>
      </c>
      <c r="C139" s="7" t="s">
        <v>61</v>
      </c>
      <c r="D139" s="1" t="s">
        <v>126</v>
      </c>
      <c r="E139" s="9">
        <v>0</v>
      </c>
      <c r="F139" s="9">
        <v>0</v>
      </c>
      <c r="G139" s="11">
        <v>0</v>
      </c>
      <c r="H139" s="9">
        <v>0</v>
      </c>
      <c r="I139" s="9">
        <v>0</v>
      </c>
      <c r="J139" s="11">
        <v>0</v>
      </c>
      <c r="K139" s="1" t="s">
        <v>111</v>
      </c>
      <c r="L139" s="1">
        <v>2679</v>
      </c>
    </row>
    <row r="140" spans="1:12" ht="22" customHeight="1" x14ac:dyDescent="0.35">
      <c r="A140" s="5">
        <v>2021</v>
      </c>
      <c r="B140" s="5" t="s">
        <v>60</v>
      </c>
      <c r="C140" s="6" t="s">
        <v>61</v>
      </c>
      <c r="D140" s="5" t="s">
        <v>127</v>
      </c>
      <c r="E140" s="8">
        <v>0</v>
      </c>
      <c r="F140" s="8">
        <v>0</v>
      </c>
      <c r="G140" s="10">
        <v>0</v>
      </c>
      <c r="H140" s="8">
        <v>0</v>
      </c>
      <c r="I140" s="8">
        <v>0</v>
      </c>
      <c r="J140" s="10">
        <v>0</v>
      </c>
      <c r="K140" s="5" t="s">
        <v>111</v>
      </c>
      <c r="L140" s="5">
        <v>2679</v>
      </c>
    </row>
    <row r="141" spans="1:12" ht="22" customHeight="1" x14ac:dyDescent="0.35">
      <c r="A141" s="1">
        <v>2021</v>
      </c>
      <c r="B141" s="1" t="s">
        <v>60</v>
      </c>
      <c r="C141" s="7" t="s">
        <v>61</v>
      </c>
      <c r="D141" s="1" t="s">
        <v>128</v>
      </c>
      <c r="E141" s="9">
        <v>0</v>
      </c>
      <c r="F141" s="9">
        <v>0</v>
      </c>
      <c r="G141" s="11">
        <v>0</v>
      </c>
      <c r="H141" s="9">
        <v>0</v>
      </c>
      <c r="I141" s="9">
        <v>0</v>
      </c>
      <c r="J141" s="11">
        <v>0</v>
      </c>
      <c r="K141" s="1" t="s">
        <v>111</v>
      </c>
      <c r="L141" s="1">
        <v>2679</v>
      </c>
    </row>
    <row r="142" spans="1:12" ht="22" customHeight="1" x14ac:dyDescent="0.35">
      <c r="A142" s="5">
        <v>2021</v>
      </c>
      <c r="B142" s="5" t="s">
        <v>62</v>
      </c>
      <c r="C142" s="6" t="s">
        <v>63</v>
      </c>
      <c r="D142" s="5" t="s">
        <v>125</v>
      </c>
      <c r="E142" s="8">
        <v>2004</v>
      </c>
      <c r="F142" s="8">
        <v>2004</v>
      </c>
      <c r="G142" s="10">
        <v>556622561</v>
      </c>
      <c r="H142" s="8">
        <v>2004</v>
      </c>
      <c r="I142" s="8">
        <v>2004</v>
      </c>
      <c r="J142" s="10">
        <v>556622561</v>
      </c>
      <c r="K142" s="5" t="s">
        <v>111</v>
      </c>
      <c r="L142" s="5">
        <v>2680</v>
      </c>
    </row>
    <row r="143" spans="1:12" ht="22" customHeight="1" x14ac:dyDescent="0.35">
      <c r="A143" s="1">
        <v>2021</v>
      </c>
      <c r="B143" s="1" t="s">
        <v>62</v>
      </c>
      <c r="C143" s="7" t="s">
        <v>63</v>
      </c>
      <c r="D143" s="1" t="s">
        <v>126</v>
      </c>
      <c r="E143" s="9">
        <v>1</v>
      </c>
      <c r="F143" s="9">
        <v>2</v>
      </c>
      <c r="G143" s="11">
        <v>494625</v>
      </c>
      <c r="H143" s="9">
        <v>2</v>
      </c>
      <c r="I143" s="9">
        <v>1</v>
      </c>
      <c r="J143" s="11">
        <v>494625</v>
      </c>
      <c r="K143" s="1" t="s">
        <v>111</v>
      </c>
      <c r="L143" s="1">
        <v>2680</v>
      </c>
    </row>
    <row r="144" spans="1:12" ht="22" customHeight="1" x14ac:dyDescent="0.35">
      <c r="A144" s="5">
        <v>2021</v>
      </c>
      <c r="B144" s="5" t="s">
        <v>62</v>
      </c>
      <c r="C144" s="6" t="s">
        <v>63</v>
      </c>
      <c r="D144" s="5" t="s">
        <v>127</v>
      </c>
      <c r="E144" s="8">
        <v>1</v>
      </c>
      <c r="F144" s="8">
        <v>4</v>
      </c>
      <c r="G144" s="10">
        <v>380000</v>
      </c>
      <c r="H144" s="8">
        <v>4</v>
      </c>
      <c r="I144" s="8">
        <v>1</v>
      </c>
      <c r="J144" s="10">
        <v>380000</v>
      </c>
      <c r="K144" s="5" t="s">
        <v>111</v>
      </c>
      <c r="L144" s="5">
        <v>2680</v>
      </c>
    </row>
    <row r="145" spans="1:12" ht="22" customHeight="1" x14ac:dyDescent="0.35">
      <c r="A145" s="1">
        <v>2021</v>
      </c>
      <c r="B145" s="1" t="s">
        <v>62</v>
      </c>
      <c r="C145" s="7" t="s">
        <v>63</v>
      </c>
      <c r="D145" s="1" t="s">
        <v>128</v>
      </c>
      <c r="E145" s="9">
        <v>45</v>
      </c>
      <c r="F145" s="9">
        <v>1802</v>
      </c>
      <c r="G145" s="11">
        <v>261002511</v>
      </c>
      <c r="H145" s="9">
        <v>1802</v>
      </c>
      <c r="I145" s="9">
        <v>45</v>
      </c>
      <c r="J145" s="11">
        <v>261002511</v>
      </c>
      <c r="K145" s="1" t="s">
        <v>111</v>
      </c>
      <c r="L145" s="1">
        <v>2680</v>
      </c>
    </row>
    <row r="146" spans="1:12" ht="22" customHeight="1" x14ac:dyDescent="0.35">
      <c r="A146" s="5">
        <v>2021</v>
      </c>
      <c r="B146" s="5" t="s">
        <v>64</v>
      </c>
      <c r="C146" s="6" t="s">
        <v>65</v>
      </c>
      <c r="D146" s="5" t="s">
        <v>125</v>
      </c>
      <c r="E146" s="8">
        <v>130</v>
      </c>
      <c r="F146" s="8">
        <v>130</v>
      </c>
      <c r="G146" s="10">
        <v>33379488</v>
      </c>
      <c r="H146" s="8">
        <v>70</v>
      </c>
      <c r="I146" s="8">
        <v>70</v>
      </c>
      <c r="J146" s="10">
        <v>20403095</v>
      </c>
      <c r="K146" s="5" t="s">
        <v>111</v>
      </c>
      <c r="L146" s="5">
        <v>2681</v>
      </c>
    </row>
    <row r="147" spans="1:12" ht="22" customHeight="1" x14ac:dyDescent="0.35">
      <c r="A147" s="1">
        <v>2021</v>
      </c>
      <c r="B147" s="1" t="s">
        <v>64</v>
      </c>
      <c r="C147" s="7" t="s">
        <v>65</v>
      </c>
      <c r="D147" s="1" t="s">
        <v>126</v>
      </c>
      <c r="E147" s="9">
        <v>1</v>
      </c>
      <c r="F147" s="9">
        <v>2</v>
      </c>
      <c r="G147" s="11">
        <v>415110</v>
      </c>
      <c r="H147" s="9">
        <v>2</v>
      </c>
      <c r="I147" s="9">
        <v>1</v>
      </c>
      <c r="J147" s="11">
        <v>415110</v>
      </c>
      <c r="K147" s="1" t="s">
        <v>111</v>
      </c>
      <c r="L147" s="1">
        <v>2681</v>
      </c>
    </row>
    <row r="148" spans="1:12" ht="22" customHeight="1" x14ac:dyDescent="0.35">
      <c r="A148" s="5">
        <v>2021</v>
      </c>
      <c r="B148" s="5" t="s">
        <v>64</v>
      </c>
      <c r="C148" s="6" t="s">
        <v>65</v>
      </c>
      <c r="D148" s="5" t="s">
        <v>127</v>
      </c>
      <c r="E148" s="8">
        <v>1</v>
      </c>
      <c r="F148" s="8">
        <v>4</v>
      </c>
      <c r="G148" s="10">
        <v>285524</v>
      </c>
      <c r="H148" s="8">
        <v>0</v>
      </c>
      <c r="I148" s="8">
        <v>0</v>
      </c>
      <c r="J148" s="10">
        <v>0</v>
      </c>
      <c r="K148" s="5" t="s">
        <v>111</v>
      </c>
      <c r="L148" s="5">
        <v>2681</v>
      </c>
    </row>
    <row r="149" spans="1:12" ht="22" customHeight="1" x14ac:dyDescent="0.35">
      <c r="A149" s="1">
        <v>2021</v>
      </c>
      <c r="B149" s="1" t="s">
        <v>64</v>
      </c>
      <c r="C149" s="7" t="s">
        <v>65</v>
      </c>
      <c r="D149" s="1" t="s">
        <v>128</v>
      </c>
      <c r="E149" s="9">
        <v>0</v>
      </c>
      <c r="F149" s="9">
        <v>0</v>
      </c>
      <c r="G149" s="11">
        <v>0</v>
      </c>
      <c r="H149" s="9">
        <v>0</v>
      </c>
      <c r="I149" s="9">
        <v>0</v>
      </c>
      <c r="J149" s="11">
        <v>0</v>
      </c>
      <c r="K149" s="1" t="s">
        <v>111</v>
      </c>
      <c r="L149" s="1">
        <v>2681</v>
      </c>
    </row>
    <row r="150" spans="1:12" ht="22" customHeight="1" x14ac:dyDescent="0.35">
      <c r="A150" s="5">
        <v>2021</v>
      </c>
      <c r="B150" s="5" t="s">
        <v>66</v>
      </c>
      <c r="C150" s="6" t="s">
        <v>67</v>
      </c>
      <c r="D150" s="5" t="s">
        <v>125</v>
      </c>
      <c r="E150" s="8">
        <v>14</v>
      </c>
      <c r="F150" s="8">
        <v>14</v>
      </c>
      <c r="G150" s="10">
        <v>2746330</v>
      </c>
      <c r="H150" s="8">
        <v>14</v>
      </c>
      <c r="I150" s="8">
        <v>14</v>
      </c>
      <c r="J150" s="10">
        <v>2746330</v>
      </c>
      <c r="K150" s="5" t="s">
        <v>111</v>
      </c>
      <c r="L150" s="5">
        <v>2682</v>
      </c>
    </row>
    <row r="151" spans="1:12" ht="22" customHeight="1" x14ac:dyDescent="0.35">
      <c r="A151" s="1">
        <v>2021</v>
      </c>
      <c r="B151" s="1" t="s">
        <v>66</v>
      </c>
      <c r="C151" s="7" t="s">
        <v>67</v>
      </c>
      <c r="D151" s="1" t="s">
        <v>126</v>
      </c>
      <c r="E151" s="9">
        <v>0</v>
      </c>
      <c r="F151" s="9">
        <v>0</v>
      </c>
      <c r="G151" s="11">
        <v>0</v>
      </c>
      <c r="H151" s="9">
        <v>0</v>
      </c>
      <c r="I151" s="9">
        <v>0</v>
      </c>
      <c r="J151" s="11">
        <v>0</v>
      </c>
      <c r="K151" s="1" t="s">
        <v>111</v>
      </c>
      <c r="L151" s="1">
        <v>2682</v>
      </c>
    </row>
    <row r="152" spans="1:12" ht="22" customHeight="1" x14ac:dyDescent="0.35">
      <c r="A152" s="5">
        <v>2021</v>
      </c>
      <c r="B152" s="5" t="s">
        <v>66</v>
      </c>
      <c r="C152" s="6" t="s">
        <v>67</v>
      </c>
      <c r="D152" s="5" t="s">
        <v>127</v>
      </c>
      <c r="E152" s="8">
        <v>0</v>
      </c>
      <c r="F152" s="8">
        <v>0</v>
      </c>
      <c r="G152" s="10">
        <v>0</v>
      </c>
      <c r="H152" s="8">
        <v>0</v>
      </c>
      <c r="I152" s="8">
        <v>0</v>
      </c>
      <c r="J152" s="10">
        <v>0</v>
      </c>
      <c r="K152" s="5" t="s">
        <v>111</v>
      </c>
      <c r="L152" s="5">
        <v>2682</v>
      </c>
    </row>
    <row r="153" spans="1:12" ht="22" customHeight="1" x14ac:dyDescent="0.35">
      <c r="A153" s="1">
        <v>2021</v>
      </c>
      <c r="B153" s="1" t="s">
        <v>66</v>
      </c>
      <c r="C153" s="7" t="s">
        <v>67</v>
      </c>
      <c r="D153" s="1" t="s">
        <v>128</v>
      </c>
      <c r="E153" s="9">
        <v>0</v>
      </c>
      <c r="F153" s="9">
        <v>0</v>
      </c>
      <c r="G153" s="11">
        <v>0</v>
      </c>
      <c r="H153" s="9">
        <v>0</v>
      </c>
      <c r="I153" s="9">
        <v>0</v>
      </c>
      <c r="J153" s="11">
        <v>0</v>
      </c>
      <c r="K153" s="1" t="s">
        <v>111</v>
      </c>
      <c r="L153" s="1">
        <v>2682</v>
      </c>
    </row>
    <row r="154" spans="1:12" ht="22" customHeight="1" x14ac:dyDescent="0.35">
      <c r="A154" s="5">
        <v>2021</v>
      </c>
      <c r="B154" s="5" t="s">
        <v>68</v>
      </c>
      <c r="C154" s="6" t="s">
        <v>69</v>
      </c>
      <c r="D154" s="5" t="s">
        <v>125</v>
      </c>
      <c r="E154" s="8">
        <v>76</v>
      </c>
      <c r="F154" s="8">
        <v>76</v>
      </c>
      <c r="G154" s="10">
        <v>17370698</v>
      </c>
      <c r="H154" s="8">
        <v>76</v>
      </c>
      <c r="I154" s="8">
        <v>76</v>
      </c>
      <c r="J154" s="10">
        <v>17370698</v>
      </c>
      <c r="K154" s="5" t="s">
        <v>111</v>
      </c>
      <c r="L154" s="5">
        <v>2683</v>
      </c>
    </row>
    <row r="155" spans="1:12" ht="22" customHeight="1" x14ac:dyDescent="0.35">
      <c r="A155" s="1">
        <v>2021</v>
      </c>
      <c r="B155" s="1" t="s">
        <v>68</v>
      </c>
      <c r="C155" s="7" t="s">
        <v>69</v>
      </c>
      <c r="D155" s="1" t="s">
        <v>126</v>
      </c>
      <c r="E155" s="9">
        <v>0</v>
      </c>
      <c r="F155" s="9">
        <v>0</v>
      </c>
      <c r="G155" s="11">
        <v>0</v>
      </c>
      <c r="H155" s="9">
        <v>0</v>
      </c>
      <c r="I155" s="9">
        <v>0</v>
      </c>
      <c r="J155" s="11">
        <v>0</v>
      </c>
      <c r="K155" s="1" t="s">
        <v>111</v>
      </c>
      <c r="L155" s="1">
        <v>2683</v>
      </c>
    </row>
    <row r="156" spans="1:12" ht="22" customHeight="1" x14ac:dyDescent="0.35">
      <c r="A156" s="5">
        <v>2021</v>
      </c>
      <c r="B156" s="5" t="s">
        <v>68</v>
      </c>
      <c r="C156" s="6" t="s">
        <v>69</v>
      </c>
      <c r="D156" s="5" t="s">
        <v>127</v>
      </c>
      <c r="E156" s="8">
        <v>0</v>
      </c>
      <c r="F156" s="8">
        <v>0</v>
      </c>
      <c r="G156" s="10">
        <v>0</v>
      </c>
      <c r="H156" s="8">
        <v>0</v>
      </c>
      <c r="I156" s="8">
        <v>0</v>
      </c>
      <c r="J156" s="10">
        <v>0</v>
      </c>
      <c r="K156" s="5" t="s">
        <v>111</v>
      </c>
      <c r="L156" s="5">
        <v>2683</v>
      </c>
    </row>
    <row r="157" spans="1:12" ht="22" customHeight="1" x14ac:dyDescent="0.35">
      <c r="A157" s="1">
        <v>2021</v>
      </c>
      <c r="B157" s="1" t="s">
        <v>68</v>
      </c>
      <c r="C157" s="7" t="s">
        <v>69</v>
      </c>
      <c r="D157" s="1" t="s">
        <v>128</v>
      </c>
      <c r="E157" s="9">
        <v>0</v>
      </c>
      <c r="F157" s="9">
        <v>0</v>
      </c>
      <c r="G157" s="11">
        <v>0</v>
      </c>
      <c r="H157" s="9">
        <v>0</v>
      </c>
      <c r="I157" s="9">
        <v>0</v>
      </c>
      <c r="J157" s="11">
        <v>0</v>
      </c>
      <c r="K157" s="1" t="s">
        <v>111</v>
      </c>
      <c r="L157" s="1">
        <v>2683</v>
      </c>
    </row>
    <row r="158" spans="1:12" ht="22" customHeight="1" x14ac:dyDescent="0.35">
      <c r="A158" s="5">
        <v>2021</v>
      </c>
      <c r="B158" s="5" t="s">
        <v>70</v>
      </c>
      <c r="C158" s="6" t="s">
        <v>71</v>
      </c>
      <c r="D158" s="5" t="s">
        <v>125</v>
      </c>
      <c r="E158" s="8">
        <v>81</v>
      </c>
      <c r="F158" s="8">
        <v>81</v>
      </c>
      <c r="G158" s="10">
        <v>21846924</v>
      </c>
      <c r="H158" s="8">
        <v>81</v>
      </c>
      <c r="I158" s="8">
        <v>81</v>
      </c>
      <c r="J158" s="10">
        <v>21846924</v>
      </c>
      <c r="K158" s="5" t="s">
        <v>111</v>
      </c>
      <c r="L158" s="5">
        <v>2684</v>
      </c>
    </row>
    <row r="159" spans="1:12" ht="22" customHeight="1" x14ac:dyDescent="0.35">
      <c r="A159" s="1">
        <v>2021</v>
      </c>
      <c r="B159" s="1" t="s">
        <v>70</v>
      </c>
      <c r="C159" s="7" t="s">
        <v>71</v>
      </c>
      <c r="D159" s="1" t="s">
        <v>126</v>
      </c>
      <c r="E159" s="9">
        <v>3</v>
      </c>
      <c r="F159" s="9">
        <v>6</v>
      </c>
      <c r="G159" s="11">
        <v>1532052</v>
      </c>
      <c r="H159" s="9">
        <v>6</v>
      </c>
      <c r="I159" s="9">
        <v>3</v>
      </c>
      <c r="J159" s="11">
        <v>1532052</v>
      </c>
      <c r="K159" s="1" t="s">
        <v>111</v>
      </c>
      <c r="L159" s="1">
        <v>2684</v>
      </c>
    </row>
    <row r="160" spans="1:12" ht="22" customHeight="1" x14ac:dyDescent="0.35">
      <c r="A160" s="5">
        <v>2021</v>
      </c>
      <c r="B160" s="5" t="s">
        <v>70</v>
      </c>
      <c r="C160" s="6" t="s">
        <v>71</v>
      </c>
      <c r="D160" s="5" t="s">
        <v>127</v>
      </c>
      <c r="E160" s="8">
        <v>0</v>
      </c>
      <c r="F160" s="8">
        <v>0</v>
      </c>
      <c r="G160" s="10">
        <v>0</v>
      </c>
      <c r="H160" s="8">
        <v>0</v>
      </c>
      <c r="I160" s="8">
        <v>0</v>
      </c>
      <c r="J160" s="10">
        <v>0</v>
      </c>
      <c r="K160" s="5" t="s">
        <v>111</v>
      </c>
      <c r="L160" s="5">
        <v>2684</v>
      </c>
    </row>
    <row r="161" spans="1:12" ht="22" customHeight="1" x14ac:dyDescent="0.35">
      <c r="A161" s="1">
        <v>2021</v>
      </c>
      <c r="B161" s="1" t="s">
        <v>70</v>
      </c>
      <c r="C161" s="7" t="s">
        <v>71</v>
      </c>
      <c r="D161" s="1" t="s">
        <v>128</v>
      </c>
      <c r="E161" s="9">
        <v>1</v>
      </c>
      <c r="F161" s="9">
        <v>6</v>
      </c>
      <c r="G161" s="11">
        <v>1385234</v>
      </c>
      <c r="H161" s="9">
        <v>6</v>
      </c>
      <c r="I161" s="9">
        <v>1</v>
      </c>
      <c r="J161" s="11">
        <v>1385234</v>
      </c>
      <c r="K161" s="1" t="s">
        <v>111</v>
      </c>
      <c r="L161" s="1">
        <v>2684</v>
      </c>
    </row>
    <row r="162" spans="1:12" ht="22" customHeight="1" x14ac:dyDescent="0.35">
      <c r="A162" s="5">
        <v>2021</v>
      </c>
      <c r="B162" s="5" t="s">
        <v>72</v>
      </c>
      <c r="C162" s="6" t="s">
        <v>73</v>
      </c>
      <c r="D162" s="5" t="s">
        <v>125</v>
      </c>
      <c r="E162" s="8">
        <v>552</v>
      </c>
      <c r="F162" s="8">
        <v>552</v>
      </c>
      <c r="G162" s="10">
        <v>150680400</v>
      </c>
      <c r="H162" s="8">
        <v>552</v>
      </c>
      <c r="I162" s="8">
        <v>552</v>
      </c>
      <c r="J162" s="10">
        <v>150680400</v>
      </c>
      <c r="K162" s="5" t="s">
        <v>111</v>
      </c>
      <c r="L162" s="5">
        <v>2685</v>
      </c>
    </row>
    <row r="163" spans="1:12" ht="22" customHeight="1" x14ac:dyDescent="0.35">
      <c r="A163" s="1">
        <v>2021</v>
      </c>
      <c r="B163" s="1" t="s">
        <v>72</v>
      </c>
      <c r="C163" s="7" t="s">
        <v>73</v>
      </c>
      <c r="D163" s="1" t="s">
        <v>126</v>
      </c>
      <c r="E163" s="9">
        <v>55</v>
      </c>
      <c r="F163" s="9">
        <v>110</v>
      </c>
      <c r="G163" s="11">
        <v>9291606</v>
      </c>
      <c r="H163" s="9">
        <v>110</v>
      </c>
      <c r="I163" s="9">
        <v>55</v>
      </c>
      <c r="J163" s="11">
        <v>9291606</v>
      </c>
      <c r="K163" s="1" t="s">
        <v>111</v>
      </c>
      <c r="L163" s="1">
        <v>2685</v>
      </c>
    </row>
    <row r="164" spans="1:12" ht="22" customHeight="1" x14ac:dyDescent="0.35">
      <c r="A164" s="5">
        <v>2021</v>
      </c>
      <c r="B164" s="5" t="s">
        <v>72</v>
      </c>
      <c r="C164" s="6" t="s">
        <v>73</v>
      </c>
      <c r="D164" s="5" t="s">
        <v>127</v>
      </c>
      <c r="E164" s="8">
        <v>38</v>
      </c>
      <c r="F164" s="8">
        <v>114</v>
      </c>
      <c r="G164" s="10">
        <v>20884943</v>
      </c>
      <c r="H164" s="8">
        <v>114</v>
      </c>
      <c r="I164" s="8">
        <v>38</v>
      </c>
      <c r="J164" s="10">
        <v>20884943</v>
      </c>
      <c r="K164" s="5" t="s">
        <v>111</v>
      </c>
      <c r="L164" s="5">
        <v>2685</v>
      </c>
    </row>
    <row r="165" spans="1:12" ht="22" customHeight="1" x14ac:dyDescent="0.35">
      <c r="A165" s="1">
        <v>2021</v>
      </c>
      <c r="B165" s="1" t="s">
        <v>72</v>
      </c>
      <c r="C165" s="7" t="s">
        <v>73</v>
      </c>
      <c r="D165" s="1" t="s">
        <v>128</v>
      </c>
      <c r="E165" s="9">
        <v>19</v>
      </c>
      <c r="F165" s="9">
        <v>115</v>
      </c>
      <c r="G165" s="11">
        <v>20896953</v>
      </c>
      <c r="H165" s="9">
        <v>115</v>
      </c>
      <c r="I165" s="9">
        <v>19</v>
      </c>
      <c r="J165" s="11">
        <v>20896953</v>
      </c>
      <c r="K165" s="1" t="s">
        <v>111</v>
      </c>
      <c r="L165" s="1">
        <v>2685</v>
      </c>
    </row>
    <row r="166" spans="1:12" ht="22" customHeight="1" x14ac:dyDescent="0.35">
      <c r="A166" s="5">
        <v>2021</v>
      </c>
      <c r="B166" s="5" t="s">
        <v>74</v>
      </c>
      <c r="C166" s="6" t="s">
        <v>75</v>
      </c>
      <c r="D166" s="5" t="s">
        <v>125</v>
      </c>
      <c r="E166" s="8">
        <v>112</v>
      </c>
      <c r="F166" s="8">
        <v>112</v>
      </c>
      <c r="G166" s="10">
        <v>33499210</v>
      </c>
      <c r="H166" s="8">
        <v>95</v>
      </c>
      <c r="I166" s="8">
        <v>95</v>
      </c>
      <c r="J166" s="10">
        <v>27262273</v>
      </c>
      <c r="K166" s="5" t="s">
        <v>111</v>
      </c>
      <c r="L166" s="5">
        <v>2686</v>
      </c>
    </row>
    <row r="167" spans="1:12" ht="22" customHeight="1" x14ac:dyDescent="0.35">
      <c r="A167" s="1">
        <v>2021</v>
      </c>
      <c r="B167" s="1" t="s">
        <v>74</v>
      </c>
      <c r="C167" s="7" t="s">
        <v>75</v>
      </c>
      <c r="D167" s="1" t="s">
        <v>126</v>
      </c>
      <c r="E167" s="9">
        <v>2</v>
      </c>
      <c r="F167" s="9">
        <v>4</v>
      </c>
      <c r="G167" s="11">
        <v>848000</v>
      </c>
      <c r="H167" s="9">
        <v>4</v>
      </c>
      <c r="I167" s="9">
        <v>2</v>
      </c>
      <c r="J167" s="11">
        <v>848000</v>
      </c>
      <c r="K167" s="1" t="s">
        <v>111</v>
      </c>
      <c r="L167" s="1">
        <v>2686</v>
      </c>
    </row>
    <row r="168" spans="1:12" ht="22" customHeight="1" x14ac:dyDescent="0.35">
      <c r="A168" s="5">
        <v>2021</v>
      </c>
      <c r="B168" s="5" t="s">
        <v>74</v>
      </c>
      <c r="C168" s="6" t="s">
        <v>75</v>
      </c>
      <c r="D168" s="5" t="s">
        <v>127</v>
      </c>
      <c r="E168" s="8">
        <v>4</v>
      </c>
      <c r="F168" s="8">
        <v>14</v>
      </c>
      <c r="G168" s="10">
        <v>2590688</v>
      </c>
      <c r="H168" s="8">
        <v>14</v>
      </c>
      <c r="I168" s="8">
        <v>4</v>
      </c>
      <c r="J168" s="10">
        <v>2590688</v>
      </c>
      <c r="K168" s="5" t="s">
        <v>111</v>
      </c>
      <c r="L168" s="5">
        <v>2686</v>
      </c>
    </row>
    <row r="169" spans="1:12" ht="22" customHeight="1" x14ac:dyDescent="0.35">
      <c r="A169" s="1">
        <v>2021</v>
      </c>
      <c r="B169" s="1" t="s">
        <v>74</v>
      </c>
      <c r="C169" s="7" t="s">
        <v>75</v>
      </c>
      <c r="D169" s="1" t="s">
        <v>128</v>
      </c>
      <c r="E169" s="9">
        <v>1</v>
      </c>
      <c r="F169" s="9">
        <v>5</v>
      </c>
      <c r="G169" s="11">
        <v>917435</v>
      </c>
      <c r="H169" s="9">
        <v>5</v>
      </c>
      <c r="I169" s="9">
        <v>1</v>
      </c>
      <c r="J169" s="11">
        <v>917435</v>
      </c>
      <c r="K169" s="1" t="s">
        <v>111</v>
      </c>
      <c r="L169" s="1">
        <v>2686</v>
      </c>
    </row>
    <row r="170" spans="1:12" ht="22" customHeight="1" x14ac:dyDescent="0.35">
      <c r="A170" s="5">
        <v>2021</v>
      </c>
      <c r="B170" s="5" t="s">
        <v>76</v>
      </c>
      <c r="C170" s="6" t="s">
        <v>77</v>
      </c>
      <c r="D170" s="5" t="s">
        <v>125</v>
      </c>
      <c r="E170" s="8">
        <v>327</v>
      </c>
      <c r="F170" s="8">
        <v>327</v>
      </c>
      <c r="G170" s="10">
        <v>63463688</v>
      </c>
      <c r="H170" s="8">
        <v>112</v>
      </c>
      <c r="I170" s="8">
        <v>112</v>
      </c>
      <c r="J170" s="10">
        <v>14125512</v>
      </c>
      <c r="K170" s="5" t="s">
        <v>111</v>
      </c>
      <c r="L170" s="5">
        <v>2687</v>
      </c>
    </row>
    <row r="171" spans="1:12" ht="22" customHeight="1" x14ac:dyDescent="0.35">
      <c r="A171" s="1">
        <v>2021</v>
      </c>
      <c r="B171" s="1" t="s">
        <v>76</v>
      </c>
      <c r="C171" s="7" t="s">
        <v>77</v>
      </c>
      <c r="D171" s="1" t="s">
        <v>126</v>
      </c>
      <c r="E171" s="9">
        <v>0</v>
      </c>
      <c r="F171" s="9">
        <v>0</v>
      </c>
      <c r="G171" s="11">
        <v>0</v>
      </c>
      <c r="H171" s="9">
        <v>0</v>
      </c>
      <c r="I171" s="9">
        <v>0</v>
      </c>
      <c r="J171" s="11">
        <v>0</v>
      </c>
      <c r="K171" s="1" t="s">
        <v>111</v>
      </c>
      <c r="L171" s="1">
        <v>2687</v>
      </c>
    </row>
    <row r="172" spans="1:12" ht="22" customHeight="1" x14ac:dyDescent="0.35">
      <c r="A172" s="5">
        <v>2021</v>
      </c>
      <c r="B172" s="5" t="s">
        <v>76</v>
      </c>
      <c r="C172" s="6" t="s">
        <v>77</v>
      </c>
      <c r="D172" s="5" t="s">
        <v>127</v>
      </c>
      <c r="E172" s="8">
        <v>3</v>
      </c>
      <c r="F172" s="8">
        <v>11</v>
      </c>
      <c r="G172" s="10">
        <v>1690000</v>
      </c>
      <c r="H172" s="8">
        <v>8</v>
      </c>
      <c r="I172" s="8">
        <v>2</v>
      </c>
      <c r="J172" s="10">
        <v>850000</v>
      </c>
      <c r="K172" s="5" t="s">
        <v>111</v>
      </c>
      <c r="L172" s="5">
        <v>2687</v>
      </c>
    </row>
    <row r="173" spans="1:12" ht="22" customHeight="1" x14ac:dyDescent="0.35">
      <c r="A173" s="1">
        <v>2021</v>
      </c>
      <c r="B173" s="1" t="s">
        <v>76</v>
      </c>
      <c r="C173" s="7" t="s">
        <v>77</v>
      </c>
      <c r="D173" s="1" t="s">
        <v>128</v>
      </c>
      <c r="E173" s="9">
        <v>0</v>
      </c>
      <c r="F173" s="9">
        <v>0</v>
      </c>
      <c r="G173" s="11">
        <v>0</v>
      </c>
      <c r="H173" s="9">
        <v>0</v>
      </c>
      <c r="I173" s="9">
        <v>0</v>
      </c>
      <c r="J173" s="11">
        <v>0</v>
      </c>
      <c r="K173" s="1" t="s">
        <v>111</v>
      </c>
      <c r="L173" s="1">
        <v>2687</v>
      </c>
    </row>
    <row r="174" spans="1:12" ht="22" customHeight="1" x14ac:dyDescent="0.35">
      <c r="A174" s="5">
        <v>2021</v>
      </c>
      <c r="B174" s="5" t="s">
        <v>78</v>
      </c>
      <c r="C174" s="6" t="s">
        <v>79</v>
      </c>
      <c r="D174" s="5" t="s">
        <v>125</v>
      </c>
      <c r="E174" s="8">
        <v>49</v>
      </c>
      <c r="F174" s="8">
        <v>49</v>
      </c>
      <c r="G174" s="10">
        <v>10512485</v>
      </c>
      <c r="H174" s="8">
        <v>45</v>
      </c>
      <c r="I174" s="8">
        <v>45</v>
      </c>
      <c r="J174" s="10">
        <v>9345832</v>
      </c>
      <c r="K174" s="5" t="s">
        <v>111</v>
      </c>
      <c r="L174" s="5">
        <v>2688</v>
      </c>
    </row>
    <row r="175" spans="1:12" ht="22" customHeight="1" x14ac:dyDescent="0.35">
      <c r="A175" s="1">
        <v>2021</v>
      </c>
      <c r="B175" s="1" t="s">
        <v>78</v>
      </c>
      <c r="C175" s="7" t="s">
        <v>79</v>
      </c>
      <c r="D175" s="1" t="s">
        <v>126</v>
      </c>
      <c r="E175" s="9">
        <v>0</v>
      </c>
      <c r="F175" s="9">
        <v>0</v>
      </c>
      <c r="G175" s="11">
        <v>0</v>
      </c>
      <c r="H175" s="9">
        <v>0</v>
      </c>
      <c r="I175" s="9">
        <v>0</v>
      </c>
      <c r="J175" s="11">
        <v>0</v>
      </c>
      <c r="K175" s="1" t="s">
        <v>111</v>
      </c>
      <c r="L175" s="1">
        <v>2688</v>
      </c>
    </row>
    <row r="176" spans="1:12" ht="22" customHeight="1" x14ac:dyDescent="0.35">
      <c r="A176" s="5">
        <v>2021</v>
      </c>
      <c r="B176" s="5" t="s">
        <v>78</v>
      </c>
      <c r="C176" s="6" t="s">
        <v>79</v>
      </c>
      <c r="D176" s="5" t="s">
        <v>127</v>
      </c>
      <c r="E176" s="8">
        <v>1</v>
      </c>
      <c r="F176" s="8">
        <v>4</v>
      </c>
      <c r="G176" s="10">
        <v>351360</v>
      </c>
      <c r="H176" s="8">
        <v>4</v>
      </c>
      <c r="I176" s="8">
        <v>1</v>
      </c>
      <c r="J176" s="10">
        <v>351360</v>
      </c>
      <c r="K176" s="5" t="s">
        <v>111</v>
      </c>
      <c r="L176" s="5">
        <v>2688</v>
      </c>
    </row>
    <row r="177" spans="1:12" ht="22" customHeight="1" x14ac:dyDescent="0.35">
      <c r="A177" s="1">
        <v>2021</v>
      </c>
      <c r="B177" s="1" t="s">
        <v>78</v>
      </c>
      <c r="C177" s="7" t="s">
        <v>79</v>
      </c>
      <c r="D177" s="1" t="s">
        <v>128</v>
      </c>
      <c r="E177" s="9">
        <v>0</v>
      </c>
      <c r="F177" s="9">
        <v>0</v>
      </c>
      <c r="G177" s="11">
        <v>0</v>
      </c>
      <c r="H177" s="9">
        <v>0</v>
      </c>
      <c r="I177" s="9">
        <v>0</v>
      </c>
      <c r="J177" s="11">
        <v>0</v>
      </c>
      <c r="K177" s="1" t="s">
        <v>111</v>
      </c>
      <c r="L177" s="1">
        <v>2688</v>
      </c>
    </row>
    <row r="178" spans="1:12" ht="22" customHeight="1" x14ac:dyDescent="0.35">
      <c r="A178" s="5">
        <v>2021</v>
      </c>
      <c r="B178" s="5" t="s">
        <v>80</v>
      </c>
      <c r="C178" s="6" t="s">
        <v>81</v>
      </c>
      <c r="D178" s="5" t="s">
        <v>125</v>
      </c>
      <c r="E178" s="8">
        <v>98</v>
      </c>
      <c r="F178" s="8">
        <v>98</v>
      </c>
      <c r="G178" s="10">
        <v>47435580</v>
      </c>
      <c r="H178" s="8">
        <v>98</v>
      </c>
      <c r="I178" s="8">
        <v>98</v>
      </c>
      <c r="J178" s="10">
        <v>47435580</v>
      </c>
      <c r="K178" s="5" t="s">
        <v>111</v>
      </c>
      <c r="L178" s="5">
        <v>2689</v>
      </c>
    </row>
    <row r="179" spans="1:12" ht="22" customHeight="1" x14ac:dyDescent="0.35">
      <c r="A179" s="1">
        <v>2021</v>
      </c>
      <c r="B179" s="1" t="s">
        <v>80</v>
      </c>
      <c r="C179" s="7" t="s">
        <v>81</v>
      </c>
      <c r="D179" s="1" t="s">
        <v>126</v>
      </c>
      <c r="E179" s="9">
        <v>2</v>
      </c>
      <c r="F179" s="9">
        <v>4</v>
      </c>
      <c r="G179" s="11">
        <v>763642</v>
      </c>
      <c r="H179" s="9">
        <v>4</v>
      </c>
      <c r="I179" s="9">
        <v>2</v>
      </c>
      <c r="J179" s="11">
        <v>763642</v>
      </c>
      <c r="K179" s="1" t="s">
        <v>111</v>
      </c>
      <c r="L179" s="1">
        <v>2689</v>
      </c>
    </row>
    <row r="180" spans="1:12" ht="22" customHeight="1" x14ac:dyDescent="0.35">
      <c r="A180" s="5">
        <v>2021</v>
      </c>
      <c r="B180" s="5" t="s">
        <v>80</v>
      </c>
      <c r="C180" s="6" t="s">
        <v>81</v>
      </c>
      <c r="D180" s="5" t="s">
        <v>127</v>
      </c>
      <c r="E180" s="8">
        <v>10</v>
      </c>
      <c r="F180" s="8">
        <v>36</v>
      </c>
      <c r="G180" s="10">
        <v>7149178</v>
      </c>
      <c r="H180" s="8">
        <v>36</v>
      </c>
      <c r="I180" s="8">
        <v>10</v>
      </c>
      <c r="J180" s="10">
        <v>7149178</v>
      </c>
      <c r="K180" s="5" t="s">
        <v>111</v>
      </c>
      <c r="L180" s="5">
        <v>2689</v>
      </c>
    </row>
    <row r="181" spans="1:12" ht="22" customHeight="1" x14ac:dyDescent="0.35">
      <c r="A181" s="1">
        <v>2021</v>
      </c>
      <c r="B181" s="1" t="s">
        <v>80</v>
      </c>
      <c r="C181" s="7" t="s">
        <v>81</v>
      </c>
      <c r="D181" s="1" t="s">
        <v>128</v>
      </c>
      <c r="E181" s="9">
        <v>3</v>
      </c>
      <c r="F181" s="9">
        <v>15</v>
      </c>
      <c r="G181" s="11">
        <v>2769655</v>
      </c>
      <c r="H181" s="9">
        <v>15</v>
      </c>
      <c r="I181" s="9">
        <v>3</v>
      </c>
      <c r="J181" s="11">
        <v>2769655</v>
      </c>
      <c r="K181" s="1" t="s">
        <v>111</v>
      </c>
      <c r="L181" s="1">
        <v>2689</v>
      </c>
    </row>
    <row r="182" spans="1:12" ht="22" customHeight="1" x14ac:dyDescent="0.35">
      <c r="A182" s="5">
        <v>2021</v>
      </c>
      <c r="B182" s="5" t="s">
        <v>82</v>
      </c>
      <c r="C182" s="6" t="s">
        <v>83</v>
      </c>
      <c r="D182" s="5" t="s">
        <v>125</v>
      </c>
      <c r="E182" s="8">
        <v>33</v>
      </c>
      <c r="F182" s="8">
        <v>33</v>
      </c>
      <c r="G182" s="10">
        <v>5258556</v>
      </c>
      <c r="H182" s="8">
        <v>0</v>
      </c>
      <c r="I182" s="8">
        <v>0</v>
      </c>
      <c r="J182" s="10">
        <v>0</v>
      </c>
      <c r="K182" s="5" t="s">
        <v>111</v>
      </c>
      <c r="L182" s="5">
        <v>2690</v>
      </c>
    </row>
    <row r="183" spans="1:12" ht="22" customHeight="1" x14ac:dyDescent="0.35">
      <c r="A183" s="1">
        <v>2021</v>
      </c>
      <c r="B183" s="1" t="s">
        <v>82</v>
      </c>
      <c r="C183" s="7" t="s">
        <v>83</v>
      </c>
      <c r="D183" s="1" t="s">
        <v>126</v>
      </c>
      <c r="E183" s="9">
        <v>0</v>
      </c>
      <c r="F183" s="9">
        <v>0</v>
      </c>
      <c r="G183" s="11">
        <v>0</v>
      </c>
      <c r="H183" s="9">
        <v>0</v>
      </c>
      <c r="I183" s="9">
        <v>0</v>
      </c>
      <c r="J183" s="11">
        <v>0</v>
      </c>
      <c r="K183" s="1" t="s">
        <v>111</v>
      </c>
      <c r="L183" s="1">
        <v>2690</v>
      </c>
    </row>
    <row r="184" spans="1:12" ht="22" customHeight="1" x14ac:dyDescent="0.35">
      <c r="A184" s="5">
        <v>2021</v>
      </c>
      <c r="B184" s="5" t="s">
        <v>82</v>
      </c>
      <c r="C184" s="6" t="s">
        <v>83</v>
      </c>
      <c r="D184" s="5" t="s">
        <v>127</v>
      </c>
      <c r="E184" s="8">
        <v>0</v>
      </c>
      <c r="F184" s="8">
        <v>0</v>
      </c>
      <c r="G184" s="10">
        <v>0</v>
      </c>
      <c r="H184" s="8">
        <v>0</v>
      </c>
      <c r="I184" s="8">
        <v>0</v>
      </c>
      <c r="J184" s="10">
        <v>0</v>
      </c>
      <c r="K184" s="5" t="s">
        <v>111</v>
      </c>
      <c r="L184" s="5">
        <v>2690</v>
      </c>
    </row>
    <row r="185" spans="1:12" ht="22" customHeight="1" x14ac:dyDescent="0.35">
      <c r="A185" s="1">
        <v>2021</v>
      </c>
      <c r="B185" s="1" t="s">
        <v>82</v>
      </c>
      <c r="C185" s="7" t="s">
        <v>83</v>
      </c>
      <c r="D185" s="1" t="s">
        <v>128</v>
      </c>
      <c r="E185" s="9">
        <v>0</v>
      </c>
      <c r="F185" s="9">
        <v>0</v>
      </c>
      <c r="G185" s="11">
        <v>0</v>
      </c>
      <c r="H185" s="9">
        <v>0</v>
      </c>
      <c r="I185" s="9">
        <v>0</v>
      </c>
      <c r="J185" s="11">
        <v>0</v>
      </c>
      <c r="K185" s="1" t="s">
        <v>111</v>
      </c>
      <c r="L185" s="1">
        <v>2690</v>
      </c>
    </row>
    <row r="186" spans="1:12" ht="22" customHeight="1" x14ac:dyDescent="0.35">
      <c r="A186" s="5">
        <v>2021</v>
      </c>
      <c r="B186" s="5" t="s">
        <v>84</v>
      </c>
      <c r="C186" s="6" t="s">
        <v>85</v>
      </c>
      <c r="D186" s="5" t="s">
        <v>125</v>
      </c>
      <c r="E186" s="8">
        <v>68</v>
      </c>
      <c r="F186" s="8">
        <v>68</v>
      </c>
      <c r="G186" s="10">
        <v>22067697</v>
      </c>
      <c r="H186" s="8">
        <v>0</v>
      </c>
      <c r="I186" s="8">
        <v>0</v>
      </c>
      <c r="J186" s="10">
        <v>0</v>
      </c>
      <c r="K186" s="5" t="s">
        <v>111</v>
      </c>
      <c r="L186" s="5">
        <v>2691</v>
      </c>
    </row>
    <row r="187" spans="1:12" ht="22" customHeight="1" x14ac:dyDescent="0.35">
      <c r="A187" s="1">
        <v>2021</v>
      </c>
      <c r="B187" s="1" t="s">
        <v>84</v>
      </c>
      <c r="C187" s="7" t="s">
        <v>85</v>
      </c>
      <c r="D187" s="1" t="s">
        <v>126</v>
      </c>
      <c r="E187" s="9">
        <v>0</v>
      </c>
      <c r="F187" s="9">
        <v>0</v>
      </c>
      <c r="G187" s="11">
        <v>0</v>
      </c>
      <c r="H187" s="9">
        <v>0</v>
      </c>
      <c r="I187" s="9">
        <v>0</v>
      </c>
      <c r="J187" s="11">
        <v>0</v>
      </c>
      <c r="K187" s="1" t="s">
        <v>111</v>
      </c>
      <c r="L187" s="1">
        <v>2691</v>
      </c>
    </row>
    <row r="188" spans="1:12" ht="22" customHeight="1" x14ac:dyDescent="0.35">
      <c r="A188" s="5">
        <v>2021</v>
      </c>
      <c r="B188" s="5" t="s">
        <v>84</v>
      </c>
      <c r="C188" s="6" t="s">
        <v>85</v>
      </c>
      <c r="D188" s="5" t="s">
        <v>127</v>
      </c>
      <c r="E188" s="8">
        <v>0</v>
      </c>
      <c r="F188" s="8">
        <v>0</v>
      </c>
      <c r="G188" s="10">
        <v>0</v>
      </c>
      <c r="H188" s="8">
        <v>0</v>
      </c>
      <c r="I188" s="8">
        <v>0</v>
      </c>
      <c r="J188" s="10">
        <v>0</v>
      </c>
      <c r="K188" s="5" t="s">
        <v>111</v>
      </c>
      <c r="L188" s="5">
        <v>2691</v>
      </c>
    </row>
    <row r="189" spans="1:12" ht="22" customHeight="1" x14ac:dyDescent="0.35">
      <c r="A189" s="1">
        <v>2021</v>
      </c>
      <c r="B189" s="1" t="s">
        <v>84</v>
      </c>
      <c r="C189" s="7" t="s">
        <v>85</v>
      </c>
      <c r="D189" s="1" t="s">
        <v>128</v>
      </c>
      <c r="E189" s="9">
        <v>0</v>
      </c>
      <c r="F189" s="9">
        <v>0</v>
      </c>
      <c r="G189" s="11">
        <v>0</v>
      </c>
      <c r="H189" s="9">
        <v>0</v>
      </c>
      <c r="I189" s="9">
        <v>0</v>
      </c>
      <c r="J189" s="11">
        <v>0</v>
      </c>
      <c r="K189" s="1" t="s">
        <v>111</v>
      </c>
      <c r="L189" s="1">
        <v>2691</v>
      </c>
    </row>
    <row r="190" spans="1:12" ht="22" customHeight="1" x14ac:dyDescent="0.35">
      <c r="A190" s="5">
        <v>2021</v>
      </c>
      <c r="B190" s="5" t="s">
        <v>86</v>
      </c>
      <c r="C190" s="6" t="s">
        <v>87</v>
      </c>
      <c r="D190" s="5" t="s">
        <v>125</v>
      </c>
      <c r="E190" s="8">
        <v>4350</v>
      </c>
      <c r="F190" s="8">
        <v>4350</v>
      </c>
      <c r="G190" s="10">
        <v>1160717215</v>
      </c>
      <c r="H190" s="8">
        <v>4019</v>
      </c>
      <c r="I190" s="8">
        <v>4019</v>
      </c>
      <c r="J190" s="10">
        <v>1069817946</v>
      </c>
      <c r="K190" s="5" t="s">
        <v>111</v>
      </c>
      <c r="L190" s="5">
        <v>2692</v>
      </c>
    </row>
    <row r="191" spans="1:12" ht="22" customHeight="1" x14ac:dyDescent="0.35">
      <c r="A191" s="1">
        <v>2021</v>
      </c>
      <c r="B191" s="1" t="s">
        <v>86</v>
      </c>
      <c r="C191" s="7" t="s">
        <v>87</v>
      </c>
      <c r="D191" s="1" t="s">
        <v>126</v>
      </c>
      <c r="E191" s="9">
        <v>94</v>
      </c>
      <c r="F191" s="9">
        <v>188</v>
      </c>
      <c r="G191" s="11">
        <v>24394915</v>
      </c>
      <c r="H191" s="9">
        <v>144</v>
      </c>
      <c r="I191" s="9">
        <v>72</v>
      </c>
      <c r="J191" s="11">
        <v>20881027</v>
      </c>
      <c r="K191" s="1" t="s">
        <v>111</v>
      </c>
      <c r="L191" s="1">
        <v>2692</v>
      </c>
    </row>
    <row r="192" spans="1:12" ht="22" customHeight="1" x14ac:dyDescent="0.35">
      <c r="A192" s="5">
        <v>2021</v>
      </c>
      <c r="B192" s="5" t="s">
        <v>86</v>
      </c>
      <c r="C192" s="6" t="s">
        <v>87</v>
      </c>
      <c r="D192" s="5" t="s">
        <v>127</v>
      </c>
      <c r="E192" s="8">
        <v>74</v>
      </c>
      <c r="F192" s="8">
        <v>260</v>
      </c>
      <c r="G192" s="10">
        <v>45270202</v>
      </c>
      <c r="H192" s="8">
        <v>192</v>
      </c>
      <c r="I192" s="8">
        <v>53</v>
      </c>
      <c r="J192" s="10">
        <v>32936226</v>
      </c>
      <c r="K192" s="5" t="s">
        <v>111</v>
      </c>
      <c r="L192" s="5">
        <v>2692</v>
      </c>
    </row>
    <row r="193" spans="1:12" ht="22" customHeight="1" x14ac:dyDescent="0.35">
      <c r="A193" s="1">
        <v>2021</v>
      </c>
      <c r="B193" s="1" t="s">
        <v>86</v>
      </c>
      <c r="C193" s="7" t="s">
        <v>87</v>
      </c>
      <c r="D193" s="1" t="s">
        <v>128</v>
      </c>
      <c r="E193" s="9">
        <v>124</v>
      </c>
      <c r="F193" s="9">
        <v>5851</v>
      </c>
      <c r="G193" s="11">
        <v>894908953</v>
      </c>
      <c r="H193" s="9">
        <v>2320</v>
      </c>
      <c r="I193" s="9">
        <v>73</v>
      </c>
      <c r="J193" s="11">
        <v>416851950</v>
      </c>
      <c r="K193" s="1" t="s">
        <v>111</v>
      </c>
      <c r="L193" s="1">
        <v>2692</v>
      </c>
    </row>
    <row r="194" spans="1:12" ht="22" customHeight="1" x14ac:dyDescent="0.35">
      <c r="A194" s="5">
        <v>2021</v>
      </c>
      <c r="B194" s="5" t="s">
        <v>88</v>
      </c>
      <c r="C194" s="6" t="s">
        <v>89</v>
      </c>
      <c r="D194" s="5" t="s">
        <v>125</v>
      </c>
      <c r="E194" s="8">
        <v>161</v>
      </c>
      <c r="F194" s="8">
        <v>161</v>
      </c>
      <c r="G194" s="10">
        <v>48658403</v>
      </c>
      <c r="H194" s="8">
        <v>161</v>
      </c>
      <c r="I194" s="8">
        <v>161</v>
      </c>
      <c r="J194" s="10">
        <v>48658403</v>
      </c>
      <c r="K194" s="5" t="s">
        <v>111</v>
      </c>
      <c r="L194" s="5">
        <v>2693</v>
      </c>
    </row>
    <row r="195" spans="1:12" ht="22" customHeight="1" x14ac:dyDescent="0.35">
      <c r="A195" s="1">
        <v>2021</v>
      </c>
      <c r="B195" s="1" t="s">
        <v>88</v>
      </c>
      <c r="C195" s="7" t="s">
        <v>89</v>
      </c>
      <c r="D195" s="1" t="s">
        <v>126</v>
      </c>
      <c r="E195" s="9">
        <v>0</v>
      </c>
      <c r="F195" s="9">
        <v>0</v>
      </c>
      <c r="G195" s="11">
        <v>0</v>
      </c>
      <c r="H195" s="9">
        <v>0</v>
      </c>
      <c r="I195" s="9">
        <v>0</v>
      </c>
      <c r="J195" s="11">
        <v>0</v>
      </c>
      <c r="K195" s="1" t="s">
        <v>111</v>
      </c>
      <c r="L195" s="1">
        <v>2693</v>
      </c>
    </row>
    <row r="196" spans="1:12" ht="22" customHeight="1" x14ac:dyDescent="0.35">
      <c r="A196" s="5">
        <v>2021</v>
      </c>
      <c r="B196" s="5" t="s">
        <v>88</v>
      </c>
      <c r="C196" s="6" t="s">
        <v>89</v>
      </c>
      <c r="D196" s="5" t="s">
        <v>127</v>
      </c>
      <c r="E196" s="8">
        <v>0</v>
      </c>
      <c r="F196" s="8">
        <v>0</v>
      </c>
      <c r="G196" s="10">
        <v>0</v>
      </c>
      <c r="H196" s="8">
        <v>0</v>
      </c>
      <c r="I196" s="8">
        <v>0</v>
      </c>
      <c r="J196" s="10">
        <v>0</v>
      </c>
      <c r="K196" s="5" t="s">
        <v>111</v>
      </c>
      <c r="L196" s="5">
        <v>2693</v>
      </c>
    </row>
    <row r="197" spans="1:12" ht="22" customHeight="1" x14ac:dyDescent="0.35">
      <c r="A197" s="1">
        <v>2021</v>
      </c>
      <c r="B197" s="1" t="s">
        <v>88</v>
      </c>
      <c r="C197" s="7" t="s">
        <v>89</v>
      </c>
      <c r="D197" s="1" t="s">
        <v>128</v>
      </c>
      <c r="E197" s="9">
        <v>0</v>
      </c>
      <c r="F197" s="9">
        <v>0</v>
      </c>
      <c r="G197" s="11">
        <v>0</v>
      </c>
      <c r="H197" s="9">
        <v>0</v>
      </c>
      <c r="I197" s="9">
        <v>0</v>
      </c>
      <c r="J197" s="11">
        <v>0</v>
      </c>
      <c r="K197" s="1" t="s">
        <v>111</v>
      </c>
      <c r="L197" s="1">
        <v>2693</v>
      </c>
    </row>
    <row r="198" spans="1:12" ht="22" customHeight="1" x14ac:dyDescent="0.35">
      <c r="A198" s="5">
        <v>2021</v>
      </c>
      <c r="B198" s="5" t="s">
        <v>90</v>
      </c>
      <c r="C198" s="6" t="s">
        <v>91</v>
      </c>
      <c r="D198" s="5" t="s">
        <v>125</v>
      </c>
      <c r="E198" s="8">
        <v>227</v>
      </c>
      <c r="F198" s="8">
        <v>227</v>
      </c>
      <c r="G198" s="10">
        <v>40905899</v>
      </c>
      <c r="H198" s="8">
        <v>227</v>
      </c>
      <c r="I198" s="8">
        <v>227</v>
      </c>
      <c r="J198" s="10">
        <v>40905899</v>
      </c>
      <c r="K198" s="5" t="s">
        <v>111</v>
      </c>
      <c r="L198" s="5">
        <v>2694</v>
      </c>
    </row>
    <row r="199" spans="1:12" ht="22" customHeight="1" x14ac:dyDescent="0.35">
      <c r="A199" s="1">
        <v>2021</v>
      </c>
      <c r="B199" s="1" t="s">
        <v>90</v>
      </c>
      <c r="C199" s="7" t="s">
        <v>91</v>
      </c>
      <c r="D199" s="1" t="s">
        <v>126</v>
      </c>
      <c r="E199" s="9">
        <v>0</v>
      </c>
      <c r="F199" s="9">
        <v>0</v>
      </c>
      <c r="G199" s="11">
        <v>0</v>
      </c>
      <c r="H199" s="9">
        <v>0</v>
      </c>
      <c r="I199" s="9">
        <v>0</v>
      </c>
      <c r="J199" s="11">
        <v>0</v>
      </c>
      <c r="K199" s="1" t="s">
        <v>111</v>
      </c>
      <c r="L199" s="1">
        <v>2694</v>
      </c>
    </row>
    <row r="200" spans="1:12" ht="22" customHeight="1" x14ac:dyDescent="0.35">
      <c r="A200" s="5">
        <v>2021</v>
      </c>
      <c r="B200" s="5" t="s">
        <v>90</v>
      </c>
      <c r="C200" s="6" t="s">
        <v>91</v>
      </c>
      <c r="D200" s="5" t="s">
        <v>127</v>
      </c>
      <c r="E200" s="8">
        <v>0</v>
      </c>
      <c r="F200" s="8">
        <v>0</v>
      </c>
      <c r="G200" s="10">
        <v>0</v>
      </c>
      <c r="H200" s="8">
        <v>0</v>
      </c>
      <c r="I200" s="8">
        <v>0</v>
      </c>
      <c r="J200" s="10">
        <v>0</v>
      </c>
      <c r="K200" s="5" t="s">
        <v>111</v>
      </c>
      <c r="L200" s="5">
        <v>2694</v>
      </c>
    </row>
    <row r="201" spans="1:12" ht="22" customHeight="1" x14ac:dyDescent="0.35">
      <c r="A201" s="1">
        <v>2021</v>
      </c>
      <c r="B201" s="1" t="s">
        <v>90</v>
      </c>
      <c r="C201" s="7" t="s">
        <v>91</v>
      </c>
      <c r="D201" s="1" t="s">
        <v>128</v>
      </c>
      <c r="E201" s="9">
        <v>0</v>
      </c>
      <c r="F201" s="9">
        <v>0</v>
      </c>
      <c r="G201" s="11">
        <v>0</v>
      </c>
      <c r="H201" s="9">
        <v>0</v>
      </c>
      <c r="I201" s="9">
        <v>0</v>
      </c>
      <c r="J201" s="11">
        <v>0</v>
      </c>
      <c r="K201" s="1" t="s">
        <v>111</v>
      </c>
      <c r="L201" s="1">
        <v>2694</v>
      </c>
    </row>
    <row r="202" spans="1:12" ht="22" customHeight="1" x14ac:dyDescent="0.35">
      <c r="A202" s="5">
        <v>2021</v>
      </c>
      <c r="B202" s="5" t="s">
        <v>92</v>
      </c>
      <c r="C202" s="6" t="s">
        <v>93</v>
      </c>
      <c r="D202" s="5" t="s">
        <v>125</v>
      </c>
      <c r="E202" s="8">
        <v>66</v>
      </c>
      <c r="F202" s="8">
        <v>66</v>
      </c>
      <c r="G202" s="10">
        <v>18290709</v>
      </c>
      <c r="H202" s="8">
        <v>66</v>
      </c>
      <c r="I202" s="8">
        <v>66</v>
      </c>
      <c r="J202" s="10">
        <v>18290709</v>
      </c>
      <c r="K202" s="5" t="s">
        <v>111</v>
      </c>
      <c r="L202" s="5">
        <v>2695</v>
      </c>
    </row>
    <row r="203" spans="1:12" ht="22" customHeight="1" x14ac:dyDescent="0.35">
      <c r="A203" s="1">
        <v>2021</v>
      </c>
      <c r="B203" s="1" t="s">
        <v>92</v>
      </c>
      <c r="C203" s="7" t="s">
        <v>93</v>
      </c>
      <c r="D203" s="1" t="s">
        <v>126</v>
      </c>
      <c r="E203" s="9">
        <v>1</v>
      </c>
      <c r="F203" s="9">
        <v>2</v>
      </c>
      <c r="G203" s="11">
        <v>290000</v>
      </c>
      <c r="H203" s="9">
        <v>2</v>
      </c>
      <c r="I203" s="9">
        <v>1</v>
      </c>
      <c r="J203" s="11">
        <v>290000</v>
      </c>
      <c r="K203" s="1" t="s">
        <v>111</v>
      </c>
      <c r="L203" s="1">
        <v>2695</v>
      </c>
    </row>
    <row r="204" spans="1:12" ht="22" customHeight="1" x14ac:dyDescent="0.35">
      <c r="A204" s="5">
        <v>2021</v>
      </c>
      <c r="B204" s="5" t="s">
        <v>92</v>
      </c>
      <c r="C204" s="6" t="s">
        <v>93</v>
      </c>
      <c r="D204" s="5" t="s">
        <v>127</v>
      </c>
      <c r="E204" s="8">
        <v>0</v>
      </c>
      <c r="F204" s="8">
        <v>0</v>
      </c>
      <c r="G204" s="10">
        <v>0</v>
      </c>
      <c r="H204" s="8">
        <v>0</v>
      </c>
      <c r="I204" s="8">
        <v>0</v>
      </c>
      <c r="J204" s="10">
        <v>0</v>
      </c>
      <c r="K204" s="5" t="s">
        <v>111</v>
      </c>
      <c r="L204" s="5">
        <v>2695</v>
      </c>
    </row>
    <row r="205" spans="1:12" ht="22" customHeight="1" x14ac:dyDescent="0.35">
      <c r="A205" s="1">
        <v>2021</v>
      </c>
      <c r="B205" s="1" t="s">
        <v>92</v>
      </c>
      <c r="C205" s="7" t="s">
        <v>93</v>
      </c>
      <c r="D205" s="1" t="s">
        <v>128</v>
      </c>
      <c r="E205" s="9">
        <v>1</v>
      </c>
      <c r="F205" s="9">
        <v>120</v>
      </c>
      <c r="G205" s="11">
        <v>22000000</v>
      </c>
      <c r="H205" s="9">
        <v>120</v>
      </c>
      <c r="I205" s="9">
        <v>1</v>
      </c>
      <c r="J205" s="11">
        <v>22000000</v>
      </c>
      <c r="K205" s="1" t="s">
        <v>111</v>
      </c>
      <c r="L205" s="1">
        <v>2695</v>
      </c>
    </row>
    <row r="206" spans="1:12" ht="22" customHeight="1" x14ac:dyDescent="0.35">
      <c r="A206" s="5">
        <v>2021</v>
      </c>
      <c r="B206" s="5" t="s">
        <v>94</v>
      </c>
      <c r="C206" s="6" t="s">
        <v>95</v>
      </c>
      <c r="D206" s="5" t="s">
        <v>125</v>
      </c>
      <c r="E206" s="8">
        <v>286</v>
      </c>
      <c r="F206" s="8">
        <v>286</v>
      </c>
      <c r="G206" s="10">
        <v>190879582</v>
      </c>
      <c r="H206" s="8">
        <v>139</v>
      </c>
      <c r="I206" s="8">
        <v>139</v>
      </c>
      <c r="J206" s="10">
        <v>115357322</v>
      </c>
      <c r="K206" s="5" t="s">
        <v>111</v>
      </c>
      <c r="L206" s="5">
        <v>2696</v>
      </c>
    </row>
    <row r="207" spans="1:12" ht="22" customHeight="1" x14ac:dyDescent="0.35">
      <c r="A207" s="1">
        <v>2021</v>
      </c>
      <c r="B207" s="1" t="s">
        <v>94</v>
      </c>
      <c r="C207" s="7" t="s">
        <v>95</v>
      </c>
      <c r="D207" s="1" t="s">
        <v>126</v>
      </c>
      <c r="E207" s="9">
        <v>0</v>
      </c>
      <c r="F207" s="9">
        <v>0</v>
      </c>
      <c r="G207" s="11">
        <v>0</v>
      </c>
      <c r="H207" s="9">
        <v>0</v>
      </c>
      <c r="I207" s="9">
        <v>0</v>
      </c>
      <c r="J207" s="11">
        <v>0</v>
      </c>
      <c r="K207" s="1" t="s">
        <v>111</v>
      </c>
      <c r="L207" s="1">
        <v>2696</v>
      </c>
    </row>
    <row r="208" spans="1:12" ht="22" customHeight="1" x14ac:dyDescent="0.35">
      <c r="A208" s="5">
        <v>2021</v>
      </c>
      <c r="B208" s="5" t="s">
        <v>94</v>
      </c>
      <c r="C208" s="6" t="s">
        <v>95</v>
      </c>
      <c r="D208" s="5" t="s">
        <v>127</v>
      </c>
      <c r="E208" s="8">
        <v>10</v>
      </c>
      <c r="F208" s="8">
        <v>30</v>
      </c>
      <c r="G208" s="10">
        <v>8415300</v>
      </c>
      <c r="H208" s="8">
        <v>0</v>
      </c>
      <c r="I208" s="8">
        <v>0</v>
      </c>
      <c r="J208" s="10">
        <v>0</v>
      </c>
      <c r="K208" s="5" t="s">
        <v>111</v>
      </c>
      <c r="L208" s="5">
        <v>2696</v>
      </c>
    </row>
    <row r="209" spans="1:12" ht="22" customHeight="1" x14ac:dyDescent="0.35">
      <c r="A209" s="1">
        <v>2021</v>
      </c>
      <c r="B209" s="1" t="s">
        <v>94</v>
      </c>
      <c r="C209" s="7" t="s">
        <v>95</v>
      </c>
      <c r="D209" s="1" t="s">
        <v>128</v>
      </c>
      <c r="E209" s="9">
        <v>22</v>
      </c>
      <c r="F209" s="9">
        <v>123</v>
      </c>
      <c r="G209" s="11">
        <v>22956462</v>
      </c>
      <c r="H209" s="9">
        <v>11</v>
      </c>
      <c r="I209" s="9">
        <v>1</v>
      </c>
      <c r="J209" s="11">
        <v>3820500</v>
      </c>
      <c r="K209" s="1" t="s">
        <v>111</v>
      </c>
      <c r="L209" s="1">
        <v>2696</v>
      </c>
    </row>
    <row r="210" spans="1:12" ht="22" customHeight="1" x14ac:dyDescent="0.35">
      <c r="A210" s="5">
        <v>2021</v>
      </c>
      <c r="B210" s="5" t="s">
        <v>96</v>
      </c>
      <c r="C210" s="6" t="s">
        <v>97</v>
      </c>
      <c r="D210" s="5" t="s">
        <v>125</v>
      </c>
      <c r="E210" s="8">
        <v>988</v>
      </c>
      <c r="F210" s="8">
        <v>988</v>
      </c>
      <c r="G210" s="10">
        <v>259138696</v>
      </c>
      <c r="H210" s="8">
        <v>988</v>
      </c>
      <c r="I210" s="8">
        <v>988</v>
      </c>
      <c r="J210" s="10">
        <v>259138696</v>
      </c>
      <c r="K210" s="5" t="s">
        <v>111</v>
      </c>
      <c r="L210" s="5">
        <v>2697</v>
      </c>
    </row>
    <row r="211" spans="1:12" ht="22" customHeight="1" x14ac:dyDescent="0.35">
      <c r="A211" s="1">
        <v>2021</v>
      </c>
      <c r="B211" s="1" t="s">
        <v>96</v>
      </c>
      <c r="C211" s="7" t="s">
        <v>97</v>
      </c>
      <c r="D211" s="1" t="s">
        <v>126</v>
      </c>
      <c r="E211" s="9">
        <v>1</v>
      </c>
      <c r="F211" s="9">
        <v>2</v>
      </c>
      <c r="G211" s="11">
        <v>264303</v>
      </c>
      <c r="H211" s="9">
        <v>2</v>
      </c>
      <c r="I211" s="9">
        <v>1</v>
      </c>
      <c r="J211" s="11">
        <v>264303</v>
      </c>
      <c r="K211" s="1" t="s">
        <v>111</v>
      </c>
      <c r="L211" s="1">
        <v>2697</v>
      </c>
    </row>
    <row r="212" spans="1:12" ht="22" customHeight="1" x14ac:dyDescent="0.35">
      <c r="A212" s="5">
        <v>2021</v>
      </c>
      <c r="B212" s="5" t="s">
        <v>96</v>
      </c>
      <c r="C212" s="6" t="s">
        <v>97</v>
      </c>
      <c r="D212" s="5" t="s">
        <v>127</v>
      </c>
      <c r="E212" s="8">
        <v>1</v>
      </c>
      <c r="F212" s="8">
        <v>3</v>
      </c>
      <c r="G212" s="10">
        <v>394636</v>
      </c>
      <c r="H212" s="8">
        <v>3</v>
      </c>
      <c r="I212" s="8">
        <v>1</v>
      </c>
      <c r="J212" s="10">
        <v>394636</v>
      </c>
      <c r="K212" s="5" t="s">
        <v>111</v>
      </c>
      <c r="L212" s="5">
        <v>2697</v>
      </c>
    </row>
    <row r="213" spans="1:12" ht="22" customHeight="1" x14ac:dyDescent="0.35">
      <c r="A213" s="1">
        <v>2021</v>
      </c>
      <c r="B213" s="1" t="s">
        <v>96</v>
      </c>
      <c r="C213" s="7" t="s">
        <v>97</v>
      </c>
      <c r="D213" s="1" t="s">
        <v>128</v>
      </c>
      <c r="E213" s="9">
        <v>0</v>
      </c>
      <c r="F213" s="9">
        <v>0</v>
      </c>
      <c r="G213" s="11">
        <v>0</v>
      </c>
      <c r="H213" s="9">
        <v>0</v>
      </c>
      <c r="I213" s="9">
        <v>0</v>
      </c>
      <c r="J213" s="11">
        <v>0</v>
      </c>
      <c r="K213" s="1" t="s">
        <v>111</v>
      </c>
      <c r="L213" s="1">
        <v>2697</v>
      </c>
    </row>
    <row r="214" spans="1:12" ht="22" customHeight="1" x14ac:dyDescent="0.35">
      <c r="A214" s="5">
        <v>2021</v>
      </c>
      <c r="B214" s="5" t="s">
        <v>98</v>
      </c>
      <c r="C214" s="6" t="s">
        <v>99</v>
      </c>
      <c r="D214" s="5" t="s">
        <v>125</v>
      </c>
      <c r="E214" s="8">
        <v>86</v>
      </c>
      <c r="F214" s="8">
        <v>86</v>
      </c>
      <c r="G214" s="10">
        <v>25614985</v>
      </c>
      <c r="H214" s="8">
        <v>86</v>
      </c>
      <c r="I214" s="8">
        <v>86</v>
      </c>
      <c r="J214" s="10">
        <v>25614985</v>
      </c>
      <c r="K214" s="5" t="s">
        <v>111</v>
      </c>
      <c r="L214" s="5">
        <v>2698</v>
      </c>
    </row>
    <row r="215" spans="1:12" ht="22" customHeight="1" x14ac:dyDescent="0.35">
      <c r="A215" s="1">
        <v>2021</v>
      </c>
      <c r="B215" s="1" t="s">
        <v>98</v>
      </c>
      <c r="C215" s="7" t="s">
        <v>99</v>
      </c>
      <c r="D215" s="1" t="s">
        <v>126</v>
      </c>
      <c r="E215" s="9">
        <v>0</v>
      </c>
      <c r="F215" s="9">
        <v>0</v>
      </c>
      <c r="G215" s="11">
        <v>0</v>
      </c>
      <c r="H215" s="9">
        <v>0</v>
      </c>
      <c r="I215" s="9">
        <v>0</v>
      </c>
      <c r="J215" s="11">
        <v>0</v>
      </c>
      <c r="K215" s="1" t="s">
        <v>111</v>
      </c>
      <c r="L215" s="1">
        <v>2698</v>
      </c>
    </row>
    <row r="216" spans="1:12" ht="22" customHeight="1" x14ac:dyDescent="0.35">
      <c r="A216" s="5">
        <v>2021</v>
      </c>
      <c r="B216" s="5" t="s">
        <v>98</v>
      </c>
      <c r="C216" s="6" t="s">
        <v>99</v>
      </c>
      <c r="D216" s="5" t="s">
        <v>127</v>
      </c>
      <c r="E216" s="8">
        <v>0</v>
      </c>
      <c r="F216" s="8">
        <v>0</v>
      </c>
      <c r="G216" s="10">
        <v>0</v>
      </c>
      <c r="H216" s="8">
        <v>0</v>
      </c>
      <c r="I216" s="8">
        <v>0</v>
      </c>
      <c r="J216" s="10">
        <v>0</v>
      </c>
      <c r="K216" s="5" t="s">
        <v>111</v>
      </c>
      <c r="L216" s="5">
        <v>2698</v>
      </c>
    </row>
    <row r="217" spans="1:12" ht="22" customHeight="1" x14ac:dyDescent="0.35">
      <c r="A217" s="1">
        <v>2021</v>
      </c>
      <c r="B217" s="1" t="s">
        <v>98</v>
      </c>
      <c r="C217" s="7" t="s">
        <v>99</v>
      </c>
      <c r="D217" s="1" t="s">
        <v>128</v>
      </c>
      <c r="E217" s="9">
        <v>0</v>
      </c>
      <c r="F217" s="9">
        <v>0</v>
      </c>
      <c r="G217" s="11">
        <v>0</v>
      </c>
      <c r="H217" s="9">
        <v>0</v>
      </c>
      <c r="I217" s="9">
        <v>0</v>
      </c>
      <c r="J217" s="11">
        <v>0</v>
      </c>
      <c r="K217" s="1" t="s">
        <v>111</v>
      </c>
      <c r="L217" s="1">
        <v>2698</v>
      </c>
    </row>
    <row r="218" spans="1:12" ht="22" customHeight="1" x14ac:dyDescent="0.35">
      <c r="A218" s="5">
        <v>2021</v>
      </c>
      <c r="B218" s="5" t="s">
        <v>100</v>
      </c>
      <c r="C218" s="6" t="s">
        <v>101</v>
      </c>
      <c r="D218" s="5" t="s">
        <v>125</v>
      </c>
      <c r="E218" s="8">
        <v>7450</v>
      </c>
      <c r="F218" s="8">
        <v>7450</v>
      </c>
      <c r="G218" s="10">
        <v>2229217666</v>
      </c>
      <c r="H218" s="8">
        <v>7436</v>
      </c>
      <c r="I218" s="8">
        <v>7436</v>
      </c>
      <c r="J218" s="10">
        <v>2223138334</v>
      </c>
      <c r="K218" s="5" t="s">
        <v>111</v>
      </c>
      <c r="L218" s="5">
        <v>2699</v>
      </c>
    </row>
    <row r="219" spans="1:12" ht="22" customHeight="1" x14ac:dyDescent="0.35">
      <c r="A219" s="1">
        <v>2021</v>
      </c>
      <c r="B219" s="1" t="s">
        <v>100</v>
      </c>
      <c r="C219" s="7" t="s">
        <v>101</v>
      </c>
      <c r="D219" s="1" t="s">
        <v>126</v>
      </c>
      <c r="E219" s="9">
        <v>49</v>
      </c>
      <c r="F219" s="9">
        <v>98</v>
      </c>
      <c r="G219" s="11">
        <v>18793655</v>
      </c>
      <c r="H219" s="9">
        <v>98</v>
      </c>
      <c r="I219" s="9">
        <v>49</v>
      </c>
      <c r="J219" s="11">
        <v>18793655</v>
      </c>
      <c r="K219" s="1" t="s">
        <v>111</v>
      </c>
      <c r="L219" s="1">
        <v>2699</v>
      </c>
    </row>
    <row r="220" spans="1:12" ht="22" customHeight="1" x14ac:dyDescent="0.35">
      <c r="A220" s="5">
        <v>2021</v>
      </c>
      <c r="B220" s="5" t="s">
        <v>100</v>
      </c>
      <c r="C220" s="6" t="s">
        <v>101</v>
      </c>
      <c r="D220" s="5" t="s">
        <v>127</v>
      </c>
      <c r="E220" s="8">
        <v>62</v>
      </c>
      <c r="F220" s="8">
        <v>232</v>
      </c>
      <c r="G220" s="10">
        <v>37031021</v>
      </c>
      <c r="H220" s="8">
        <v>232</v>
      </c>
      <c r="I220" s="8">
        <v>62</v>
      </c>
      <c r="J220" s="10">
        <v>37031021</v>
      </c>
      <c r="K220" s="5" t="s">
        <v>111</v>
      </c>
      <c r="L220" s="5">
        <v>2699</v>
      </c>
    </row>
    <row r="221" spans="1:12" ht="22" customHeight="1" x14ac:dyDescent="0.35">
      <c r="A221" s="1">
        <v>2021</v>
      </c>
      <c r="B221" s="1" t="s">
        <v>100</v>
      </c>
      <c r="C221" s="7" t="s">
        <v>101</v>
      </c>
      <c r="D221" s="1" t="s">
        <v>128</v>
      </c>
      <c r="E221" s="9">
        <v>233</v>
      </c>
      <c r="F221" s="9">
        <v>3260</v>
      </c>
      <c r="G221" s="11">
        <v>448318047</v>
      </c>
      <c r="H221" s="9">
        <v>3260</v>
      </c>
      <c r="I221" s="9">
        <v>233</v>
      </c>
      <c r="J221" s="11">
        <v>448318047</v>
      </c>
      <c r="K221" s="1" t="s">
        <v>111</v>
      </c>
      <c r="L221" s="1">
        <v>2699</v>
      </c>
    </row>
    <row r="222" spans="1:12" ht="22" customHeight="1" x14ac:dyDescent="0.35">
      <c r="A222" s="5">
        <v>2021</v>
      </c>
      <c r="B222" s="5" t="s">
        <v>102</v>
      </c>
      <c r="C222" s="6" t="s">
        <v>103</v>
      </c>
      <c r="D222" s="5" t="s">
        <v>125</v>
      </c>
      <c r="E222" s="8">
        <v>894</v>
      </c>
      <c r="F222" s="8">
        <v>894</v>
      </c>
      <c r="G222" s="10">
        <v>580140193</v>
      </c>
      <c r="H222" s="8">
        <v>888</v>
      </c>
      <c r="I222" s="8">
        <v>888</v>
      </c>
      <c r="J222" s="10">
        <v>577528693</v>
      </c>
      <c r="K222" s="5" t="s">
        <v>111</v>
      </c>
      <c r="L222" s="5">
        <v>2700</v>
      </c>
    </row>
    <row r="223" spans="1:12" ht="22" customHeight="1" x14ac:dyDescent="0.35">
      <c r="A223" s="1">
        <v>2021</v>
      </c>
      <c r="B223" s="1" t="s">
        <v>102</v>
      </c>
      <c r="C223" s="7" t="s">
        <v>103</v>
      </c>
      <c r="D223" s="1" t="s">
        <v>126</v>
      </c>
      <c r="E223" s="9">
        <v>4</v>
      </c>
      <c r="F223" s="9">
        <v>8</v>
      </c>
      <c r="G223" s="11">
        <v>1973680</v>
      </c>
      <c r="H223" s="9">
        <v>8</v>
      </c>
      <c r="I223" s="9">
        <v>4</v>
      </c>
      <c r="J223" s="11">
        <v>1973680</v>
      </c>
      <c r="K223" s="1" t="s">
        <v>111</v>
      </c>
      <c r="L223" s="1">
        <v>2700</v>
      </c>
    </row>
    <row r="224" spans="1:12" ht="22" customHeight="1" x14ac:dyDescent="0.35">
      <c r="A224" s="5">
        <v>2021</v>
      </c>
      <c r="B224" s="5" t="s">
        <v>102</v>
      </c>
      <c r="C224" s="6" t="s">
        <v>103</v>
      </c>
      <c r="D224" s="5" t="s">
        <v>127</v>
      </c>
      <c r="E224" s="8">
        <v>0</v>
      </c>
      <c r="F224" s="8">
        <v>0</v>
      </c>
      <c r="G224" s="10">
        <v>0</v>
      </c>
      <c r="H224" s="8">
        <v>0</v>
      </c>
      <c r="I224" s="8">
        <v>0</v>
      </c>
      <c r="J224" s="10">
        <v>0</v>
      </c>
      <c r="K224" s="5" t="s">
        <v>111</v>
      </c>
      <c r="L224" s="5">
        <v>2700</v>
      </c>
    </row>
    <row r="225" spans="1:12" ht="22" customHeight="1" x14ac:dyDescent="0.35">
      <c r="A225" s="1">
        <v>2021</v>
      </c>
      <c r="B225" s="1" t="s">
        <v>102</v>
      </c>
      <c r="C225" s="7" t="s">
        <v>103</v>
      </c>
      <c r="D225" s="1" t="s">
        <v>128</v>
      </c>
      <c r="E225" s="9">
        <v>14</v>
      </c>
      <c r="F225" s="9">
        <v>277</v>
      </c>
      <c r="G225" s="11">
        <v>43145829</v>
      </c>
      <c r="H225" s="9">
        <v>277</v>
      </c>
      <c r="I225" s="9">
        <v>14</v>
      </c>
      <c r="J225" s="11">
        <v>43145829</v>
      </c>
      <c r="K225" s="1" t="s">
        <v>111</v>
      </c>
      <c r="L225" s="1">
        <v>2700</v>
      </c>
    </row>
    <row r="226" spans="1:12" ht="22" customHeight="1" x14ac:dyDescent="0.35">
      <c r="A226" s="5">
        <v>2021</v>
      </c>
      <c r="B226" s="5" t="s">
        <v>104</v>
      </c>
      <c r="C226" s="6" t="s">
        <v>105</v>
      </c>
      <c r="D226" s="5" t="s">
        <v>125</v>
      </c>
      <c r="E226" s="8">
        <v>3218</v>
      </c>
      <c r="F226" s="8">
        <v>3218</v>
      </c>
      <c r="G226" s="10">
        <v>681326708</v>
      </c>
      <c r="H226" s="8">
        <v>2764</v>
      </c>
      <c r="I226" s="8">
        <v>2764</v>
      </c>
      <c r="J226" s="10">
        <v>609027066</v>
      </c>
      <c r="K226" s="5" t="s">
        <v>111</v>
      </c>
      <c r="L226" s="5">
        <v>2701</v>
      </c>
    </row>
    <row r="227" spans="1:12" ht="22" customHeight="1" x14ac:dyDescent="0.35">
      <c r="A227" s="1">
        <v>2021</v>
      </c>
      <c r="B227" s="1" t="s">
        <v>104</v>
      </c>
      <c r="C227" s="7" t="s">
        <v>105</v>
      </c>
      <c r="D227" s="1" t="s">
        <v>126</v>
      </c>
      <c r="E227" s="9">
        <v>22</v>
      </c>
      <c r="F227" s="9">
        <v>44</v>
      </c>
      <c r="G227" s="11">
        <v>7945465</v>
      </c>
      <c r="H227" s="9">
        <v>44</v>
      </c>
      <c r="I227" s="9">
        <v>22</v>
      </c>
      <c r="J227" s="11">
        <v>7945465</v>
      </c>
      <c r="K227" s="1" t="s">
        <v>111</v>
      </c>
      <c r="L227" s="1">
        <v>2701</v>
      </c>
    </row>
    <row r="228" spans="1:12" ht="22" customHeight="1" x14ac:dyDescent="0.35">
      <c r="A228" s="5">
        <v>2021</v>
      </c>
      <c r="B228" s="5" t="s">
        <v>104</v>
      </c>
      <c r="C228" s="6" t="s">
        <v>105</v>
      </c>
      <c r="D228" s="5" t="s">
        <v>127</v>
      </c>
      <c r="E228" s="8">
        <v>8</v>
      </c>
      <c r="F228" s="8">
        <v>28</v>
      </c>
      <c r="G228" s="10">
        <v>4924104</v>
      </c>
      <c r="H228" s="8">
        <v>28</v>
      </c>
      <c r="I228" s="8">
        <v>8</v>
      </c>
      <c r="J228" s="10">
        <v>4924104</v>
      </c>
      <c r="K228" s="5" t="s">
        <v>111</v>
      </c>
      <c r="L228" s="5">
        <v>2701</v>
      </c>
    </row>
    <row r="229" spans="1:12" ht="22" customHeight="1" x14ac:dyDescent="0.35">
      <c r="A229" s="1">
        <v>2021</v>
      </c>
      <c r="B229" s="1" t="s">
        <v>104</v>
      </c>
      <c r="C229" s="7" t="s">
        <v>105</v>
      </c>
      <c r="D229" s="1" t="s">
        <v>128</v>
      </c>
      <c r="E229" s="9">
        <v>25</v>
      </c>
      <c r="F229" s="9">
        <v>194</v>
      </c>
      <c r="G229" s="11">
        <v>27086970</v>
      </c>
      <c r="H229" s="9">
        <v>194</v>
      </c>
      <c r="I229" s="9">
        <v>25</v>
      </c>
      <c r="J229" s="11">
        <v>27086970</v>
      </c>
      <c r="K229" s="1" t="s">
        <v>111</v>
      </c>
      <c r="L229" s="1">
        <v>2701</v>
      </c>
    </row>
    <row r="230" spans="1:12" ht="22" customHeight="1" x14ac:dyDescent="0.35">
      <c r="A230" s="5">
        <v>2021</v>
      </c>
      <c r="B230" s="5" t="s">
        <v>106</v>
      </c>
      <c r="C230" s="6" t="s">
        <v>107</v>
      </c>
      <c r="D230" s="5" t="s">
        <v>125</v>
      </c>
      <c r="E230" s="8">
        <v>33</v>
      </c>
      <c r="F230" s="8">
        <v>33</v>
      </c>
      <c r="G230" s="10">
        <v>7142861</v>
      </c>
      <c r="H230" s="8">
        <v>33</v>
      </c>
      <c r="I230" s="8">
        <v>33</v>
      </c>
      <c r="J230" s="10">
        <v>7142861</v>
      </c>
      <c r="K230" s="5" t="s">
        <v>111</v>
      </c>
      <c r="L230" s="5">
        <v>2702</v>
      </c>
    </row>
    <row r="231" spans="1:12" ht="22" customHeight="1" x14ac:dyDescent="0.35">
      <c r="A231" s="1">
        <v>2021</v>
      </c>
      <c r="B231" s="1" t="s">
        <v>106</v>
      </c>
      <c r="C231" s="7" t="s">
        <v>107</v>
      </c>
      <c r="D231" s="1" t="s">
        <v>126</v>
      </c>
      <c r="E231" s="9">
        <v>1</v>
      </c>
      <c r="F231" s="9">
        <v>2</v>
      </c>
      <c r="G231" s="11">
        <v>400000</v>
      </c>
      <c r="H231" s="9">
        <v>2</v>
      </c>
      <c r="I231" s="9">
        <v>1</v>
      </c>
      <c r="J231" s="11">
        <v>400000</v>
      </c>
      <c r="K231" s="1" t="s">
        <v>111</v>
      </c>
      <c r="L231" s="1">
        <v>2702</v>
      </c>
    </row>
    <row r="232" spans="1:12" ht="22" customHeight="1" x14ac:dyDescent="0.35">
      <c r="A232" s="5">
        <v>2021</v>
      </c>
      <c r="B232" s="5" t="s">
        <v>106</v>
      </c>
      <c r="C232" s="6" t="s">
        <v>107</v>
      </c>
      <c r="D232" s="5" t="s">
        <v>127</v>
      </c>
      <c r="E232" s="8">
        <v>0</v>
      </c>
      <c r="F232" s="8">
        <v>0</v>
      </c>
      <c r="G232" s="10">
        <v>0</v>
      </c>
      <c r="H232" s="8">
        <v>0</v>
      </c>
      <c r="I232" s="8">
        <v>0</v>
      </c>
      <c r="J232" s="10">
        <v>0</v>
      </c>
      <c r="K232" s="5" t="s">
        <v>111</v>
      </c>
      <c r="L232" s="5">
        <v>2702</v>
      </c>
    </row>
    <row r="233" spans="1:12" ht="22" customHeight="1" x14ac:dyDescent="0.35">
      <c r="A233" s="1">
        <v>2021</v>
      </c>
      <c r="B233" s="1" t="s">
        <v>106</v>
      </c>
      <c r="C233" s="7" t="s">
        <v>107</v>
      </c>
      <c r="D233" s="1" t="s">
        <v>128</v>
      </c>
      <c r="E233" s="9">
        <v>0</v>
      </c>
      <c r="F233" s="9">
        <v>0</v>
      </c>
      <c r="G233" s="11">
        <v>0</v>
      </c>
      <c r="H233" s="9">
        <v>0</v>
      </c>
      <c r="I233" s="9">
        <v>0</v>
      </c>
      <c r="J233" s="11">
        <v>0</v>
      </c>
      <c r="K233" s="1" t="s">
        <v>111</v>
      </c>
      <c r="L233" s="1">
        <v>2702</v>
      </c>
    </row>
    <row r="234" spans="1:12" ht="22" customHeight="1" x14ac:dyDescent="0.35">
      <c r="A234" s="5">
        <v>2021</v>
      </c>
      <c r="B234" s="5" t="s">
        <v>108</v>
      </c>
      <c r="C234" s="6" t="s">
        <v>109</v>
      </c>
      <c r="D234" s="5" t="s">
        <v>125</v>
      </c>
      <c r="E234" s="8">
        <v>1635</v>
      </c>
      <c r="F234" s="8">
        <v>1635</v>
      </c>
      <c r="G234" s="10">
        <v>399437776</v>
      </c>
      <c r="H234" s="8">
        <v>1497</v>
      </c>
      <c r="I234" s="8">
        <v>1497</v>
      </c>
      <c r="J234" s="10">
        <v>362954054</v>
      </c>
      <c r="K234" s="5" t="s">
        <v>111</v>
      </c>
      <c r="L234" s="5">
        <v>2703</v>
      </c>
    </row>
    <row r="235" spans="1:12" ht="22" customHeight="1" x14ac:dyDescent="0.35">
      <c r="A235" s="1">
        <v>2021</v>
      </c>
      <c r="B235" s="1" t="s">
        <v>108</v>
      </c>
      <c r="C235" s="7" t="s">
        <v>109</v>
      </c>
      <c r="D235" s="1" t="s">
        <v>126</v>
      </c>
      <c r="E235" s="9">
        <v>2</v>
      </c>
      <c r="F235" s="9">
        <v>4</v>
      </c>
      <c r="G235" s="11">
        <v>1415544</v>
      </c>
      <c r="H235" s="9">
        <v>4</v>
      </c>
      <c r="I235" s="9">
        <v>2</v>
      </c>
      <c r="J235" s="11">
        <v>1415544</v>
      </c>
      <c r="K235" s="1" t="s">
        <v>111</v>
      </c>
      <c r="L235" s="1">
        <v>2703</v>
      </c>
    </row>
    <row r="236" spans="1:12" ht="22" customHeight="1" x14ac:dyDescent="0.35">
      <c r="A236" s="5">
        <v>2021</v>
      </c>
      <c r="B236" s="5" t="s">
        <v>108</v>
      </c>
      <c r="C236" s="6" t="s">
        <v>109</v>
      </c>
      <c r="D236" s="5" t="s">
        <v>127</v>
      </c>
      <c r="E236" s="8">
        <v>17</v>
      </c>
      <c r="F236" s="8">
        <v>57</v>
      </c>
      <c r="G236" s="10">
        <v>10764276</v>
      </c>
      <c r="H236" s="8">
        <v>0</v>
      </c>
      <c r="I236" s="8">
        <v>0</v>
      </c>
      <c r="J236" s="10">
        <v>0</v>
      </c>
      <c r="K236" s="5" t="s">
        <v>111</v>
      </c>
      <c r="L236" s="5">
        <v>2703</v>
      </c>
    </row>
    <row r="237" spans="1:12" ht="22" customHeight="1" x14ac:dyDescent="0.35">
      <c r="A237" s="1">
        <v>2021</v>
      </c>
      <c r="B237" s="1" t="s">
        <v>108</v>
      </c>
      <c r="C237" s="7" t="s">
        <v>109</v>
      </c>
      <c r="D237" s="1" t="s">
        <v>128</v>
      </c>
      <c r="E237" s="9">
        <v>36</v>
      </c>
      <c r="F237" s="9">
        <v>940</v>
      </c>
      <c r="G237" s="11">
        <v>117037684</v>
      </c>
      <c r="H237" s="9">
        <v>884</v>
      </c>
      <c r="I237" s="9">
        <v>25</v>
      </c>
      <c r="J237" s="11">
        <v>110947218</v>
      </c>
      <c r="K237" s="1" t="s">
        <v>111</v>
      </c>
      <c r="L237" s="1">
        <v>2703</v>
      </c>
    </row>
    <row r="238" spans="1:12" ht="22" customHeight="1" x14ac:dyDescent="0.35">
      <c r="A238" s="5">
        <v>2022</v>
      </c>
      <c r="B238" s="5" t="s">
        <v>49</v>
      </c>
      <c r="C238" s="6" t="s">
        <v>50</v>
      </c>
      <c r="D238" s="5" t="s">
        <v>125</v>
      </c>
      <c r="E238" s="8">
        <v>63</v>
      </c>
      <c r="F238" s="8">
        <v>63</v>
      </c>
      <c r="G238" s="10">
        <v>15183118</v>
      </c>
      <c r="H238" s="8">
        <v>63</v>
      </c>
      <c r="I238" s="8">
        <v>63</v>
      </c>
      <c r="J238" s="10">
        <v>15183118</v>
      </c>
      <c r="K238" s="5" t="s">
        <v>112</v>
      </c>
      <c r="L238" s="5">
        <v>2674</v>
      </c>
    </row>
    <row r="239" spans="1:12" ht="22" customHeight="1" x14ac:dyDescent="0.35">
      <c r="A239" s="1">
        <v>2022</v>
      </c>
      <c r="B239" s="1" t="s">
        <v>49</v>
      </c>
      <c r="C239" s="7" t="s">
        <v>50</v>
      </c>
      <c r="D239" s="1" t="s">
        <v>126</v>
      </c>
      <c r="E239" s="9">
        <v>0</v>
      </c>
      <c r="F239" s="9">
        <v>0</v>
      </c>
      <c r="G239" s="11">
        <v>0</v>
      </c>
      <c r="H239" s="9">
        <v>0</v>
      </c>
      <c r="I239" s="9">
        <v>0</v>
      </c>
      <c r="J239" s="11">
        <v>0</v>
      </c>
      <c r="K239" s="1" t="s">
        <v>112</v>
      </c>
      <c r="L239" s="1">
        <v>2674</v>
      </c>
    </row>
    <row r="240" spans="1:12" ht="22" customHeight="1" x14ac:dyDescent="0.35">
      <c r="A240" s="5">
        <v>2022</v>
      </c>
      <c r="B240" s="5" t="s">
        <v>49</v>
      </c>
      <c r="C240" s="6" t="s">
        <v>50</v>
      </c>
      <c r="D240" s="5" t="s">
        <v>127</v>
      </c>
      <c r="E240" s="8">
        <v>0</v>
      </c>
      <c r="F240" s="8">
        <v>0</v>
      </c>
      <c r="G240" s="10">
        <v>0</v>
      </c>
      <c r="H240" s="8">
        <v>0</v>
      </c>
      <c r="I240" s="8">
        <v>0</v>
      </c>
      <c r="J240" s="10">
        <v>0</v>
      </c>
      <c r="K240" s="5" t="s">
        <v>112</v>
      </c>
      <c r="L240" s="5">
        <v>2674</v>
      </c>
    </row>
    <row r="241" spans="1:12" ht="22" customHeight="1" x14ac:dyDescent="0.35">
      <c r="A241" s="1">
        <v>2022</v>
      </c>
      <c r="B241" s="1" t="s">
        <v>49</v>
      </c>
      <c r="C241" s="7" t="s">
        <v>50</v>
      </c>
      <c r="D241" s="1" t="s">
        <v>128</v>
      </c>
      <c r="E241" s="9">
        <v>0</v>
      </c>
      <c r="F241" s="9">
        <v>0</v>
      </c>
      <c r="G241" s="11">
        <v>0</v>
      </c>
      <c r="H241" s="9">
        <v>0</v>
      </c>
      <c r="I241" s="9">
        <v>0</v>
      </c>
      <c r="J241" s="11">
        <v>0</v>
      </c>
      <c r="K241" s="1" t="s">
        <v>112</v>
      </c>
      <c r="L241" s="1">
        <v>2674</v>
      </c>
    </row>
    <row r="242" spans="1:12" ht="22" customHeight="1" x14ac:dyDescent="0.35">
      <c r="A242" s="5">
        <v>2022</v>
      </c>
      <c r="B242" s="5" t="s">
        <v>54</v>
      </c>
      <c r="C242" s="6" t="s">
        <v>55</v>
      </c>
      <c r="D242" s="5" t="s">
        <v>125</v>
      </c>
      <c r="E242" s="8">
        <v>327</v>
      </c>
      <c r="F242" s="8">
        <v>327</v>
      </c>
      <c r="G242" s="10">
        <v>108537983</v>
      </c>
      <c r="H242" s="8">
        <v>260</v>
      </c>
      <c r="I242" s="8">
        <v>260</v>
      </c>
      <c r="J242" s="10">
        <v>91268725</v>
      </c>
      <c r="K242" s="5" t="s">
        <v>112</v>
      </c>
      <c r="L242" s="5">
        <v>2675</v>
      </c>
    </row>
    <row r="243" spans="1:12" ht="22" customHeight="1" x14ac:dyDescent="0.35">
      <c r="A243" s="1">
        <v>2022</v>
      </c>
      <c r="B243" s="1" t="s">
        <v>54</v>
      </c>
      <c r="C243" s="7" t="s">
        <v>55</v>
      </c>
      <c r="D243" s="1" t="s">
        <v>126</v>
      </c>
      <c r="E243" s="9">
        <v>1</v>
      </c>
      <c r="F243" s="9">
        <v>2</v>
      </c>
      <c r="G243" s="11">
        <v>220000</v>
      </c>
      <c r="H243" s="9">
        <v>2</v>
      </c>
      <c r="I243" s="9">
        <v>1</v>
      </c>
      <c r="J243" s="11">
        <v>220000</v>
      </c>
      <c r="K243" s="1" t="s">
        <v>112</v>
      </c>
      <c r="L243" s="1">
        <v>2675</v>
      </c>
    </row>
    <row r="244" spans="1:12" ht="22" customHeight="1" x14ac:dyDescent="0.35">
      <c r="A244" s="5">
        <v>2022</v>
      </c>
      <c r="B244" s="5" t="s">
        <v>54</v>
      </c>
      <c r="C244" s="6" t="s">
        <v>55</v>
      </c>
      <c r="D244" s="5" t="s">
        <v>127</v>
      </c>
      <c r="E244" s="8">
        <v>6</v>
      </c>
      <c r="F244" s="8">
        <v>24</v>
      </c>
      <c r="G244" s="10">
        <v>4042000</v>
      </c>
      <c r="H244" s="8">
        <v>24</v>
      </c>
      <c r="I244" s="8">
        <v>6</v>
      </c>
      <c r="J244" s="10">
        <v>4042000</v>
      </c>
      <c r="K244" s="5" t="s">
        <v>112</v>
      </c>
      <c r="L244" s="5">
        <v>2675</v>
      </c>
    </row>
    <row r="245" spans="1:12" ht="22" customHeight="1" x14ac:dyDescent="0.35">
      <c r="A245" s="1">
        <v>2022</v>
      </c>
      <c r="B245" s="1" t="s">
        <v>54</v>
      </c>
      <c r="C245" s="7" t="s">
        <v>55</v>
      </c>
      <c r="D245" s="1" t="s">
        <v>128</v>
      </c>
      <c r="E245" s="9">
        <v>12</v>
      </c>
      <c r="F245" s="9">
        <v>125</v>
      </c>
      <c r="G245" s="11">
        <v>13292000</v>
      </c>
      <c r="H245" s="9">
        <v>125</v>
      </c>
      <c r="I245" s="9">
        <v>12</v>
      </c>
      <c r="J245" s="11">
        <v>13292000</v>
      </c>
      <c r="K245" s="1" t="s">
        <v>112</v>
      </c>
      <c r="L245" s="1">
        <v>2675</v>
      </c>
    </row>
    <row r="246" spans="1:12" ht="22" customHeight="1" x14ac:dyDescent="0.35">
      <c r="A246" s="5">
        <v>2022</v>
      </c>
      <c r="B246" s="5" t="s">
        <v>56</v>
      </c>
      <c r="C246" s="6" t="s">
        <v>57</v>
      </c>
      <c r="D246" s="5" t="s">
        <v>125</v>
      </c>
      <c r="E246" s="8">
        <v>724</v>
      </c>
      <c r="F246" s="8">
        <v>724</v>
      </c>
      <c r="G246" s="10">
        <v>247442573</v>
      </c>
      <c r="H246" s="8">
        <v>716</v>
      </c>
      <c r="I246" s="8">
        <v>716</v>
      </c>
      <c r="J246" s="10">
        <v>245171123</v>
      </c>
      <c r="K246" s="5" t="s">
        <v>112</v>
      </c>
      <c r="L246" s="5">
        <v>2676</v>
      </c>
    </row>
    <row r="247" spans="1:12" ht="22" customHeight="1" x14ac:dyDescent="0.35">
      <c r="A247" s="1">
        <v>2022</v>
      </c>
      <c r="B247" s="1" t="s">
        <v>56</v>
      </c>
      <c r="C247" s="7" t="s">
        <v>57</v>
      </c>
      <c r="D247" s="1" t="s">
        <v>126</v>
      </c>
      <c r="E247" s="9">
        <v>2</v>
      </c>
      <c r="F247" s="9">
        <v>4</v>
      </c>
      <c r="G247" s="11">
        <v>891374</v>
      </c>
      <c r="H247" s="9">
        <v>4</v>
      </c>
      <c r="I247" s="9">
        <v>2</v>
      </c>
      <c r="J247" s="11">
        <v>891374</v>
      </c>
      <c r="K247" s="1" t="s">
        <v>112</v>
      </c>
      <c r="L247" s="1">
        <v>2676</v>
      </c>
    </row>
    <row r="248" spans="1:12" ht="22" customHeight="1" x14ac:dyDescent="0.35">
      <c r="A248" s="5">
        <v>2022</v>
      </c>
      <c r="B248" s="5" t="s">
        <v>56</v>
      </c>
      <c r="C248" s="6" t="s">
        <v>57</v>
      </c>
      <c r="D248" s="5" t="s">
        <v>127</v>
      </c>
      <c r="E248" s="8">
        <v>1</v>
      </c>
      <c r="F248" s="8">
        <v>4</v>
      </c>
      <c r="G248" s="10">
        <v>1013156</v>
      </c>
      <c r="H248" s="8">
        <v>4</v>
      </c>
      <c r="I248" s="8">
        <v>1</v>
      </c>
      <c r="J248" s="10">
        <v>1013156</v>
      </c>
      <c r="K248" s="5" t="s">
        <v>112</v>
      </c>
      <c r="L248" s="5">
        <v>2676</v>
      </c>
    </row>
    <row r="249" spans="1:12" ht="22" customHeight="1" x14ac:dyDescent="0.35">
      <c r="A249" s="1">
        <v>2022</v>
      </c>
      <c r="B249" s="1" t="s">
        <v>56</v>
      </c>
      <c r="C249" s="7" t="s">
        <v>57</v>
      </c>
      <c r="D249" s="1" t="s">
        <v>128</v>
      </c>
      <c r="E249" s="9">
        <v>26</v>
      </c>
      <c r="F249" s="9">
        <v>313</v>
      </c>
      <c r="G249" s="11">
        <v>46960823</v>
      </c>
      <c r="H249" s="9">
        <v>313</v>
      </c>
      <c r="I249" s="9">
        <v>26</v>
      </c>
      <c r="J249" s="11">
        <v>46960823</v>
      </c>
      <c r="K249" s="1" t="s">
        <v>112</v>
      </c>
      <c r="L249" s="1">
        <v>2676</v>
      </c>
    </row>
    <row r="250" spans="1:12" ht="22" customHeight="1" x14ac:dyDescent="0.35">
      <c r="A250" s="5">
        <v>2022</v>
      </c>
      <c r="B250" s="5" t="s">
        <v>58</v>
      </c>
      <c r="C250" s="6" t="s">
        <v>59</v>
      </c>
      <c r="D250" s="5" t="s">
        <v>125</v>
      </c>
      <c r="E250" s="8">
        <v>64</v>
      </c>
      <c r="F250" s="8">
        <v>64</v>
      </c>
      <c r="G250" s="10">
        <v>21067804</v>
      </c>
      <c r="H250" s="8">
        <v>64</v>
      </c>
      <c r="I250" s="8">
        <v>64</v>
      </c>
      <c r="J250" s="10">
        <v>21067804</v>
      </c>
      <c r="K250" s="5" t="s">
        <v>112</v>
      </c>
      <c r="L250" s="5">
        <v>2677</v>
      </c>
    </row>
    <row r="251" spans="1:12" ht="22" customHeight="1" x14ac:dyDescent="0.35">
      <c r="A251" s="1">
        <v>2022</v>
      </c>
      <c r="B251" s="1" t="s">
        <v>58</v>
      </c>
      <c r="C251" s="7" t="s">
        <v>59</v>
      </c>
      <c r="D251" s="1" t="s">
        <v>126</v>
      </c>
      <c r="E251" s="9">
        <v>0</v>
      </c>
      <c r="F251" s="9">
        <v>0</v>
      </c>
      <c r="G251" s="11">
        <v>0</v>
      </c>
      <c r="H251" s="9">
        <v>0</v>
      </c>
      <c r="I251" s="9">
        <v>0</v>
      </c>
      <c r="J251" s="11">
        <v>0</v>
      </c>
      <c r="K251" s="1" t="s">
        <v>112</v>
      </c>
      <c r="L251" s="1">
        <v>2677</v>
      </c>
    </row>
    <row r="252" spans="1:12" ht="22" customHeight="1" x14ac:dyDescent="0.35">
      <c r="A252" s="5">
        <v>2022</v>
      </c>
      <c r="B252" s="5" t="s">
        <v>58</v>
      </c>
      <c r="C252" s="6" t="s">
        <v>59</v>
      </c>
      <c r="D252" s="5" t="s">
        <v>127</v>
      </c>
      <c r="E252" s="8">
        <v>0</v>
      </c>
      <c r="F252" s="8">
        <v>0</v>
      </c>
      <c r="G252" s="10">
        <v>0</v>
      </c>
      <c r="H252" s="8">
        <v>0</v>
      </c>
      <c r="I252" s="8">
        <v>0</v>
      </c>
      <c r="J252" s="10">
        <v>0</v>
      </c>
      <c r="K252" s="5" t="s">
        <v>112</v>
      </c>
      <c r="L252" s="5">
        <v>2677</v>
      </c>
    </row>
    <row r="253" spans="1:12" ht="22" customHeight="1" x14ac:dyDescent="0.35">
      <c r="A253" s="1">
        <v>2022</v>
      </c>
      <c r="B253" s="1" t="s">
        <v>58</v>
      </c>
      <c r="C253" s="7" t="s">
        <v>59</v>
      </c>
      <c r="D253" s="1" t="s">
        <v>128</v>
      </c>
      <c r="E253" s="9">
        <v>0</v>
      </c>
      <c r="F253" s="9">
        <v>0</v>
      </c>
      <c r="G253" s="11">
        <v>0</v>
      </c>
      <c r="H253" s="9">
        <v>0</v>
      </c>
      <c r="I253" s="9">
        <v>0</v>
      </c>
      <c r="J253" s="11">
        <v>0</v>
      </c>
      <c r="K253" s="1" t="s">
        <v>112</v>
      </c>
      <c r="L253" s="1">
        <v>2677</v>
      </c>
    </row>
    <row r="254" spans="1:12" ht="22" customHeight="1" x14ac:dyDescent="0.35">
      <c r="A254" s="5">
        <v>2022</v>
      </c>
      <c r="B254" s="5" t="s">
        <v>60</v>
      </c>
      <c r="C254" s="6" t="s">
        <v>61</v>
      </c>
      <c r="D254" s="5" t="s">
        <v>125</v>
      </c>
      <c r="E254" s="8">
        <v>20</v>
      </c>
      <c r="F254" s="8">
        <v>20</v>
      </c>
      <c r="G254" s="10">
        <v>5297285</v>
      </c>
      <c r="H254" s="8">
        <v>20</v>
      </c>
      <c r="I254" s="8">
        <v>20</v>
      </c>
      <c r="J254" s="10">
        <v>5297285</v>
      </c>
      <c r="K254" s="5" t="s">
        <v>112</v>
      </c>
      <c r="L254" s="5">
        <v>2678</v>
      </c>
    </row>
    <row r="255" spans="1:12" ht="22" customHeight="1" x14ac:dyDescent="0.35">
      <c r="A255" s="1">
        <v>2022</v>
      </c>
      <c r="B255" s="1" t="s">
        <v>60</v>
      </c>
      <c r="C255" s="7" t="s">
        <v>61</v>
      </c>
      <c r="D255" s="1" t="s">
        <v>126</v>
      </c>
      <c r="E255" s="9">
        <v>0</v>
      </c>
      <c r="F255" s="9">
        <v>0</v>
      </c>
      <c r="G255" s="11">
        <v>0</v>
      </c>
      <c r="H255" s="9">
        <v>0</v>
      </c>
      <c r="I255" s="9">
        <v>0</v>
      </c>
      <c r="J255" s="11">
        <v>0</v>
      </c>
      <c r="K255" s="1" t="s">
        <v>112</v>
      </c>
      <c r="L255" s="1">
        <v>2678</v>
      </c>
    </row>
    <row r="256" spans="1:12" ht="22" customHeight="1" x14ac:dyDescent="0.35">
      <c r="A256" s="5">
        <v>2022</v>
      </c>
      <c r="B256" s="5" t="s">
        <v>60</v>
      </c>
      <c r="C256" s="6" t="s">
        <v>61</v>
      </c>
      <c r="D256" s="5" t="s">
        <v>127</v>
      </c>
      <c r="E256" s="8">
        <v>0</v>
      </c>
      <c r="F256" s="8">
        <v>0</v>
      </c>
      <c r="G256" s="10">
        <v>0</v>
      </c>
      <c r="H256" s="8">
        <v>0</v>
      </c>
      <c r="I256" s="8">
        <v>0</v>
      </c>
      <c r="J256" s="10">
        <v>0</v>
      </c>
      <c r="K256" s="5" t="s">
        <v>112</v>
      </c>
      <c r="L256" s="5">
        <v>2678</v>
      </c>
    </row>
    <row r="257" spans="1:12" ht="22" customHeight="1" x14ac:dyDescent="0.35">
      <c r="A257" s="1">
        <v>2022</v>
      </c>
      <c r="B257" s="1" t="s">
        <v>60</v>
      </c>
      <c r="C257" s="7" t="s">
        <v>61</v>
      </c>
      <c r="D257" s="1" t="s">
        <v>128</v>
      </c>
      <c r="E257" s="9">
        <v>0</v>
      </c>
      <c r="F257" s="9">
        <v>0</v>
      </c>
      <c r="G257" s="11">
        <v>0</v>
      </c>
      <c r="H257" s="9">
        <v>0</v>
      </c>
      <c r="I257" s="9">
        <v>0</v>
      </c>
      <c r="J257" s="11">
        <v>0</v>
      </c>
      <c r="K257" s="1" t="s">
        <v>112</v>
      </c>
      <c r="L257" s="1">
        <v>2678</v>
      </c>
    </row>
    <row r="258" spans="1:12" ht="22" customHeight="1" x14ac:dyDescent="0.35">
      <c r="A258" s="5">
        <v>2022</v>
      </c>
      <c r="B258" s="5" t="s">
        <v>62</v>
      </c>
      <c r="C258" s="6" t="s">
        <v>63</v>
      </c>
      <c r="D258" s="5" t="s">
        <v>125</v>
      </c>
      <c r="E258" s="8">
        <v>1346</v>
      </c>
      <c r="F258" s="8">
        <v>1346</v>
      </c>
      <c r="G258" s="10">
        <v>410935355</v>
      </c>
      <c r="H258" s="8">
        <v>1346</v>
      </c>
      <c r="I258" s="8">
        <v>1346</v>
      </c>
      <c r="J258" s="10">
        <v>410935355</v>
      </c>
      <c r="K258" s="5" t="s">
        <v>112</v>
      </c>
      <c r="L258" s="5">
        <v>2679</v>
      </c>
    </row>
    <row r="259" spans="1:12" ht="22" customHeight="1" x14ac:dyDescent="0.35">
      <c r="A259" s="1">
        <v>2022</v>
      </c>
      <c r="B259" s="1" t="s">
        <v>62</v>
      </c>
      <c r="C259" s="7" t="s">
        <v>63</v>
      </c>
      <c r="D259" s="1" t="s">
        <v>126</v>
      </c>
      <c r="E259" s="9">
        <v>0</v>
      </c>
      <c r="F259" s="9">
        <v>0</v>
      </c>
      <c r="G259" s="11">
        <v>0</v>
      </c>
      <c r="H259" s="9">
        <v>0</v>
      </c>
      <c r="I259" s="9">
        <v>0</v>
      </c>
      <c r="J259" s="11">
        <v>0</v>
      </c>
      <c r="K259" s="1" t="s">
        <v>112</v>
      </c>
      <c r="L259" s="1">
        <v>2679</v>
      </c>
    </row>
    <row r="260" spans="1:12" ht="22" customHeight="1" x14ac:dyDescent="0.35">
      <c r="A260" s="5">
        <v>2022</v>
      </c>
      <c r="B260" s="5" t="s">
        <v>62</v>
      </c>
      <c r="C260" s="6" t="s">
        <v>63</v>
      </c>
      <c r="D260" s="5" t="s">
        <v>127</v>
      </c>
      <c r="E260" s="8">
        <v>7</v>
      </c>
      <c r="F260" s="8">
        <v>27</v>
      </c>
      <c r="G260" s="10">
        <v>4807440</v>
      </c>
      <c r="H260" s="8">
        <v>27</v>
      </c>
      <c r="I260" s="8">
        <v>7</v>
      </c>
      <c r="J260" s="10">
        <v>4807440</v>
      </c>
      <c r="K260" s="5" t="s">
        <v>112</v>
      </c>
      <c r="L260" s="5">
        <v>2679</v>
      </c>
    </row>
    <row r="261" spans="1:12" ht="22" customHeight="1" x14ac:dyDescent="0.35">
      <c r="A261" s="1">
        <v>2022</v>
      </c>
      <c r="B261" s="1" t="s">
        <v>62</v>
      </c>
      <c r="C261" s="7" t="s">
        <v>63</v>
      </c>
      <c r="D261" s="1" t="s">
        <v>128</v>
      </c>
      <c r="E261" s="9">
        <v>40</v>
      </c>
      <c r="F261" s="9">
        <v>802</v>
      </c>
      <c r="G261" s="11">
        <v>125423357</v>
      </c>
      <c r="H261" s="9">
        <v>802</v>
      </c>
      <c r="I261" s="9">
        <v>40</v>
      </c>
      <c r="J261" s="11">
        <v>125423357</v>
      </c>
      <c r="K261" s="1" t="s">
        <v>112</v>
      </c>
      <c r="L261" s="1">
        <v>2679</v>
      </c>
    </row>
    <row r="262" spans="1:12" ht="22" customHeight="1" x14ac:dyDescent="0.35">
      <c r="A262" s="5">
        <v>2022</v>
      </c>
      <c r="B262" s="5" t="s">
        <v>64</v>
      </c>
      <c r="C262" s="6" t="s">
        <v>65</v>
      </c>
      <c r="D262" s="5" t="s">
        <v>125</v>
      </c>
      <c r="E262" s="8">
        <v>176</v>
      </c>
      <c r="F262" s="8">
        <v>176</v>
      </c>
      <c r="G262" s="10">
        <v>44631971</v>
      </c>
      <c r="H262" s="8">
        <v>117</v>
      </c>
      <c r="I262" s="8">
        <v>117</v>
      </c>
      <c r="J262" s="10">
        <v>31871852</v>
      </c>
      <c r="K262" s="5" t="s">
        <v>112</v>
      </c>
      <c r="L262" s="5">
        <v>2680</v>
      </c>
    </row>
    <row r="263" spans="1:12" ht="22" customHeight="1" x14ac:dyDescent="0.35">
      <c r="A263" s="1">
        <v>2022</v>
      </c>
      <c r="B263" s="1" t="s">
        <v>64</v>
      </c>
      <c r="C263" s="7" t="s">
        <v>65</v>
      </c>
      <c r="D263" s="1" t="s">
        <v>126</v>
      </c>
      <c r="E263" s="9">
        <v>0</v>
      </c>
      <c r="F263" s="9">
        <v>0</v>
      </c>
      <c r="G263" s="11">
        <v>0</v>
      </c>
      <c r="H263" s="9">
        <v>0</v>
      </c>
      <c r="I263" s="9">
        <v>0</v>
      </c>
      <c r="J263" s="11">
        <v>0</v>
      </c>
      <c r="K263" s="1" t="s">
        <v>112</v>
      </c>
      <c r="L263" s="1">
        <v>2680</v>
      </c>
    </row>
    <row r="264" spans="1:12" ht="22" customHeight="1" x14ac:dyDescent="0.35">
      <c r="A264" s="5">
        <v>2022</v>
      </c>
      <c r="B264" s="5" t="s">
        <v>64</v>
      </c>
      <c r="C264" s="6" t="s">
        <v>65</v>
      </c>
      <c r="D264" s="5" t="s">
        <v>127</v>
      </c>
      <c r="E264" s="8">
        <v>2</v>
      </c>
      <c r="F264" s="8">
        <v>7</v>
      </c>
      <c r="G264" s="10">
        <v>789752</v>
      </c>
      <c r="H264" s="8">
        <v>4</v>
      </c>
      <c r="I264" s="8">
        <v>1</v>
      </c>
      <c r="J264" s="10">
        <v>575609</v>
      </c>
      <c r="K264" s="5" t="s">
        <v>112</v>
      </c>
      <c r="L264" s="5">
        <v>2680</v>
      </c>
    </row>
    <row r="265" spans="1:12" ht="22" customHeight="1" x14ac:dyDescent="0.35">
      <c r="A265" s="1">
        <v>2022</v>
      </c>
      <c r="B265" s="1" t="s">
        <v>64</v>
      </c>
      <c r="C265" s="7" t="s">
        <v>65</v>
      </c>
      <c r="D265" s="1" t="s">
        <v>128</v>
      </c>
      <c r="E265" s="9">
        <v>0</v>
      </c>
      <c r="F265" s="9">
        <v>0</v>
      </c>
      <c r="G265" s="11">
        <v>0</v>
      </c>
      <c r="H265" s="9">
        <v>0</v>
      </c>
      <c r="I265" s="9">
        <v>0</v>
      </c>
      <c r="J265" s="11">
        <v>0</v>
      </c>
      <c r="K265" s="1" t="s">
        <v>112</v>
      </c>
      <c r="L265" s="1">
        <v>2680</v>
      </c>
    </row>
    <row r="266" spans="1:12" ht="22" customHeight="1" x14ac:dyDescent="0.35">
      <c r="A266" s="5">
        <v>2022</v>
      </c>
      <c r="B266" s="5" t="s">
        <v>66</v>
      </c>
      <c r="C266" s="6" t="s">
        <v>67</v>
      </c>
      <c r="D266" s="5" t="s">
        <v>125</v>
      </c>
      <c r="E266" s="8">
        <v>40</v>
      </c>
      <c r="F266" s="8">
        <v>40</v>
      </c>
      <c r="G266" s="10">
        <v>4824176</v>
      </c>
      <c r="H266" s="8">
        <v>40</v>
      </c>
      <c r="I266" s="8">
        <v>40</v>
      </c>
      <c r="J266" s="10">
        <v>4824176</v>
      </c>
      <c r="K266" s="5" t="s">
        <v>112</v>
      </c>
      <c r="L266" s="5">
        <v>2681</v>
      </c>
    </row>
    <row r="267" spans="1:12" ht="22" customHeight="1" x14ac:dyDescent="0.35">
      <c r="A267" s="1">
        <v>2022</v>
      </c>
      <c r="B267" s="1" t="s">
        <v>66</v>
      </c>
      <c r="C267" s="7" t="s">
        <v>67</v>
      </c>
      <c r="D267" s="1" t="s">
        <v>126</v>
      </c>
      <c r="E267" s="9">
        <v>0</v>
      </c>
      <c r="F267" s="9">
        <v>0</v>
      </c>
      <c r="G267" s="11">
        <v>0</v>
      </c>
      <c r="H267" s="9">
        <v>0</v>
      </c>
      <c r="I267" s="9">
        <v>0</v>
      </c>
      <c r="J267" s="11">
        <v>0</v>
      </c>
      <c r="K267" s="1" t="s">
        <v>112</v>
      </c>
      <c r="L267" s="1">
        <v>2681</v>
      </c>
    </row>
    <row r="268" spans="1:12" ht="22" customHeight="1" x14ac:dyDescent="0.35">
      <c r="A268" s="5">
        <v>2022</v>
      </c>
      <c r="B268" s="5" t="s">
        <v>66</v>
      </c>
      <c r="C268" s="6" t="s">
        <v>67</v>
      </c>
      <c r="D268" s="5" t="s">
        <v>127</v>
      </c>
      <c r="E268" s="8">
        <v>0</v>
      </c>
      <c r="F268" s="8">
        <v>0</v>
      </c>
      <c r="G268" s="10">
        <v>0</v>
      </c>
      <c r="H268" s="8">
        <v>0</v>
      </c>
      <c r="I268" s="8">
        <v>0</v>
      </c>
      <c r="J268" s="10">
        <v>0</v>
      </c>
      <c r="K268" s="5" t="s">
        <v>112</v>
      </c>
      <c r="L268" s="5">
        <v>2681</v>
      </c>
    </row>
    <row r="269" spans="1:12" ht="22" customHeight="1" x14ac:dyDescent="0.35">
      <c r="A269" s="1">
        <v>2022</v>
      </c>
      <c r="B269" s="1" t="s">
        <v>66</v>
      </c>
      <c r="C269" s="7" t="s">
        <v>67</v>
      </c>
      <c r="D269" s="1" t="s">
        <v>128</v>
      </c>
      <c r="E269" s="9">
        <v>0</v>
      </c>
      <c r="F269" s="9">
        <v>0</v>
      </c>
      <c r="G269" s="11">
        <v>0</v>
      </c>
      <c r="H269" s="9">
        <v>0</v>
      </c>
      <c r="I269" s="9">
        <v>0</v>
      </c>
      <c r="J269" s="11">
        <v>0</v>
      </c>
      <c r="K269" s="1" t="s">
        <v>112</v>
      </c>
      <c r="L269" s="1">
        <v>2681</v>
      </c>
    </row>
    <row r="270" spans="1:12" ht="22" customHeight="1" x14ac:dyDescent="0.35">
      <c r="A270" s="5">
        <v>2022</v>
      </c>
      <c r="B270" s="5" t="s">
        <v>68</v>
      </c>
      <c r="C270" s="6" t="s">
        <v>69</v>
      </c>
      <c r="D270" s="5" t="s">
        <v>125</v>
      </c>
      <c r="E270" s="8">
        <v>66</v>
      </c>
      <c r="F270" s="8">
        <v>66</v>
      </c>
      <c r="G270" s="10">
        <v>14530930</v>
      </c>
      <c r="H270" s="8">
        <v>66</v>
      </c>
      <c r="I270" s="8">
        <v>66</v>
      </c>
      <c r="J270" s="10">
        <v>14530930</v>
      </c>
      <c r="K270" s="5" t="s">
        <v>112</v>
      </c>
      <c r="L270" s="5">
        <v>2682</v>
      </c>
    </row>
    <row r="271" spans="1:12" ht="22" customHeight="1" x14ac:dyDescent="0.35">
      <c r="A271" s="1">
        <v>2022</v>
      </c>
      <c r="B271" s="1" t="s">
        <v>68</v>
      </c>
      <c r="C271" s="7" t="s">
        <v>69</v>
      </c>
      <c r="D271" s="1" t="s">
        <v>126</v>
      </c>
      <c r="E271" s="9">
        <v>0</v>
      </c>
      <c r="F271" s="9">
        <v>0</v>
      </c>
      <c r="G271" s="11">
        <v>0</v>
      </c>
      <c r="H271" s="9">
        <v>0</v>
      </c>
      <c r="I271" s="9">
        <v>0</v>
      </c>
      <c r="J271" s="11">
        <v>0</v>
      </c>
      <c r="K271" s="1" t="s">
        <v>112</v>
      </c>
      <c r="L271" s="1">
        <v>2682</v>
      </c>
    </row>
    <row r="272" spans="1:12" ht="22" customHeight="1" x14ac:dyDescent="0.35">
      <c r="A272" s="5">
        <v>2022</v>
      </c>
      <c r="B272" s="5" t="s">
        <v>68</v>
      </c>
      <c r="C272" s="6" t="s">
        <v>69</v>
      </c>
      <c r="D272" s="5" t="s">
        <v>127</v>
      </c>
      <c r="E272" s="8">
        <v>0</v>
      </c>
      <c r="F272" s="8">
        <v>0</v>
      </c>
      <c r="G272" s="10">
        <v>0</v>
      </c>
      <c r="H272" s="8">
        <v>0</v>
      </c>
      <c r="I272" s="8">
        <v>0</v>
      </c>
      <c r="J272" s="10">
        <v>0</v>
      </c>
      <c r="K272" s="5" t="s">
        <v>112</v>
      </c>
      <c r="L272" s="5">
        <v>2682</v>
      </c>
    </row>
    <row r="273" spans="1:12" ht="22" customHeight="1" x14ac:dyDescent="0.35">
      <c r="A273" s="1">
        <v>2022</v>
      </c>
      <c r="B273" s="1" t="s">
        <v>68</v>
      </c>
      <c r="C273" s="7" t="s">
        <v>69</v>
      </c>
      <c r="D273" s="1" t="s">
        <v>128</v>
      </c>
      <c r="E273" s="9">
        <v>0</v>
      </c>
      <c r="F273" s="9">
        <v>0</v>
      </c>
      <c r="G273" s="11">
        <v>0</v>
      </c>
      <c r="H273" s="9">
        <v>0</v>
      </c>
      <c r="I273" s="9">
        <v>0</v>
      </c>
      <c r="J273" s="11">
        <v>0</v>
      </c>
      <c r="K273" s="1" t="s">
        <v>112</v>
      </c>
      <c r="L273" s="1">
        <v>2682</v>
      </c>
    </row>
    <row r="274" spans="1:12" ht="22" customHeight="1" x14ac:dyDescent="0.35">
      <c r="A274" s="5">
        <v>2022</v>
      </c>
      <c r="B274" s="5" t="s">
        <v>70</v>
      </c>
      <c r="C274" s="6" t="s">
        <v>71</v>
      </c>
      <c r="D274" s="5" t="s">
        <v>125</v>
      </c>
      <c r="E274" s="8">
        <v>64</v>
      </c>
      <c r="F274" s="8">
        <v>64</v>
      </c>
      <c r="G274" s="10">
        <v>17413772</v>
      </c>
      <c r="H274" s="8">
        <v>64</v>
      </c>
      <c r="I274" s="8">
        <v>64</v>
      </c>
      <c r="J274" s="10">
        <v>17413772</v>
      </c>
      <c r="K274" s="5" t="s">
        <v>112</v>
      </c>
      <c r="L274" s="5">
        <v>2683</v>
      </c>
    </row>
    <row r="275" spans="1:12" ht="22" customHeight="1" x14ac:dyDescent="0.35">
      <c r="A275" s="1">
        <v>2022</v>
      </c>
      <c r="B275" s="1" t="s">
        <v>70</v>
      </c>
      <c r="C275" s="7" t="s">
        <v>71</v>
      </c>
      <c r="D275" s="1" t="s">
        <v>126</v>
      </c>
      <c r="E275" s="9">
        <v>9</v>
      </c>
      <c r="F275" s="9">
        <v>18</v>
      </c>
      <c r="G275" s="11">
        <v>3137043</v>
      </c>
      <c r="H275" s="9">
        <v>18</v>
      </c>
      <c r="I275" s="9">
        <v>9</v>
      </c>
      <c r="J275" s="11">
        <v>3137043</v>
      </c>
      <c r="K275" s="1" t="s">
        <v>112</v>
      </c>
      <c r="L275" s="1">
        <v>2683</v>
      </c>
    </row>
    <row r="276" spans="1:12" ht="22" customHeight="1" x14ac:dyDescent="0.35">
      <c r="A276" s="5">
        <v>2022</v>
      </c>
      <c r="B276" s="5" t="s">
        <v>70</v>
      </c>
      <c r="C276" s="6" t="s">
        <v>71</v>
      </c>
      <c r="D276" s="5" t="s">
        <v>127</v>
      </c>
      <c r="E276" s="8">
        <v>5</v>
      </c>
      <c r="F276" s="8">
        <v>19</v>
      </c>
      <c r="G276" s="10">
        <v>2020255</v>
      </c>
      <c r="H276" s="8">
        <v>19</v>
      </c>
      <c r="I276" s="8">
        <v>5</v>
      </c>
      <c r="J276" s="10">
        <v>2020255</v>
      </c>
      <c r="K276" s="5" t="s">
        <v>112</v>
      </c>
      <c r="L276" s="5">
        <v>2683</v>
      </c>
    </row>
    <row r="277" spans="1:12" ht="22" customHeight="1" x14ac:dyDescent="0.35">
      <c r="A277" s="1">
        <v>2022</v>
      </c>
      <c r="B277" s="1" t="s">
        <v>70</v>
      </c>
      <c r="C277" s="7" t="s">
        <v>71</v>
      </c>
      <c r="D277" s="1" t="s">
        <v>128</v>
      </c>
      <c r="E277" s="9">
        <v>0</v>
      </c>
      <c r="F277" s="9">
        <v>0</v>
      </c>
      <c r="G277" s="11">
        <v>0</v>
      </c>
      <c r="H277" s="9">
        <v>0</v>
      </c>
      <c r="I277" s="9">
        <v>0</v>
      </c>
      <c r="J277" s="11">
        <v>0</v>
      </c>
      <c r="K277" s="1" t="s">
        <v>112</v>
      </c>
      <c r="L277" s="1">
        <v>2683</v>
      </c>
    </row>
    <row r="278" spans="1:12" ht="22" customHeight="1" x14ac:dyDescent="0.35">
      <c r="A278" s="5">
        <v>2022</v>
      </c>
      <c r="B278" s="5" t="s">
        <v>72</v>
      </c>
      <c r="C278" s="6" t="s">
        <v>73</v>
      </c>
      <c r="D278" s="5" t="s">
        <v>125</v>
      </c>
      <c r="E278" s="8">
        <v>989</v>
      </c>
      <c r="F278" s="8">
        <v>989</v>
      </c>
      <c r="G278" s="10">
        <v>197979492</v>
      </c>
      <c r="H278" s="8">
        <v>989</v>
      </c>
      <c r="I278" s="8">
        <v>989</v>
      </c>
      <c r="J278" s="10">
        <v>197979492</v>
      </c>
      <c r="K278" s="5" t="s">
        <v>112</v>
      </c>
      <c r="L278" s="5">
        <v>2684</v>
      </c>
    </row>
    <row r="279" spans="1:12" ht="22" customHeight="1" x14ac:dyDescent="0.35">
      <c r="A279" s="1">
        <v>2022</v>
      </c>
      <c r="B279" s="1" t="s">
        <v>72</v>
      </c>
      <c r="C279" s="7" t="s">
        <v>73</v>
      </c>
      <c r="D279" s="1" t="s">
        <v>126</v>
      </c>
      <c r="E279" s="9">
        <v>0</v>
      </c>
      <c r="F279" s="9">
        <v>0</v>
      </c>
      <c r="G279" s="11">
        <v>0</v>
      </c>
      <c r="H279" s="9">
        <v>0</v>
      </c>
      <c r="I279" s="9">
        <v>0</v>
      </c>
      <c r="J279" s="11">
        <v>0</v>
      </c>
      <c r="K279" s="1" t="s">
        <v>112</v>
      </c>
      <c r="L279" s="1">
        <v>2684</v>
      </c>
    </row>
    <row r="280" spans="1:12" ht="22" customHeight="1" x14ac:dyDescent="0.35">
      <c r="A280" s="5">
        <v>2022</v>
      </c>
      <c r="B280" s="5" t="s">
        <v>72</v>
      </c>
      <c r="C280" s="6" t="s">
        <v>73</v>
      </c>
      <c r="D280" s="5" t="s">
        <v>127</v>
      </c>
      <c r="E280" s="8">
        <v>0</v>
      </c>
      <c r="F280" s="8">
        <v>0</v>
      </c>
      <c r="G280" s="10">
        <v>0</v>
      </c>
      <c r="H280" s="8">
        <v>0</v>
      </c>
      <c r="I280" s="8">
        <v>0</v>
      </c>
      <c r="J280" s="10">
        <v>0</v>
      </c>
      <c r="K280" s="5" t="s">
        <v>112</v>
      </c>
      <c r="L280" s="5">
        <v>2684</v>
      </c>
    </row>
    <row r="281" spans="1:12" ht="22" customHeight="1" x14ac:dyDescent="0.35">
      <c r="A281" s="1">
        <v>2022</v>
      </c>
      <c r="B281" s="1" t="s">
        <v>72</v>
      </c>
      <c r="C281" s="7" t="s">
        <v>73</v>
      </c>
      <c r="D281" s="1" t="s">
        <v>128</v>
      </c>
      <c r="E281" s="9">
        <v>7</v>
      </c>
      <c r="F281" s="9">
        <v>43</v>
      </c>
      <c r="G281" s="11">
        <v>14336161</v>
      </c>
      <c r="H281" s="9">
        <v>43</v>
      </c>
      <c r="I281" s="9">
        <v>7</v>
      </c>
      <c r="J281" s="11">
        <v>14336161</v>
      </c>
      <c r="K281" s="1" t="s">
        <v>112</v>
      </c>
      <c r="L281" s="1">
        <v>2684</v>
      </c>
    </row>
    <row r="282" spans="1:12" ht="22" customHeight="1" x14ac:dyDescent="0.35">
      <c r="A282" s="5">
        <v>2022</v>
      </c>
      <c r="B282" s="5" t="s">
        <v>74</v>
      </c>
      <c r="C282" s="6" t="s">
        <v>75</v>
      </c>
      <c r="D282" s="5" t="s">
        <v>125</v>
      </c>
      <c r="E282" s="8">
        <v>73</v>
      </c>
      <c r="F282" s="8">
        <v>73</v>
      </c>
      <c r="G282" s="10">
        <v>21298934</v>
      </c>
      <c r="H282" s="8">
        <v>73</v>
      </c>
      <c r="I282" s="8">
        <v>73</v>
      </c>
      <c r="J282" s="10">
        <v>21298934</v>
      </c>
      <c r="K282" s="5" t="s">
        <v>112</v>
      </c>
      <c r="L282" s="5">
        <v>2685</v>
      </c>
    </row>
    <row r="283" spans="1:12" ht="22" customHeight="1" x14ac:dyDescent="0.35">
      <c r="A283" s="1">
        <v>2022</v>
      </c>
      <c r="B283" s="1" t="s">
        <v>74</v>
      </c>
      <c r="C283" s="7" t="s">
        <v>75</v>
      </c>
      <c r="D283" s="1" t="s">
        <v>126</v>
      </c>
      <c r="E283" s="9">
        <v>7</v>
      </c>
      <c r="F283" s="9">
        <v>14</v>
      </c>
      <c r="G283" s="11">
        <v>2874992</v>
      </c>
      <c r="H283" s="9">
        <v>14</v>
      </c>
      <c r="I283" s="9">
        <v>7</v>
      </c>
      <c r="J283" s="11">
        <v>2874992</v>
      </c>
      <c r="K283" s="1" t="s">
        <v>112</v>
      </c>
      <c r="L283" s="1">
        <v>2685</v>
      </c>
    </row>
    <row r="284" spans="1:12" ht="22" customHeight="1" x14ac:dyDescent="0.35">
      <c r="A284" s="5">
        <v>2022</v>
      </c>
      <c r="B284" s="5" t="s">
        <v>74</v>
      </c>
      <c r="C284" s="6" t="s">
        <v>75</v>
      </c>
      <c r="D284" s="5" t="s">
        <v>127</v>
      </c>
      <c r="E284" s="8">
        <v>6</v>
      </c>
      <c r="F284" s="8">
        <v>18</v>
      </c>
      <c r="G284" s="10">
        <v>3436667</v>
      </c>
      <c r="H284" s="8">
        <v>18</v>
      </c>
      <c r="I284" s="8">
        <v>6</v>
      </c>
      <c r="J284" s="10">
        <v>3436667</v>
      </c>
      <c r="K284" s="5" t="s">
        <v>112</v>
      </c>
      <c r="L284" s="5">
        <v>2685</v>
      </c>
    </row>
    <row r="285" spans="1:12" ht="22" customHeight="1" x14ac:dyDescent="0.35">
      <c r="A285" s="1">
        <v>2022</v>
      </c>
      <c r="B285" s="1" t="s">
        <v>74</v>
      </c>
      <c r="C285" s="7" t="s">
        <v>75</v>
      </c>
      <c r="D285" s="1" t="s">
        <v>128</v>
      </c>
      <c r="E285" s="9">
        <v>3</v>
      </c>
      <c r="F285" s="9">
        <v>17</v>
      </c>
      <c r="G285" s="11">
        <v>3133000</v>
      </c>
      <c r="H285" s="9">
        <v>17</v>
      </c>
      <c r="I285" s="9">
        <v>3</v>
      </c>
      <c r="J285" s="11">
        <v>3133000</v>
      </c>
      <c r="K285" s="1" t="s">
        <v>112</v>
      </c>
      <c r="L285" s="1">
        <v>2685</v>
      </c>
    </row>
    <row r="286" spans="1:12" ht="22" customHeight="1" x14ac:dyDescent="0.35">
      <c r="A286" s="5">
        <v>2022</v>
      </c>
      <c r="B286" s="5" t="s">
        <v>76</v>
      </c>
      <c r="C286" s="6" t="s">
        <v>77</v>
      </c>
      <c r="D286" s="5" t="s">
        <v>125</v>
      </c>
      <c r="E286" s="8">
        <v>203</v>
      </c>
      <c r="F286" s="8">
        <v>203</v>
      </c>
      <c r="G286" s="10">
        <v>58099680</v>
      </c>
      <c r="H286" s="8">
        <v>184</v>
      </c>
      <c r="I286" s="8">
        <v>184</v>
      </c>
      <c r="J286" s="10">
        <v>54204680</v>
      </c>
      <c r="K286" s="5" t="s">
        <v>112</v>
      </c>
      <c r="L286" s="5">
        <v>2686</v>
      </c>
    </row>
    <row r="287" spans="1:12" ht="22" customHeight="1" x14ac:dyDescent="0.35">
      <c r="A287" s="1">
        <v>2022</v>
      </c>
      <c r="B287" s="1" t="s">
        <v>76</v>
      </c>
      <c r="C287" s="7" t="s">
        <v>77</v>
      </c>
      <c r="D287" s="1" t="s">
        <v>126</v>
      </c>
      <c r="E287" s="9">
        <v>0</v>
      </c>
      <c r="F287" s="9">
        <v>0</v>
      </c>
      <c r="G287" s="11">
        <v>0</v>
      </c>
      <c r="H287" s="9">
        <v>0</v>
      </c>
      <c r="I287" s="9">
        <v>0</v>
      </c>
      <c r="J287" s="11">
        <v>0</v>
      </c>
      <c r="K287" s="1" t="s">
        <v>112</v>
      </c>
      <c r="L287" s="1">
        <v>2686</v>
      </c>
    </row>
    <row r="288" spans="1:12" ht="22" customHeight="1" x14ac:dyDescent="0.35">
      <c r="A288" s="5">
        <v>2022</v>
      </c>
      <c r="B288" s="5" t="s">
        <v>76</v>
      </c>
      <c r="C288" s="6" t="s">
        <v>77</v>
      </c>
      <c r="D288" s="5" t="s">
        <v>127</v>
      </c>
      <c r="E288" s="8">
        <v>1</v>
      </c>
      <c r="F288" s="8">
        <v>4</v>
      </c>
      <c r="G288" s="10">
        <v>425000</v>
      </c>
      <c r="H288" s="8">
        <v>0</v>
      </c>
      <c r="I288" s="8">
        <v>0</v>
      </c>
      <c r="J288" s="10">
        <v>0</v>
      </c>
      <c r="K288" s="5" t="s">
        <v>112</v>
      </c>
      <c r="L288" s="5">
        <v>2686</v>
      </c>
    </row>
    <row r="289" spans="1:12" ht="22" customHeight="1" x14ac:dyDescent="0.35">
      <c r="A289" s="1">
        <v>2022</v>
      </c>
      <c r="B289" s="1" t="s">
        <v>76</v>
      </c>
      <c r="C289" s="7" t="s">
        <v>77</v>
      </c>
      <c r="D289" s="1" t="s">
        <v>128</v>
      </c>
      <c r="E289" s="9">
        <v>0</v>
      </c>
      <c r="F289" s="9">
        <v>0</v>
      </c>
      <c r="G289" s="11">
        <v>0</v>
      </c>
      <c r="H289" s="9">
        <v>0</v>
      </c>
      <c r="I289" s="9">
        <v>0</v>
      </c>
      <c r="J289" s="11">
        <v>0</v>
      </c>
      <c r="K289" s="1" t="s">
        <v>112</v>
      </c>
      <c r="L289" s="1">
        <v>2686</v>
      </c>
    </row>
    <row r="290" spans="1:12" ht="22" customHeight="1" x14ac:dyDescent="0.35">
      <c r="A290" s="5">
        <v>2022</v>
      </c>
      <c r="B290" s="5" t="s">
        <v>78</v>
      </c>
      <c r="C290" s="6" t="s">
        <v>79</v>
      </c>
      <c r="D290" s="5" t="s">
        <v>125</v>
      </c>
      <c r="E290" s="8">
        <v>58</v>
      </c>
      <c r="F290" s="8">
        <v>58</v>
      </c>
      <c r="G290" s="10">
        <v>11514723</v>
      </c>
      <c r="H290" s="8">
        <v>54</v>
      </c>
      <c r="I290" s="8">
        <v>54</v>
      </c>
      <c r="J290" s="10">
        <v>10348070</v>
      </c>
      <c r="K290" s="5" t="s">
        <v>112</v>
      </c>
      <c r="L290" s="5">
        <v>2687</v>
      </c>
    </row>
    <row r="291" spans="1:12" ht="22" customHeight="1" x14ac:dyDescent="0.35">
      <c r="A291" s="1">
        <v>2022</v>
      </c>
      <c r="B291" s="1" t="s">
        <v>78</v>
      </c>
      <c r="C291" s="7" t="s">
        <v>79</v>
      </c>
      <c r="D291" s="1" t="s">
        <v>126</v>
      </c>
      <c r="E291" s="9">
        <v>1</v>
      </c>
      <c r="F291" s="9">
        <v>2</v>
      </c>
      <c r="G291" s="11">
        <v>163200</v>
      </c>
      <c r="H291" s="9">
        <v>2</v>
      </c>
      <c r="I291" s="9">
        <v>1</v>
      </c>
      <c r="J291" s="11">
        <v>163200</v>
      </c>
      <c r="K291" s="1" t="s">
        <v>112</v>
      </c>
      <c r="L291" s="1">
        <v>2687</v>
      </c>
    </row>
    <row r="292" spans="1:12" ht="22" customHeight="1" x14ac:dyDescent="0.35">
      <c r="A292" s="5">
        <v>2022</v>
      </c>
      <c r="B292" s="5" t="s">
        <v>78</v>
      </c>
      <c r="C292" s="6" t="s">
        <v>79</v>
      </c>
      <c r="D292" s="5" t="s">
        <v>127</v>
      </c>
      <c r="E292" s="8">
        <v>1</v>
      </c>
      <c r="F292" s="8">
        <v>4</v>
      </c>
      <c r="G292" s="10">
        <v>450000</v>
      </c>
      <c r="H292" s="8">
        <v>4</v>
      </c>
      <c r="I292" s="8">
        <v>1</v>
      </c>
      <c r="J292" s="10">
        <v>450000</v>
      </c>
      <c r="K292" s="5" t="s">
        <v>112</v>
      </c>
      <c r="L292" s="5">
        <v>2687</v>
      </c>
    </row>
    <row r="293" spans="1:12" ht="22" customHeight="1" x14ac:dyDescent="0.35">
      <c r="A293" s="1">
        <v>2022</v>
      </c>
      <c r="B293" s="1" t="s">
        <v>78</v>
      </c>
      <c r="C293" s="7" t="s">
        <v>79</v>
      </c>
      <c r="D293" s="1" t="s">
        <v>128</v>
      </c>
      <c r="E293" s="9">
        <v>0</v>
      </c>
      <c r="F293" s="9">
        <v>0</v>
      </c>
      <c r="G293" s="11">
        <v>0</v>
      </c>
      <c r="H293" s="9">
        <v>0</v>
      </c>
      <c r="I293" s="9">
        <v>0</v>
      </c>
      <c r="J293" s="11">
        <v>0</v>
      </c>
      <c r="K293" s="1" t="s">
        <v>112</v>
      </c>
      <c r="L293" s="1">
        <v>2687</v>
      </c>
    </row>
    <row r="294" spans="1:12" ht="22" customHeight="1" x14ac:dyDescent="0.35">
      <c r="A294" s="5">
        <v>2022</v>
      </c>
      <c r="B294" s="5" t="s">
        <v>80</v>
      </c>
      <c r="C294" s="6" t="s">
        <v>81</v>
      </c>
      <c r="D294" s="5" t="s">
        <v>125</v>
      </c>
      <c r="E294" s="8">
        <v>47</v>
      </c>
      <c r="F294" s="8">
        <v>47</v>
      </c>
      <c r="G294" s="10">
        <v>33122470</v>
      </c>
      <c r="H294" s="8">
        <v>47</v>
      </c>
      <c r="I294" s="8">
        <v>47</v>
      </c>
      <c r="J294" s="10">
        <v>33122470</v>
      </c>
      <c r="K294" s="5" t="s">
        <v>112</v>
      </c>
      <c r="L294" s="5">
        <v>2688</v>
      </c>
    </row>
    <row r="295" spans="1:12" ht="22" customHeight="1" x14ac:dyDescent="0.35">
      <c r="A295" s="1">
        <v>2022</v>
      </c>
      <c r="B295" s="1" t="s">
        <v>80</v>
      </c>
      <c r="C295" s="7" t="s">
        <v>81</v>
      </c>
      <c r="D295" s="1" t="s">
        <v>126</v>
      </c>
      <c r="E295" s="9">
        <v>0</v>
      </c>
      <c r="F295" s="9">
        <v>0</v>
      </c>
      <c r="G295" s="11">
        <v>0</v>
      </c>
      <c r="H295" s="9">
        <v>0</v>
      </c>
      <c r="I295" s="9">
        <v>0</v>
      </c>
      <c r="J295" s="11">
        <v>0</v>
      </c>
      <c r="K295" s="1" t="s">
        <v>112</v>
      </c>
      <c r="L295" s="1">
        <v>2688</v>
      </c>
    </row>
    <row r="296" spans="1:12" ht="22" customHeight="1" x14ac:dyDescent="0.35">
      <c r="A296" s="5">
        <v>2022</v>
      </c>
      <c r="B296" s="5" t="s">
        <v>80</v>
      </c>
      <c r="C296" s="6" t="s">
        <v>81</v>
      </c>
      <c r="D296" s="5" t="s">
        <v>127</v>
      </c>
      <c r="E296" s="8">
        <v>5</v>
      </c>
      <c r="F296" s="8">
        <v>16</v>
      </c>
      <c r="G296" s="10">
        <v>2985894</v>
      </c>
      <c r="H296" s="8">
        <v>16</v>
      </c>
      <c r="I296" s="8">
        <v>5</v>
      </c>
      <c r="J296" s="10">
        <v>2985894</v>
      </c>
      <c r="K296" s="5" t="s">
        <v>112</v>
      </c>
      <c r="L296" s="5">
        <v>2688</v>
      </c>
    </row>
    <row r="297" spans="1:12" ht="22" customHeight="1" x14ac:dyDescent="0.35">
      <c r="A297" s="1">
        <v>2022</v>
      </c>
      <c r="B297" s="1" t="s">
        <v>80</v>
      </c>
      <c r="C297" s="7" t="s">
        <v>81</v>
      </c>
      <c r="D297" s="1" t="s">
        <v>128</v>
      </c>
      <c r="E297" s="9">
        <v>0</v>
      </c>
      <c r="F297" s="9">
        <v>0</v>
      </c>
      <c r="G297" s="11">
        <v>0</v>
      </c>
      <c r="H297" s="9">
        <v>0</v>
      </c>
      <c r="I297" s="9">
        <v>0</v>
      </c>
      <c r="J297" s="11">
        <v>0</v>
      </c>
      <c r="K297" s="1" t="s">
        <v>112</v>
      </c>
      <c r="L297" s="1">
        <v>2688</v>
      </c>
    </row>
    <row r="298" spans="1:12" ht="22" customHeight="1" x14ac:dyDescent="0.35">
      <c r="A298" s="5">
        <v>2022</v>
      </c>
      <c r="B298" s="5" t="s">
        <v>82</v>
      </c>
      <c r="C298" s="6" t="s">
        <v>83</v>
      </c>
      <c r="D298" s="5" t="s">
        <v>125</v>
      </c>
      <c r="E298" s="8">
        <v>36</v>
      </c>
      <c r="F298" s="8">
        <v>36</v>
      </c>
      <c r="G298" s="10">
        <v>5944980</v>
      </c>
      <c r="H298" s="8">
        <v>9</v>
      </c>
      <c r="I298" s="8">
        <v>9</v>
      </c>
      <c r="J298" s="10">
        <v>1873380</v>
      </c>
      <c r="K298" s="5" t="s">
        <v>112</v>
      </c>
      <c r="L298" s="5">
        <v>2689</v>
      </c>
    </row>
    <row r="299" spans="1:12" ht="22" customHeight="1" x14ac:dyDescent="0.35">
      <c r="A299" s="1">
        <v>2022</v>
      </c>
      <c r="B299" s="1" t="s">
        <v>82</v>
      </c>
      <c r="C299" s="7" t="s">
        <v>83</v>
      </c>
      <c r="D299" s="1" t="s">
        <v>126</v>
      </c>
      <c r="E299" s="9">
        <v>0</v>
      </c>
      <c r="F299" s="9">
        <v>0</v>
      </c>
      <c r="G299" s="11">
        <v>0</v>
      </c>
      <c r="H299" s="9">
        <v>0</v>
      </c>
      <c r="I299" s="9">
        <v>0</v>
      </c>
      <c r="J299" s="11">
        <v>0</v>
      </c>
      <c r="K299" s="1" t="s">
        <v>112</v>
      </c>
      <c r="L299" s="1">
        <v>2689</v>
      </c>
    </row>
    <row r="300" spans="1:12" ht="22" customHeight="1" x14ac:dyDescent="0.35">
      <c r="A300" s="5">
        <v>2022</v>
      </c>
      <c r="B300" s="5" t="s">
        <v>82</v>
      </c>
      <c r="C300" s="6" t="s">
        <v>83</v>
      </c>
      <c r="D300" s="5" t="s">
        <v>127</v>
      </c>
      <c r="E300" s="8">
        <v>0</v>
      </c>
      <c r="F300" s="8">
        <v>0</v>
      </c>
      <c r="G300" s="10">
        <v>0</v>
      </c>
      <c r="H300" s="8">
        <v>0</v>
      </c>
      <c r="I300" s="8">
        <v>0</v>
      </c>
      <c r="J300" s="10">
        <v>0</v>
      </c>
      <c r="K300" s="5" t="s">
        <v>112</v>
      </c>
      <c r="L300" s="5">
        <v>2689</v>
      </c>
    </row>
    <row r="301" spans="1:12" ht="22" customHeight="1" x14ac:dyDescent="0.35">
      <c r="A301" s="1">
        <v>2022</v>
      </c>
      <c r="B301" s="1" t="s">
        <v>82</v>
      </c>
      <c r="C301" s="7" t="s">
        <v>83</v>
      </c>
      <c r="D301" s="1" t="s">
        <v>128</v>
      </c>
      <c r="E301" s="9">
        <v>0</v>
      </c>
      <c r="F301" s="9">
        <v>0</v>
      </c>
      <c r="G301" s="11">
        <v>0</v>
      </c>
      <c r="H301" s="9">
        <v>0</v>
      </c>
      <c r="I301" s="9">
        <v>0</v>
      </c>
      <c r="J301" s="11">
        <v>0</v>
      </c>
      <c r="K301" s="1" t="s">
        <v>112</v>
      </c>
      <c r="L301" s="1">
        <v>2689</v>
      </c>
    </row>
    <row r="302" spans="1:12" ht="22" customHeight="1" x14ac:dyDescent="0.35">
      <c r="A302" s="5">
        <v>2022</v>
      </c>
      <c r="B302" s="5" t="s">
        <v>84</v>
      </c>
      <c r="C302" s="6" t="s">
        <v>85</v>
      </c>
      <c r="D302" s="5" t="s">
        <v>125</v>
      </c>
      <c r="E302" s="8">
        <v>71</v>
      </c>
      <c r="F302" s="8">
        <v>71</v>
      </c>
      <c r="G302" s="10">
        <v>23127537</v>
      </c>
      <c r="H302" s="8">
        <v>0</v>
      </c>
      <c r="I302" s="8">
        <v>0</v>
      </c>
      <c r="J302" s="10">
        <v>0</v>
      </c>
      <c r="K302" s="5" t="s">
        <v>112</v>
      </c>
      <c r="L302" s="5">
        <v>2690</v>
      </c>
    </row>
    <row r="303" spans="1:12" ht="22" customHeight="1" x14ac:dyDescent="0.35">
      <c r="A303" s="1">
        <v>2022</v>
      </c>
      <c r="B303" s="1" t="s">
        <v>84</v>
      </c>
      <c r="C303" s="7" t="s">
        <v>85</v>
      </c>
      <c r="D303" s="1" t="s">
        <v>126</v>
      </c>
      <c r="E303" s="9">
        <v>0</v>
      </c>
      <c r="F303" s="9">
        <v>0</v>
      </c>
      <c r="G303" s="11">
        <v>0</v>
      </c>
      <c r="H303" s="9">
        <v>0</v>
      </c>
      <c r="I303" s="9">
        <v>0</v>
      </c>
      <c r="J303" s="11">
        <v>0</v>
      </c>
      <c r="K303" s="1" t="s">
        <v>112</v>
      </c>
      <c r="L303" s="1">
        <v>2690</v>
      </c>
    </row>
    <row r="304" spans="1:12" ht="22" customHeight="1" x14ac:dyDescent="0.35">
      <c r="A304" s="5">
        <v>2022</v>
      </c>
      <c r="B304" s="5" t="s">
        <v>84</v>
      </c>
      <c r="C304" s="6" t="s">
        <v>85</v>
      </c>
      <c r="D304" s="5" t="s">
        <v>127</v>
      </c>
      <c r="E304" s="8">
        <v>0</v>
      </c>
      <c r="F304" s="8">
        <v>0</v>
      </c>
      <c r="G304" s="10">
        <v>0</v>
      </c>
      <c r="H304" s="8">
        <v>0</v>
      </c>
      <c r="I304" s="8">
        <v>0</v>
      </c>
      <c r="J304" s="10">
        <v>0</v>
      </c>
      <c r="K304" s="5" t="s">
        <v>112</v>
      </c>
      <c r="L304" s="5">
        <v>2690</v>
      </c>
    </row>
    <row r="305" spans="1:12" ht="22" customHeight="1" x14ac:dyDescent="0.35">
      <c r="A305" s="1">
        <v>2022</v>
      </c>
      <c r="B305" s="1" t="s">
        <v>84</v>
      </c>
      <c r="C305" s="7" t="s">
        <v>85</v>
      </c>
      <c r="D305" s="1" t="s">
        <v>128</v>
      </c>
      <c r="E305" s="9">
        <v>0</v>
      </c>
      <c r="F305" s="9">
        <v>0</v>
      </c>
      <c r="G305" s="11">
        <v>0</v>
      </c>
      <c r="H305" s="9">
        <v>0</v>
      </c>
      <c r="I305" s="9">
        <v>0</v>
      </c>
      <c r="J305" s="11">
        <v>0</v>
      </c>
      <c r="K305" s="1" t="s">
        <v>112</v>
      </c>
      <c r="L305" s="1">
        <v>2690</v>
      </c>
    </row>
    <row r="306" spans="1:12" ht="22" customHeight="1" x14ac:dyDescent="0.35">
      <c r="A306" s="5">
        <v>2022</v>
      </c>
      <c r="B306" s="5" t="s">
        <v>86</v>
      </c>
      <c r="C306" s="6" t="s">
        <v>87</v>
      </c>
      <c r="D306" s="5" t="s">
        <v>125</v>
      </c>
      <c r="E306" s="8">
        <v>3339</v>
      </c>
      <c r="F306" s="8">
        <v>3339</v>
      </c>
      <c r="G306" s="10">
        <v>950033147</v>
      </c>
      <c r="H306" s="8">
        <v>3171</v>
      </c>
      <c r="I306" s="8">
        <v>3171</v>
      </c>
      <c r="J306" s="10">
        <v>909558176</v>
      </c>
      <c r="K306" s="5" t="s">
        <v>112</v>
      </c>
      <c r="L306" s="5">
        <v>2691</v>
      </c>
    </row>
    <row r="307" spans="1:12" ht="22" customHeight="1" x14ac:dyDescent="0.35">
      <c r="A307" s="1">
        <v>2022</v>
      </c>
      <c r="B307" s="1" t="s">
        <v>86</v>
      </c>
      <c r="C307" s="7" t="s">
        <v>87</v>
      </c>
      <c r="D307" s="1" t="s">
        <v>126</v>
      </c>
      <c r="E307" s="9">
        <v>42</v>
      </c>
      <c r="F307" s="9">
        <v>84</v>
      </c>
      <c r="G307" s="11">
        <v>12810544</v>
      </c>
      <c r="H307" s="9">
        <v>42</v>
      </c>
      <c r="I307" s="9">
        <v>21</v>
      </c>
      <c r="J307" s="11">
        <v>8959706</v>
      </c>
      <c r="K307" s="1" t="s">
        <v>112</v>
      </c>
      <c r="L307" s="1">
        <v>2691</v>
      </c>
    </row>
    <row r="308" spans="1:12" ht="22" customHeight="1" x14ac:dyDescent="0.35">
      <c r="A308" s="5">
        <v>2022</v>
      </c>
      <c r="B308" s="5" t="s">
        <v>86</v>
      </c>
      <c r="C308" s="6" t="s">
        <v>87</v>
      </c>
      <c r="D308" s="5" t="s">
        <v>127</v>
      </c>
      <c r="E308" s="8">
        <v>18</v>
      </c>
      <c r="F308" s="8">
        <v>63</v>
      </c>
      <c r="G308" s="10">
        <v>14816718</v>
      </c>
      <c r="H308" s="8">
        <v>42</v>
      </c>
      <c r="I308" s="8">
        <v>11</v>
      </c>
      <c r="J308" s="10">
        <v>10973206</v>
      </c>
      <c r="K308" s="5" t="s">
        <v>112</v>
      </c>
      <c r="L308" s="5">
        <v>2691</v>
      </c>
    </row>
    <row r="309" spans="1:12" ht="22" customHeight="1" x14ac:dyDescent="0.35">
      <c r="A309" s="1">
        <v>2022</v>
      </c>
      <c r="B309" s="1" t="s">
        <v>86</v>
      </c>
      <c r="C309" s="7" t="s">
        <v>87</v>
      </c>
      <c r="D309" s="1" t="s">
        <v>128</v>
      </c>
      <c r="E309" s="9">
        <v>120</v>
      </c>
      <c r="F309" s="9">
        <v>5889</v>
      </c>
      <c r="G309" s="11">
        <v>859816707</v>
      </c>
      <c r="H309" s="9">
        <v>2215</v>
      </c>
      <c r="I309" s="9">
        <v>70</v>
      </c>
      <c r="J309" s="11">
        <v>364582232</v>
      </c>
      <c r="K309" s="1" t="s">
        <v>112</v>
      </c>
      <c r="L309" s="1">
        <v>2691</v>
      </c>
    </row>
    <row r="310" spans="1:12" ht="22" customHeight="1" x14ac:dyDescent="0.35">
      <c r="A310" s="5">
        <v>2022</v>
      </c>
      <c r="B310" s="5" t="s">
        <v>88</v>
      </c>
      <c r="C310" s="6" t="s">
        <v>89</v>
      </c>
      <c r="D310" s="5" t="s">
        <v>125</v>
      </c>
      <c r="E310" s="8">
        <v>92</v>
      </c>
      <c r="F310" s="8">
        <v>92</v>
      </c>
      <c r="G310" s="10">
        <v>30578627</v>
      </c>
      <c r="H310" s="8">
        <v>90</v>
      </c>
      <c r="I310" s="8">
        <v>90</v>
      </c>
      <c r="J310" s="10">
        <v>30313395</v>
      </c>
      <c r="K310" s="5" t="s">
        <v>112</v>
      </c>
      <c r="L310" s="5">
        <v>2692</v>
      </c>
    </row>
    <row r="311" spans="1:12" ht="22" customHeight="1" x14ac:dyDescent="0.35">
      <c r="A311" s="1">
        <v>2022</v>
      </c>
      <c r="B311" s="1" t="s">
        <v>88</v>
      </c>
      <c r="C311" s="7" t="s">
        <v>89</v>
      </c>
      <c r="D311" s="1" t="s">
        <v>126</v>
      </c>
      <c r="E311" s="9">
        <v>0</v>
      </c>
      <c r="F311" s="9">
        <v>0</v>
      </c>
      <c r="G311" s="11">
        <v>0</v>
      </c>
      <c r="H311" s="9">
        <v>0</v>
      </c>
      <c r="I311" s="9">
        <v>0</v>
      </c>
      <c r="J311" s="11">
        <v>0</v>
      </c>
      <c r="K311" s="1" t="s">
        <v>112</v>
      </c>
      <c r="L311" s="1">
        <v>2692</v>
      </c>
    </row>
    <row r="312" spans="1:12" ht="22" customHeight="1" x14ac:dyDescent="0.35">
      <c r="A312" s="5">
        <v>2022</v>
      </c>
      <c r="B312" s="5" t="s">
        <v>88</v>
      </c>
      <c r="C312" s="6" t="s">
        <v>89</v>
      </c>
      <c r="D312" s="5" t="s">
        <v>127</v>
      </c>
      <c r="E312" s="8">
        <v>0</v>
      </c>
      <c r="F312" s="8">
        <v>0</v>
      </c>
      <c r="G312" s="10">
        <v>0</v>
      </c>
      <c r="H312" s="8">
        <v>0</v>
      </c>
      <c r="I312" s="8">
        <v>0</v>
      </c>
      <c r="J312" s="10">
        <v>0</v>
      </c>
      <c r="K312" s="5" t="s">
        <v>112</v>
      </c>
      <c r="L312" s="5">
        <v>2692</v>
      </c>
    </row>
    <row r="313" spans="1:12" ht="22" customHeight="1" x14ac:dyDescent="0.35">
      <c r="A313" s="1">
        <v>2022</v>
      </c>
      <c r="B313" s="1" t="s">
        <v>88</v>
      </c>
      <c r="C313" s="7" t="s">
        <v>89</v>
      </c>
      <c r="D313" s="1" t="s">
        <v>128</v>
      </c>
      <c r="E313" s="9">
        <v>0</v>
      </c>
      <c r="F313" s="9">
        <v>0</v>
      </c>
      <c r="G313" s="11">
        <v>0</v>
      </c>
      <c r="H313" s="9">
        <v>0</v>
      </c>
      <c r="I313" s="9">
        <v>0</v>
      </c>
      <c r="J313" s="11">
        <v>0</v>
      </c>
      <c r="K313" s="1" t="s">
        <v>112</v>
      </c>
      <c r="L313" s="1">
        <v>2692</v>
      </c>
    </row>
    <row r="314" spans="1:12" ht="22" customHeight="1" x14ac:dyDescent="0.35">
      <c r="A314" s="5">
        <v>2022</v>
      </c>
      <c r="B314" s="5" t="s">
        <v>90</v>
      </c>
      <c r="C314" s="6" t="s">
        <v>91</v>
      </c>
      <c r="D314" s="5" t="s">
        <v>125</v>
      </c>
      <c r="E314" s="8">
        <v>186</v>
      </c>
      <c r="F314" s="8">
        <v>186</v>
      </c>
      <c r="G314" s="10">
        <v>34655877</v>
      </c>
      <c r="H314" s="8">
        <v>186</v>
      </c>
      <c r="I314" s="8">
        <v>186</v>
      </c>
      <c r="J314" s="10">
        <v>34655877</v>
      </c>
      <c r="K314" s="5" t="s">
        <v>112</v>
      </c>
      <c r="L314" s="5">
        <v>2693</v>
      </c>
    </row>
    <row r="315" spans="1:12" ht="22" customHeight="1" x14ac:dyDescent="0.35">
      <c r="A315" s="1">
        <v>2022</v>
      </c>
      <c r="B315" s="1" t="s">
        <v>90</v>
      </c>
      <c r="C315" s="7" t="s">
        <v>91</v>
      </c>
      <c r="D315" s="1" t="s">
        <v>126</v>
      </c>
      <c r="E315" s="9">
        <v>0</v>
      </c>
      <c r="F315" s="9">
        <v>0</v>
      </c>
      <c r="G315" s="11">
        <v>0</v>
      </c>
      <c r="H315" s="9">
        <v>0</v>
      </c>
      <c r="I315" s="9">
        <v>0</v>
      </c>
      <c r="J315" s="11">
        <v>0</v>
      </c>
      <c r="K315" s="1" t="s">
        <v>112</v>
      </c>
      <c r="L315" s="1">
        <v>2693</v>
      </c>
    </row>
    <row r="316" spans="1:12" ht="22" customHeight="1" x14ac:dyDescent="0.35">
      <c r="A316" s="5">
        <v>2022</v>
      </c>
      <c r="B316" s="5" t="s">
        <v>90</v>
      </c>
      <c r="C316" s="6" t="s">
        <v>91</v>
      </c>
      <c r="D316" s="5" t="s">
        <v>127</v>
      </c>
      <c r="E316" s="8">
        <v>4</v>
      </c>
      <c r="F316" s="8">
        <v>16</v>
      </c>
      <c r="G316" s="10">
        <v>1650520</v>
      </c>
      <c r="H316" s="8">
        <v>16</v>
      </c>
      <c r="I316" s="8">
        <v>4</v>
      </c>
      <c r="J316" s="10">
        <v>1650520</v>
      </c>
      <c r="K316" s="5" t="s">
        <v>112</v>
      </c>
      <c r="L316" s="5">
        <v>2693</v>
      </c>
    </row>
    <row r="317" spans="1:12" ht="22" customHeight="1" x14ac:dyDescent="0.35">
      <c r="A317" s="1">
        <v>2022</v>
      </c>
      <c r="B317" s="1" t="s">
        <v>90</v>
      </c>
      <c r="C317" s="7" t="s">
        <v>91</v>
      </c>
      <c r="D317" s="1" t="s">
        <v>128</v>
      </c>
      <c r="E317" s="9">
        <v>0</v>
      </c>
      <c r="F317" s="9">
        <v>0</v>
      </c>
      <c r="G317" s="11">
        <v>0</v>
      </c>
      <c r="H317" s="9">
        <v>0</v>
      </c>
      <c r="I317" s="9">
        <v>0</v>
      </c>
      <c r="J317" s="11">
        <v>0</v>
      </c>
      <c r="K317" s="1" t="s">
        <v>112</v>
      </c>
      <c r="L317" s="1">
        <v>2693</v>
      </c>
    </row>
    <row r="318" spans="1:12" ht="22" customHeight="1" x14ac:dyDescent="0.35">
      <c r="A318" s="5">
        <v>2022</v>
      </c>
      <c r="B318" s="5" t="s">
        <v>92</v>
      </c>
      <c r="C318" s="6" t="s">
        <v>93</v>
      </c>
      <c r="D318" s="5" t="s">
        <v>125</v>
      </c>
      <c r="E318" s="8">
        <v>105</v>
      </c>
      <c r="F318" s="8">
        <v>105</v>
      </c>
      <c r="G318" s="10">
        <v>24783500</v>
      </c>
      <c r="H318" s="8">
        <v>97</v>
      </c>
      <c r="I318" s="8">
        <v>97</v>
      </c>
      <c r="J318" s="10">
        <v>22851000</v>
      </c>
      <c r="K318" s="5" t="s">
        <v>112</v>
      </c>
      <c r="L318" s="5">
        <v>2694</v>
      </c>
    </row>
    <row r="319" spans="1:12" ht="22" customHeight="1" x14ac:dyDescent="0.35">
      <c r="A319" s="1">
        <v>2022</v>
      </c>
      <c r="B319" s="1" t="s">
        <v>92</v>
      </c>
      <c r="C319" s="7" t="s">
        <v>93</v>
      </c>
      <c r="D319" s="1" t="s">
        <v>126</v>
      </c>
      <c r="E319" s="9">
        <v>11</v>
      </c>
      <c r="F319" s="9">
        <v>22</v>
      </c>
      <c r="G319" s="11">
        <v>3315000</v>
      </c>
      <c r="H319" s="9">
        <v>16</v>
      </c>
      <c r="I319" s="9">
        <v>8</v>
      </c>
      <c r="J319" s="11">
        <v>2526000</v>
      </c>
      <c r="K319" s="1" t="s">
        <v>112</v>
      </c>
      <c r="L319" s="1">
        <v>2694</v>
      </c>
    </row>
    <row r="320" spans="1:12" ht="22" customHeight="1" x14ac:dyDescent="0.35">
      <c r="A320" s="5">
        <v>2022</v>
      </c>
      <c r="B320" s="5" t="s">
        <v>92</v>
      </c>
      <c r="C320" s="6" t="s">
        <v>93</v>
      </c>
      <c r="D320" s="5" t="s">
        <v>127</v>
      </c>
      <c r="E320" s="8">
        <v>0</v>
      </c>
      <c r="F320" s="8">
        <v>0</v>
      </c>
      <c r="G320" s="10">
        <v>0</v>
      </c>
      <c r="H320" s="8">
        <v>0</v>
      </c>
      <c r="I320" s="8">
        <v>0</v>
      </c>
      <c r="J320" s="10">
        <v>0</v>
      </c>
      <c r="K320" s="5" t="s">
        <v>112</v>
      </c>
      <c r="L320" s="5">
        <v>2694</v>
      </c>
    </row>
    <row r="321" spans="1:12" ht="22" customHeight="1" x14ac:dyDescent="0.35">
      <c r="A321" s="1">
        <v>2022</v>
      </c>
      <c r="B321" s="1" t="s">
        <v>92</v>
      </c>
      <c r="C321" s="7" t="s">
        <v>93</v>
      </c>
      <c r="D321" s="1" t="s">
        <v>128</v>
      </c>
      <c r="E321" s="9">
        <v>3</v>
      </c>
      <c r="F321" s="9">
        <v>36</v>
      </c>
      <c r="G321" s="11">
        <v>6000000</v>
      </c>
      <c r="H321" s="9">
        <v>36</v>
      </c>
      <c r="I321" s="9">
        <v>3</v>
      </c>
      <c r="J321" s="11">
        <v>6000000</v>
      </c>
      <c r="K321" s="1" t="s">
        <v>112</v>
      </c>
      <c r="L321" s="1">
        <v>2694</v>
      </c>
    </row>
    <row r="322" spans="1:12" ht="22" customHeight="1" x14ac:dyDescent="0.35">
      <c r="A322" s="5">
        <v>2022</v>
      </c>
      <c r="B322" s="5" t="s">
        <v>94</v>
      </c>
      <c r="C322" s="6" t="s">
        <v>95</v>
      </c>
      <c r="D322" s="5" t="s">
        <v>125</v>
      </c>
      <c r="E322" s="8">
        <v>470</v>
      </c>
      <c r="F322" s="8">
        <v>470</v>
      </c>
      <c r="G322" s="10">
        <v>294773953</v>
      </c>
      <c r="H322" s="8">
        <v>470</v>
      </c>
      <c r="I322" s="8">
        <v>470</v>
      </c>
      <c r="J322" s="10">
        <v>294773953</v>
      </c>
      <c r="K322" s="5" t="s">
        <v>112</v>
      </c>
      <c r="L322" s="5">
        <v>2695</v>
      </c>
    </row>
    <row r="323" spans="1:12" ht="22" customHeight="1" x14ac:dyDescent="0.35">
      <c r="A323" s="1">
        <v>2022</v>
      </c>
      <c r="B323" s="1" t="s">
        <v>94</v>
      </c>
      <c r="C323" s="7" t="s">
        <v>95</v>
      </c>
      <c r="D323" s="1" t="s">
        <v>126</v>
      </c>
      <c r="E323" s="9">
        <v>0</v>
      </c>
      <c r="F323" s="9">
        <v>0</v>
      </c>
      <c r="G323" s="11">
        <v>0</v>
      </c>
      <c r="H323" s="9">
        <v>0</v>
      </c>
      <c r="I323" s="9">
        <v>0</v>
      </c>
      <c r="J323" s="11">
        <v>0</v>
      </c>
      <c r="K323" s="1" t="s">
        <v>112</v>
      </c>
      <c r="L323" s="1">
        <v>2695</v>
      </c>
    </row>
    <row r="324" spans="1:12" ht="22" customHeight="1" x14ac:dyDescent="0.35">
      <c r="A324" s="5">
        <v>2022</v>
      </c>
      <c r="B324" s="5" t="s">
        <v>94</v>
      </c>
      <c r="C324" s="6" t="s">
        <v>95</v>
      </c>
      <c r="D324" s="5" t="s">
        <v>127</v>
      </c>
      <c r="E324" s="8">
        <v>0</v>
      </c>
      <c r="F324" s="8">
        <v>0</v>
      </c>
      <c r="G324" s="10">
        <v>0</v>
      </c>
      <c r="H324" s="8">
        <v>0</v>
      </c>
      <c r="I324" s="8">
        <v>0</v>
      </c>
      <c r="J324" s="10">
        <v>0</v>
      </c>
      <c r="K324" s="5" t="s">
        <v>112</v>
      </c>
      <c r="L324" s="5">
        <v>2695</v>
      </c>
    </row>
    <row r="325" spans="1:12" ht="22" customHeight="1" x14ac:dyDescent="0.35">
      <c r="A325" s="1">
        <v>2022</v>
      </c>
      <c r="B325" s="1" t="s">
        <v>94</v>
      </c>
      <c r="C325" s="7" t="s">
        <v>95</v>
      </c>
      <c r="D325" s="1" t="s">
        <v>128</v>
      </c>
      <c r="E325" s="9">
        <v>2</v>
      </c>
      <c r="F325" s="9">
        <v>90</v>
      </c>
      <c r="G325" s="11">
        <v>48799866</v>
      </c>
      <c r="H325" s="9">
        <v>90</v>
      </c>
      <c r="I325" s="9">
        <v>2</v>
      </c>
      <c r="J325" s="11">
        <v>48799866</v>
      </c>
      <c r="K325" s="1" t="s">
        <v>112</v>
      </c>
      <c r="L325" s="1">
        <v>2695</v>
      </c>
    </row>
    <row r="326" spans="1:12" ht="22" customHeight="1" x14ac:dyDescent="0.35">
      <c r="A326" s="5">
        <v>2022</v>
      </c>
      <c r="B326" s="5" t="s">
        <v>96</v>
      </c>
      <c r="C326" s="6" t="s">
        <v>97</v>
      </c>
      <c r="D326" s="5" t="s">
        <v>125</v>
      </c>
      <c r="E326" s="8">
        <v>653</v>
      </c>
      <c r="F326" s="8">
        <v>653</v>
      </c>
      <c r="G326" s="10">
        <v>184826950</v>
      </c>
      <c r="H326" s="8">
        <v>653</v>
      </c>
      <c r="I326" s="8">
        <v>653</v>
      </c>
      <c r="J326" s="10">
        <v>184826950</v>
      </c>
      <c r="K326" s="5" t="s">
        <v>112</v>
      </c>
      <c r="L326" s="5">
        <v>2696</v>
      </c>
    </row>
    <row r="327" spans="1:12" ht="22" customHeight="1" x14ac:dyDescent="0.35">
      <c r="A327" s="1">
        <v>2022</v>
      </c>
      <c r="B327" s="1" t="s">
        <v>96</v>
      </c>
      <c r="C327" s="7" t="s">
        <v>97</v>
      </c>
      <c r="D327" s="1" t="s">
        <v>126</v>
      </c>
      <c r="E327" s="9">
        <v>0</v>
      </c>
      <c r="F327" s="9">
        <v>0</v>
      </c>
      <c r="G327" s="11">
        <v>0</v>
      </c>
      <c r="H327" s="9">
        <v>0</v>
      </c>
      <c r="I327" s="9">
        <v>0</v>
      </c>
      <c r="J327" s="11">
        <v>0</v>
      </c>
      <c r="K327" s="1" t="s">
        <v>112</v>
      </c>
      <c r="L327" s="1">
        <v>2696</v>
      </c>
    </row>
    <row r="328" spans="1:12" ht="22" customHeight="1" x14ac:dyDescent="0.35">
      <c r="A328" s="5">
        <v>2022</v>
      </c>
      <c r="B328" s="5" t="s">
        <v>96</v>
      </c>
      <c r="C328" s="6" t="s">
        <v>97</v>
      </c>
      <c r="D328" s="5" t="s">
        <v>127</v>
      </c>
      <c r="E328" s="8">
        <v>8</v>
      </c>
      <c r="F328" s="8">
        <v>31</v>
      </c>
      <c r="G328" s="10">
        <v>7124706</v>
      </c>
      <c r="H328" s="8">
        <v>31</v>
      </c>
      <c r="I328" s="8">
        <v>8</v>
      </c>
      <c r="J328" s="10">
        <v>7124706</v>
      </c>
      <c r="K328" s="5" t="s">
        <v>112</v>
      </c>
      <c r="L328" s="5">
        <v>2696</v>
      </c>
    </row>
    <row r="329" spans="1:12" ht="22" customHeight="1" x14ac:dyDescent="0.35">
      <c r="A329" s="1">
        <v>2022</v>
      </c>
      <c r="B329" s="1" t="s">
        <v>96</v>
      </c>
      <c r="C329" s="7" t="s">
        <v>97</v>
      </c>
      <c r="D329" s="1" t="s">
        <v>128</v>
      </c>
      <c r="E329" s="9">
        <v>7</v>
      </c>
      <c r="F329" s="9">
        <v>43</v>
      </c>
      <c r="G329" s="11">
        <v>10489312</v>
      </c>
      <c r="H329" s="9">
        <v>43</v>
      </c>
      <c r="I329" s="9">
        <v>7</v>
      </c>
      <c r="J329" s="11">
        <v>10489312</v>
      </c>
      <c r="K329" s="1" t="s">
        <v>112</v>
      </c>
      <c r="L329" s="1">
        <v>2696</v>
      </c>
    </row>
    <row r="330" spans="1:12" ht="22" customHeight="1" x14ac:dyDescent="0.35">
      <c r="A330" s="5">
        <v>2022</v>
      </c>
      <c r="B330" s="5" t="s">
        <v>98</v>
      </c>
      <c r="C330" s="6" t="s">
        <v>99</v>
      </c>
      <c r="D330" s="5" t="s">
        <v>125</v>
      </c>
      <c r="E330" s="8">
        <v>86</v>
      </c>
      <c r="F330" s="8">
        <v>86</v>
      </c>
      <c r="G330" s="10">
        <v>34054448</v>
      </c>
      <c r="H330" s="8">
        <v>86</v>
      </c>
      <c r="I330" s="8">
        <v>86</v>
      </c>
      <c r="J330" s="10">
        <v>34054448</v>
      </c>
      <c r="K330" s="5" t="s">
        <v>112</v>
      </c>
      <c r="L330" s="5">
        <v>2697</v>
      </c>
    </row>
    <row r="331" spans="1:12" ht="22" customHeight="1" x14ac:dyDescent="0.35">
      <c r="A331" s="1">
        <v>2022</v>
      </c>
      <c r="B331" s="1" t="s">
        <v>98</v>
      </c>
      <c r="C331" s="7" t="s">
        <v>99</v>
      </c>
      <c r="D331" s="1" t="s">
        <v>126</v>
      </c>
      <c r="E331" s="9">
        <v>2</v>
      </c>
      <c r="F331" s="9">
        <v>4</v>
      </c>
      <c r="G331" s="11">
        <v>717635</v>
      </c>
      <c r="H331" s="9">
        <v>4</v>
      </c>
      <c r="I331" s="9">
        <v>2</v>
      </c>
      <c r="J331" s="11">
        <v>717635</v>
      </c>
      <c r="K331" s="1" t="s">
        <v>112</v>
      </c>
      <c r="L331" s="1">
        <v>2697</v>
      </c>
    </row>
    <row r="332" spans="1:12" ht="22" customHeight="1" x14ac:dyDescent="0.35">
      <c r="A332" s="5">
        <v>2022</v>
      </c>
      <c r="B332" s="5" t="s">
        <v>98</v>
      </c>
      <c r="C332" s="6" t="s">
        <v>99</v>
      </c>
      <c r="D332" s="5" t="s">
        <v>127</v>
      </c>
      <c r="E332" s="8">
        <v>0</v>
      </c>
      <c r="F332" s="8">
        <v>0</v>
      </c>
      <c r="G332" s="10">
        <v>0</v>
      </c>
      <c r="H332" s="8">
        <v>0</v>
      </c>
      <c r="I332" s="8">
        <v>0</v>
      </c>
      <c r="J332" s="10">
        <v>0</v>
      </c>
      <c r="K332" s="5" t="s">
        <v>112</v>
      </c>
      <c r="L332" s="5">
        <v>2697</v>
      </c>
    </row>
    <row r="333" spans="1:12" ht="22" customHeight="1" x14ac:dyDescent="0.35">
      <c r="A333" s="1">
        <v>2022</v>
      </c>
      <c r="B333" s="1" t="s">
        <v>98</v>
      </c>
      <c r="C333" s="7" t="s">
        <v>99</v>
      </c>
      <c r="D333" s="1" t="s">
        <v>128</v>
      </c>
      <c r="E333" s="9">
        <v>0</v>
      </c>
      <c r="F333" s="9">
        <v>0</v>
      </c>
      <c r="G333" s="11">
        <v>0</v>
      </c>
      <c r="H333" s="9">
        <v>0</v>
      </c>
      <c r="I333" s="9">
        <v>0</v>
      </c>
      <c r="J333" s="11">
        <v>0</v>
      </c>
      <c r="K333" s="1" t="s">
        <v>112</v>
      </c>
      <c r="L333" s="1">
        <v>2697</v>
      </c>
    </row>
    <row r="334" spans="1:12" ht="22" customHeight="1" x14ac:dyDescent="0.35">
      <c r="A334" s="5">
        <v>2022</v>
      </c>
      <c r="B334" s="5" t="s">
        <v>100</v>
      </c>
      <c r="C334" s="6" t="s">
        <v>101</v>
      </c>
      <c r="D334" s="5" t="s">
        <v>125</v>
      </c>
      <c r="E334" s="8">
        <v>5080</v>
      </c>
      <c r="F334" s="8">
        <v>5080</v>
      </c>
      <c r="G334" s="10">
        <v>1694452771</v>
      </c>
      <c r="H334" s="8">
        <v>5069</v>
      </c>
      <c r="I334" s="8">
        <v>5069</v>
      </c>
      <c r="J334" s="10">
        <v>1689833701</v>
      </c>
      <c r="K334" s="5" t="s">
        <v>112</v>
      </c>
      <c r="L334" s="5">
        <v>2698</v>
      </c>
    </row>
    <row r="335" spans="1:12" ht="22" customHeight="1" x14ac:dyDescent="0.35">
      <c r="A335" s="1">
        <v>2022</v>
      </c>
      <c r="B335" s="1" t="s">
        <v>100</v>
      </c>
      <c r="C335" s="7" t="s">
        <v>101</v>
      </c>
      <c r="D335" s="1" t="s">
        <v>126</v>
      </c>
      <c r="E335" s="9">
        <v>69</v>
      </c>
      <c r="F335" s="9">
        <v>138</v>
      </c>
      <c r="G335" s="11">
        <v>27213853</v>
      </c>
      <c r="H335" s="9">
        <v>138</v>
      </c>
      <c r="I335" s="9">
        <v>69</v>
      </c>
      <c r="J335" s="11">
        <v>27213853</v>
      </c>
      <c r="K335" s="1" t="s">
        <v>112</v>
      </c>
      <c r="L335" s="1">
        <v>2698</v>
      </c>
    </row>
    <row r="336" spans="1:12" ht="22" customHeight="1" x14ac:dyDescent="0.35">
      <c r="A336" s="5">
        <v>2022</v>
      </c>
      <c r="B336" s="5" t="s">
        <v>100</v>
      </c>
      <c r="C336" s="6" t="s">
        <v>101</v>
      </c>
      <c r="D336" s="5" t="s">
        <v>127</v>
      </c>
      <c r="E336" s="8">
        <v>37</v>
      </c>
      <c r="F336" s="8">
        <v>140</v>
      </c>
      <c r="G336" s="10">
        <v>25005314</v>
      </c>
      <c r="H336" s="8">
        <v>140</v>
      </c>
      <c r="I336" s="8">
        <v>37</v>
      </c>
      <c r="J336" s="10">
        <v>25005314</v>
      </c>
      <c r="K336" s="5" t="s">
        <v>112</v>
      </c>
      <c r="L336" s="5">
        <v>2698</v>
      </c>
    </row>
    <row r="337" spans="1:12" ht="22" customHeight="1" x14ac:dyDescent="0.35">
      <c r="A337" s="1">
        <v>2022</v>
      </c>
      <c r="B337" s="1" t="s">
        <v>100</v>
      </c>
      <c r="C337" s="7" t="s">
        <v>101</v>
      </c>
      <c r="D337" s="1" t="s">
        <v>128</v>
      </c>
      <c r="E337" s="9">
        <v>142</v>
      </c>
      <c r="F337" s="9">
        <v>2807</v>
      </c>
      <c r="G337" s="11">
        <v>466722175</v>
      </c>
      <c r="H337" s="9">
        <v>2807</v>
      </c>
      <c r="I337" s="9">
        <v>142</v>
      </c>
      <c r="J337" s="11">
        <v>466722175</v>
      </c>
      <c r="K337" s="1" t="s">
        <v>112</v>
      </c>
      <c r="L337" s="1">
        <v>2698</v>
      </c>
    </row>
    <row r="338" spans="1:12" ht="22" customHeight="1" x14ac:dyDescent="0.35">
      <c r="A338" s="5">
        <v>2022</v>
      </c>
      <c r="B338" s="5" t="s">
        <v>102</v>
      </c>
      <c r="C338" s="6" t="s">
        <v>103</v>
      </c>
      <c r="D338" s="5" t="s">
        <v>125</v>
      </c>
      <c r="E338" s="8">
        <v>991</v>
      </c>
      <c r="F338" s="8">
        <v>991</v>
      </c>
      <c r="G338" s="10">
        <v>623850968</v>
      </c>
      <c r="H338" s="8">
        <v>985</v>
      </c>
      <c r="I338" s="8">
        <v>985</v>
      </c>
      <c r="J338" s="10">
        <v>621239468</v>
      </c>
      <c r="K338" s="5" t="s">
        <v>112</v>
      </c>
      <c r="L338" s="5">
        <v>2699</v>
      </c>
    </row>
    <row r="339" spans="1:12" ht="22" customHeight="1" x14ac:dyDescent="0.35">
      <c r="A339" s="1">
        <v>2022</v>
      </c>
      <c r="B339" s="1" t="s">
        <v>102</v>
      </c>
      <c r="C339" s="7" t="s">
        <v>103</v>
      </c>
      <c r="D339" s="1" t="s">
        <v>126</v>
      </c>
      <c r="E339" s="9">
        <v>0</v>
      </c>
      <c r="F339" s="9">
        <v>0</v>
      </c>
      <c r="G339" s="11">
        <v>0</v>
      </c>
      <c r="H339" s="9">
        <v>0</v>
      </c>
      <c r="I339" s="9">
        <v>0</v>
      </c>
      <c r="J339" s="11">
        <v>0</v>
      </c>
      <c r="K339" s="1" t="s">
        <v>112</v>
      </c>
      <c r="L339" s="1">
        <v>2699</v>
      </c>
    </row>
    <row r="340" spans="1:12" ht="22" customHeight="1" x14ac:dyDescent="0.35">
      <c r="A340" s="5">
        <v>2022</v>
      </c>
      <c r="B340" s="5" t="s">
        <v>102</v>
      </c>
      <c r="C340" s="6" t="s">
        <v>103</v>
      </c>
      <c r="D340" s="5" t="s">
        <v>127</v>
      </c>
      <c r="E340" s="8">
        <v>2</v>
      </c>
      <c r="F340" s="8">
        <v>6</v>
      </c>
      <c r="G340" s="10">
        <v>2604249</v>
      </c>
      <c r="H340" s="8">
        <v>6</v>
      </c>
      <c r="I340" s="8">
        <v>2</v>
      </c>
      <c r="J340" s="10">
        <v>2604249</v>
      </c>
      <c r="K340" s="5" t="s">
        <v>112</v>
      </c>
      <c r="L340" s="5">
        <v>2699</v>
      </c>
    </row>
    <row r="341" spans="1:12" ht="22" customHeight="1" x14ac:dyDescent="0.35">
      <c r="A341" s="1">
        <v>2022</v>
      </c>
      <c r="B341" s="1" t="s">
        <v>102</v>
      </c>
      <c r="C341" s="7" t="s">
        <v>103</v>
      </c>
      <c r="D341" s="1" t="s">
        <v>128</v>
      </c>
      <c r="E341" s="9">
        <v>1</v>
      </c>
      <c r="F341" s="9">
        <v>12</v>
      </c>
      <c r="G341" s="11">
        <v>3980115</v>
      </c>
      <c r="H341" s="9">
        <v>12</v>
      </c>
      <c r="I341" s="9">
        <v>1</v>
      </c>
      <c r="J341" s="11">
        <v>3980115</v>
      </c>
      <c r="K341" s="1" t="s">
        <v>112</v>
      </c>
      <c r="L341" s="1">
        <v>2699</v>
      </c>
    </row>
    <row r="342" spans="1:12" ht="22" customHeight="1" x14ac:dyDescent="0.35">
      <c r="A342" s="5">
        <v>2022</v>
      </c>
      <c r="B342" s="5" t="s">
        <v>104</v>
      </c>
      <c r="C342" s="6" t="s">
        <v>105</v>
      </c>
      <c r="D342" s="5" t="s">
        <v>125</v>
      </c>
      <c r="E342" s="8">
        <v>2486</v>
      </c>
      <c r="F342" s="8">
        <v>2486</v>
      </c>
      <c r="G342" s="10">
        <v>520893854</v>
      </c>
      <c r="H342" s="8">
        <v>2470</v>
      </c>
      <c r="I342" s="8">
        <v>2470</v>
      </c>
      <c r="J342" s="10">
        <v>516440724</v>
      </c>
      <c r="K342" s="5" t="s">
        <v>112</v>
      </c>
      <c r="L342" s="5">
        <v>2700</v>
      </c>
    </row>
    <row r="343" spans="1:12" ht="22" customHeight="1" x14ac:dyDescent="0.35">
      <c r="A343" s="1">
        <v>2022</v>
      </c>
      <c r="B343" s="1" t="s">
        <v>104</v>
      </c>
      <c r="C343" s="7" t="s">
        <v>105</v>
      </c>
      <c r="D343" s="1" t="s">
        <v>126</v>
      </c>
      <c r="E343" s="9">
        <v>0</v>
      </c>
      <c r="F343" s="9">
        <v>0</v>
      </c>
      <c r="G343" s="11">
        <v>0</v>
      </c>
      <c r="H343" s="9">
        <v>0</v>
      </c>
      <c r="I343" s="9">
        <v>0</v>
      </c>
      <c r="J343" s="11">
        <v>0</v>
      </c>
      <c r="K343" s="1" t="s">
        <v>112</v>
      </c>
      <c r="L343" s="1">
        <v>2700</v>
      </c>
    </row>
    <row r="344" spans="1:12" ht="22" customHeight="1" x14ac:dyDescent="0.35">
      <c r="A344" s="5">
        <v>2022</v>
      </c>
      <c r="B344" s="5" t="s">
        <v>104</v>
      </c>
      <c r="C344" s="6" t="s">
        <v>105</v>
      </c>
      <c r="D344" s="5" t="s">
        <v>127</v>
      </c>
      <c r="E344" s="8">
        <v>11</v>
      </c>
      <c r="F344" s="8">
        <v>40</v>
      </c>
      <c r="G344" s="10">
        <v>7430750</v>
      </c>
      <c r="H344" s="8">
        <v>40</v>
      </c>
      <c r="I344" s="8">
        <v>11</v>
      </c>
      <c r="J344" s="10">
        <v>7430750</v>
      </c>
      <c r="K344" s="5" t="s">
        <v>112</v>
      </c>
      <c r="L344" s="5">
        <v>2700</v>
      </c>
    </row>
    <row r="345" spans="1:12" ht="22" customHeight="1" x14ac:dyDescent="0.35">
      <c r="A345" s="1">
        <v>2022</v>
      </c>
      <c r="B345" s="1" t="s">
        <v>104</v>
      </c>
      <c r="C345" s="7" t="s">
        <v>105</v>
      </c>
      <c r="D345" s="1" t="s">
        <v>128</v>
      </c>
      <c r="E345" s="9">
        <v>51</v>
      </c>
      <c r="F345" s="9">
        <v>670</v>
      </c>
      <c r="G345" s="11">
        <v>80299950</v>
      </c>
      <c r="H345" s="9">
        <v>670</v>
      </c>
      <c r="I345" s="9">
        <v>51</v>
      </c>
      <c r="J345" s="11">
        <v>80299950</v>
      </c>
      <c r="K345" s="1" t="s">
        <v>112</v>
      </c>
      <c r="L345" s="1">
        <v>2700</v>
      </c>
    </row>
    <row r="346" spans="1:12" ht="22" customHeight="1" x14ac:dyDescent="0.35">
      <c r="A346" s="5">
        <v>2022</v>
      </c>
      <c r="B346" s="5" t="s">
        <v>106</v>
      </c>
      <c r="C346" s="6" t="s">
        <v>107</v>
      </c>
      <c r="D346" s="5" t="s">
        <v>125</v>
      </c>
      <c r="E346" s="8">
        <v>25</v>
      </c>
      <c r="F346" s="8">
        <v>25</v>
      </c>
      <c r="G346" s="10">
        <v>7568251</v>
      </c>
      <c r="H346" s="8">
        <v>25</v>
      </c>
      <c r="I346" s="8">
        <v>25</v>
      </c>
      <c r="J346" s="10">
        <v>7568251</v>
      </c>
      <c r="K346" s="5" t="s">
        <v>112</v>
      </c>
      <c r="L346" s="5">
        <v>2701</v>
      </c>
    </row>
    <row r="347" spans="1:12" ht="22" customHeight="1" x14ac:dyDescent="0.35">
      <c r="A347" s="1">
        <v>2022</v>
      </c>
      <c r="B347" s="1" t="s">
        <v>106</v>
      </c>
      <c r="C347" s="7" t="s">
        <v>107</v>
      </c>
      <c r="D347" s="1" t="s">
        <v>126</v>
      </c>
      <c r="E347" s="9">
        <v>0</v>
      </c>
      <c r="F347" s="9">
        <v>0</v>
      </c>
      <c r="G347" s="11">
        <v>0</v>
      </c>
      <c r="H347" s="9">
        <v>0</v>
      </c>
      <c r="I347" s="9">
        <v>0</v>
      </c>
      <c r="J347" s="11">
        <v>0</v>
      </c>
      <c r="K347" s="1" t="s">
        <v>112</v>
      </c>
      <c r="L347" s="1">
        <v>2701</v>
      </c>
    </row>
    <row r="348" spans="1:12" ht="22" customHeight="1" x14ac:dyDescent="0.35">
      <c r="A348" s="5">
        <v>2022</v>
      </c>
      <c r="B348" s="5" t="s">
        <v>106</v>
      </c>
      <c r="C348" s="6" t="s">
        <v>107</v>
      </c>
      <c r="D348" s="5" t="s">
        <v>127</v>
      </c>
      <c r="E348" s="8">
        <v>1</v>
      </c>
      <c r="F348" s="8">
        <v>4</v>
      </c>
      <c r="G348" s="10">
        <v>590000</v>
      </c>
      <c r="H348" s="8">
        <v>4</v>
      </c>
      <c r="I348" s="8">
        <v>1</v>
      </c>
      <c r="J348" s="10">
        <v>590000</v>
      </c>
      <c r="K348" s="5" t="s">
        <v>112</v>
      </c>
      <c r="L348" s="5">
        <v>2701</v>
      </c>
    </row>
    <row r="349" spans="1:12" ht="22" customHeight="1" x14ac:dyDescent="0.35">
      <c r="A349" s="1">
        <v>2022</v>
      </c>
      <c r="B349" s="1" t="s">
        <v>106</v>
      </c>
      <c r="C349" s="7" t="s">
        <v>107</v>
      </c>
      <c r="D349" s="1" t="s">
        <v>128</v>
      </c>
      <c r="E349" s="9">
        <v>0</v>
      </c>
      <c r="F349" s="9">
        <v>0</v>
      </c>
      <c r="G349" s="11">
        <v>0</v>
      </c>
      <c r="H349" s="9">
        <v>0</v>
      </c>
      <c r="I349" s="9">
        <v>0</v>
      </c>
      <c r="J349" s="11">
        <v>0</v>
      </c>
      <c r="K349" s="1" t="s">
        <v>112</v>
      </c>
      <c r="L349" s="1">
        <v>2701</v>
      </c>
    </row>
    <row r="350" spans="1:12" ht="22" customHeight="1" x14ac:dyDescent="0.35">
      <c r="A350" s="5">
        <v>2022</v>
      </c>
      <c r="B350" s="5" t="s">
        <v>108</v>
      </c>
      <c r="C350" s="6" t="s">
        <v>109</v>
      </c>
      <c r="D350" s="5" t="s">
        <v>125</v>
      </c>
      <c r="E350" s="8">
        <v>1252</v>
      </c>
      <c r="F350" s="8">
        <v>1252</v>
      </c>
      <c r="G350" s="10">
        <v>378083692</v>
      </c>
      <c r="H350" s="8">
        <v>938</v>
      </c>
      <c r="I350" s="8">
        <v>938</v>
      </c>
      <c r="J350" s="10">
        <v>280540230</v>
      </c>
      <c r="K350" s="5" t="s">
        <v>112</v>
      </c>
      <c r="L350" s="5">
        <v>2702</v>
      </c>
    </row>
    <row r="351" spans="1:12" ht="22" customHeight="1" x14ac:dyDescent="0.35">
      <c r="A351" s="1">
        <v>2022</v>
      </c>
      <c r="B351" s="1" t="s">
        <v>108</v>
      </c>
      <c r="C351" s="7" t="s">
        <v>109</v>
      </c>
      <c r="D351" s="1" t="s">
        <v>126</v>
      </c>
      <c r="E351" s="9">
        <v>3</v>
      </c>
      <c r="F351" s="9">
        <v>6</v>
      </c>
      <c r="G351" s="11">
        <v>1150477</v>
      </c>
      <c r="H351" s="9">
        <v>6</v>
      </c>
      <c r="I351" s="9">
        <v>3</v>
      </c>
      <c r="J351" s="11">
        <v>1150477</v>
      </c>
      <c r="K351" s="1" t="s">
        <v>112</v>
      </c>
      <c r="L351" s="1">
        <v>2702</v>
      </c>
    </row>
    <row r="352" spans="1:12" ht="22" customHeight="1" x14ac:dyDescent="0.35">
      <c r="A352" s="5">
        <v>2022</v>
      </c>
      <c r="B352" s="5" t="s">
        <v>108</v>
      </c>
      <c r="C352" s="6" t="s">
        <v>109</v>
      </c>
      <c r="D352" s="5" t="s">
        <v>127</v>
      </c>
      <c r="E352" s="8">
        <v>24</v>
      </c>
      <c r="F352" s="8">
        <v>89</v>
      </c>
      <c r="G352" s="10">
        <v>13984918</v>
      </c>
      <c r="H352" s="8">
        <v>39</v>
      </c>
      <c r="I352" s="8">
        <v>10</v>
      </c>
      <c r="J352" s="10">
        <v>4562500</v>
      </c>
      <c r="K352" s="5" t="s">
        <v>112</v>
      </c>
      <c r="L352" s="5">
        <v>2702</v>
      </c>
    </row>
    <row r="353" spans="1:12" ht="22" customHeight="1" x14ac:dyDescent="0.35">
      <c r="A353" s="1">
        <v>2022</v>
      </c>
      <c r="B353" s="1" t="s">
        <v>108</v>
      </c>
      <c r="C353" s="7" t="s">
        <v>109</v>
      </c>
      <c r="D353" s="1" t="s">
        <v>128</v>
      </c>
      <c r="E353" s="9">
        <v>49</v>
      </c>
      <c r="F353" s="9">
        <v>964</v>
      </c>
      <c r="G353" s="11">
        <v>148111765</v>
      </c>
      <c r="H353" s="9">
        <v>892</v>
      </c>
      <c r="I353" s="9">
        <v>35</v>
      </c>
      <c r="J353" s="11">
        <v>140276870</v>
      </c>
      <c r="K353" s="1" t="s">
        <v>112</v>
      </c>
      <c r="L353" s="1">
        <v>2702</v>
      </c>
    </row>
    <row r="354" spans="1:12" ht="22" customHeight="1" x14ac:dyDescent="0.35">
      <c r="A354" s="5">
        <v>2023</v>
      </c>
      <c r="B354" s="5" t="s">
        <v>49</v>
      </c>
      <c r="C354" s="6" t="s">
        <v>50</v>
      </c>
      <c r="D354" s="5" t="s">
        <v>125</v>
      </c>
      <c r="E354" s="8">
        <v>37</v>
      </c>
      <c r="F354" s="8">
        <v>37</v>
      </c>
      <c r="G354" s="10">
        <v>13156727</v>
      </c>
      <c r="H354" s="8">
        <v>37</v>
      </c>
      <c r="I354" s="8">
        <v>37</v>
      </c>
      <c r="J354" s="10">
        <v>13156727</v>
      </c>
      <c r="K354" s="5" t="s">
        <v>114</v>
      </c>
      <c r="L354" s="5">
        <v>2670</v>
      </c>
    </row>
    <row r="355" spans="1:12" ht="22" customHeight="1" x14ac:dyDescent="0.35">
      <c r="A355" s="1">
        <v>2023</v>
      </c>
      <c r="B355" s="1" t="s">
        <v>49</v>
      </c>
      <c r="C355" s="7" t="s">
        <v>50</v>
      </c>
      <c r="D355" s="1" t="s">
        <v>126</v>
      </c>
      <c r="E355" s="9">
        <v>0</v>
      </c>
      <c r="F355" s="9">
        <v>0</v>
      </c>
      <c r="G355" s="11">
        <v>0</v>
      </c>
      <c r="H355" s="9">
        <v>0</v>
      </c>
      <c r="I355" s="9">
        <v>0</v>
      </c>
      <c r="J355" s="11">
        <v>0</v>
      </c>
      <c r="K355" s="1" t="s">
        <v>114</v>
      </c>
      <c r="L355" s="1">
        <v>2670</v>
      </c>
    </row>
    <row r="356" spans="1:12" ht="22" customHeight="1" x14ac:dyDescent="0.35">
      <c r="A356" s="5">
        <v>2023</v>
      </c>
      <c r="B356" s="5" t="s">
        <v>49</v>
      </c>
      <c r="C356" s="6" t="s">
        <v>50</v>
      </c>
      <c r="D356" s="5" t="s">
        <v>127</v>
      </c>
      <c r="E356" s="8">
        <v>0</v>
      </c>
      <c r="F356" s="8">
        <v>0</v>
      </c>
      <c r="G356" s="10">
        <v>0</v>
      </c>
      <c r="H356" s="8">
        <v>0</v>
      </c>
      <c r="I356" s="8">
        <v>0</v>
      </c>
      <c r="J356" s="10">
        <v>0</v>
      </c>
      <c r="K356" s="5" t="s">
        <v>114</v>
      </c>
      <c r="L356" s="5">
        <v>2670</v>
      </c>
    </row>
    <row r="357" spans="1:12" ht="22" customHeight="1" x14ac:dyDescent="0.35">
      <c r="A357" s="1">
        <v>2023</v>
      </c>
      <c r="B357" s="1" t="s">
        <v>49</v>
      </c>
      <c r="C357" s="7" t="s">
        <v>50</v>
      </c>
      <c r="D357" s="1" t="s">
        <v>128</v>
      </c>
      <c r="E357" s="9">
        <v>0</v>
      </c>
      <c r="F357" s="9">
        <v>0</v>
      </c>
      <c r="G357" s="11">
        <v>0</v>
      </c>
      <c r="H357" s="9">
        <v>0</v>
      </c>
      <c r="I357" s="9">
        <v>0</v>
      </c>
      <c r="J357" s="11">
        <v>0</v>
      </c>
      <c r="K357" s="1" t="s">
        <v>114</v>
      </c>
      <c r="L357" s="1">
        <v>2670</v>
      </c>
    </row>
    <row r="358" spans="1:12" ht="22" customHeight="1" x14ac:dyDescent="0.35">
      <c r="A358" s="5">
        <v>2023</v>
      </c>
      <c r="B358" s="5" t="s">
        <v>54</v>
      </c>
      <c r="C358" s="6" t="s">
        <v>55</v>
      </c>
      <c r="D358" s="5" t="s">
        <v>125</v>
      </c>
      <c r="E358" s="8">
        <v>238</v>
      </c>
      <c r="F358" s="8">
        <v>238</v>
      </c>
      <c r="G358" s="10">
        <v>70478792</v>
      </c>
      <c r="H358" s="8">
        <v>180</v>
      </c>
      <c r="I358" s="8">
        <v>180</v>
      </c>
      <c r="J358" s="10">
        <v>55845040</v>
      </c>
      <c r="K358" s="5" t="s">
        <v>114</v>
      </c>
      <c r="L358" s="5">
        <v>2671</v>
      </c>
    </row>
    <row r="359" spans="1:12" ht="22" customHeight="1" x14ac:dyDescent="0.35">
      <c r="A359" s="1">
        <v>2023</v>
      </c>
      <c r="B359" s="1" t="s">
        <v>54</v>
      </c>
      <c r="C359" s="7" t="s">
        <v>55</v>
      </c>
      <c r="D359" s="1" t="s">
        <v>126</v>
      </c>
      <c r="E359" s="9">
        <v>0</v>
      </c>
      <c r="F359" s="9">
        <v>0</v>
      </c>
      <c r="G359" s="11">
        <v>0</v>
      </c>
      <c r="H359" s="9">
        <v>0</v>
      </c>
      <c r="I359" s="9">
        <v>0</v>
      </c>
      <c r="J359" s="11">
        <v>0</v>
      </c>
      <c r="K359" s="1" t="s">
        <v>114</v>
      </c>
      <c r="L359" s="1">
        <v>2671</v>
      </c>
    </row>
    <row r="360" spans="1:12" ht="22" customHeight="1" x14ac:dyDescent="0.35">
      <c r="A360" s="5">
        <v>2023</v>
      </c>
      <c r="B360" s="5" t="s">
        <v>54</v>
      </c>
      <c r="C360" s="6" t="s">
        <v>55</v>
      </c>
      <c r="D360" s="5" t="s">
        <v>127</v>
      </c>
      <c r="E360" s="8">
        <v>1</v>
      </c>
      <c r="F360" s="8">
        <v>4</v>
      </c>
      <c r="G360" s="10">
        <v>686000</v>
      </c>
      <c r="H360" s="8">
        <v>4</v>
      </c>
      <c r="I360" s="8">
        <v>1</v>
      </c>
      <c r="J360" s="10">
        <v>686000</v>
      </c>
      <c r="K360" s="5" t="s">
        <v>114</v>
      </c>
      <c r="L360" s="5">
        <v>2671</v>
      </c>
    </row>
    <row r="361" spans="1:12" ht="22" customHeight="1" x14ac:dyDescent="0.35">
      <c r="A361" s="1">
        <v>2023</v>
      </c>
      <c r="B361" s="1" t="s">
        <v>54</v>
      </c>
      <c r="C361" s="7" t="s">
        <v>55</v>
      </c>
      <c r="D361" s="1" t="s">
        <v>128</v>
      </c>
      <c r="E361" s="9">
        <v>4</v>
      </c>
      <c r="F361" s="9">
        <v>28</v>
      </c>
      <c r="G361" s="11">
        <v>4015690</v>
      </c>
      <c r="H361" s="9">
        <v>28</v>
      </c>
      <c r="I361" s="9">
        <v>4</v>
      </c>
      <c r="J361" s="11">
        <v>4015690</v>
      </c>
      <c r="K361" s="1" t="s">
        <v>114</v>
      </c>
      <c r="L361" s="1">
        <v>2671</v>
      </c>
    </row>
    <row r="362" spans="1:12" ht="22" customHeight="1" x14ac:dyDescent="0.35">
      <c r="A362" s="5">
        <v>2023</v>
      </c>
      <c r="B362" s="5" t="s">
        <v>56</v>
      </c>
      <c r="C362" s="6" t="s">
        <v>57</v>
      </c>
      <c r="D362" s="5" t="s">
        <v>125</v>
      </c>
      <c r="E362" s="8">
        <v>610</v>
      </c>
      <c r="F362" s="8">
        <v>610</v>
      </c>
      <c r="G362" s="10">
        <v>249265902</v>
      </c>
      <c r="H362" s="8">
        <v>603</v>
      </c>
      <c r="I362" s="8">
        <v>603</v>
      </c>
      <c r="J362" s="10">
        <v>247278385</v>
      </c>
      <c r="K362" s="5" t="s">
        <v>114</v>
      </c>
      <c r="L362" s="5">
        <v>2672</v>
      </c>
    </row>
    <row r="363" spans="1:12" ht="22" customHeight="1" x14ac:dyDescent="0.35">
      <c r="A363" s="1">
        <v>2023</v>
      </c>
      <c r="B363" s="1" t="s">
        <v>56</v>
      </c>
      <c r="C363" s="7" t="s">
        <v>57</v>
      </c>
      <c r="D363" s="1" t="s">
        <v>126</v>
      </c>
      <c r="E363" s="9">
        <v>2</v>
      </c>
      <c r="F363" s="9">
        <v>4</v>
      </c>
      <c r="G363" s="11">
        <v>975760</v>
      </c>
      <c r="H363" s="9">
        <v>4</v>
      </c>
      <c r="I363" s="9">
        <v>2</v>
      </c>
      <c r="J363" s="11">
        <v>975760</v>
      </c>
      <c r="K363" s="1" t="s">
        <v>114</v>
      </c>
      <c r="L363" s="1">
        <v>2672</v>
      </c>
    </row>
    <row r="364" spans="1:12" ht="22" customHeight="1" x14ac:dyDescent="0.35">
      <c r="A364" s="5">
        <v>2023</v>
      </c>
      <c r="B364" s="5" t="s">
        <v>56</v>
      </c>
      <c r="C364" s="6" t="s">
        <v>57</v>
      </c>
      <c r="D364" s="5" t="s">
        <v>127</v>
      </c>
      <c r="E364" s="8">
        <v>1</v>
      </c>
      <c r="F364" s="8">
        <v>4</v>
      </c>
      <c r="G364" s="10">
        <v>856006</v>
      </c>
      <c r="H364" s="8">
        <v>4</v>
      </c>
      <c r="I364" s="8">
        <v>1</v>
      </c>
      <c r="J364" s="10">
        <v>856006</v>
      </c>
      <c r="K364" s="5" t="s">
        <v>114</v>
      </c>
      <c r="L364" s="5">
        <v>2672</v>
      </c>
    </row>
    <row r="365" spans="1:12" ht="22" customHeight="1" x14ac:dyDescent="0.35">
      <c r="A365" s="1">
        <v>2023</v>
      </c>
      <c r="B365" s="1" t="s">
        <v>56</v>
      </c>
      <c r="C365" s="7" t="s">
        <v>57</v>
      </c>
      <c r="D365" s="1" t="s">
        <v>128</v>
      </c>
      <c r="E365" s="9">
        <v>16</v>
      </c>
      <c r="F365" s="9">
        <v>339</v>
      </c>
      <c r="G365" s="11">
        <v>50221950</v>
      </c>
      <c r="H365" s="9">
        <v>339</v>
      </c>
      <c r="I365" s="9">
        <v>16</v>
      </c>
      <c r="J365" s="11">
        <v>50221950</v>
      </c>
      <c r="K365" s="1" t="s">
        <v>114</v>
      </c>
      <c r="L365" s="1">
        <v>2672</v>
      </c>
    </row>
    <row r="366" spans="1:12" ht="22" customHeight="1" x14ac:dyDescent="0.35">
      <c r="A366" s="5">
        <v>2023</v>
      </c>
      <c r="B366" s="5" t="s">
        <v>58</v>
      </c>
      <c r="C366" s="6" t="s">
        <v>59</v>
      </c>
      <c r="D366" s="5" t="s">
        <v>125</v>
      </c>
      <c r="E366" s="8">
        <v>41</v>
      </c>
      <c r="F366" s="8">
        <v>41</v>
      </c>
      <c r="G366" s="10">
        <v>17619642</v>
      </c>
      <c r="H366" s="8">
        <v>41</v>
      </c>
      <c r="I366" s="8">
        <v>41</v>
      </c>
      <c r="J366" s="10">
        <v>17619642</v>
      </c>
      <c r="K366" s="5" t="s">
        <v>114</v>
      </c>
      <c r="L366" s="5">
        <v>2673</v>
      </c>
    </row>
    <row r="367" spans="1:12" ht="22" customHeight="1" x14ac:dyDescent="0.35">
      <c r="A367" s="1">
        <v>2023</v>
      </c>
      <c r="B367" s="1" t="s">
        <v>58</v>
      </c>
      <c r="C367" s="7" t="s">
        <v>59</v>
      </c>
      <c r="D367" s="1" t="s">
        <v>126</v>
      </c>
      <c r="E367" s="9">
        <v>0</v>
      </c>
      <c r="F367" s="9">
        <v>0</v>
      </c>
      <c r="G367" s="11">
        <v>0</v>
      </c>
      <c r="H367" s="9">
        <v>0</v>
      </c>
      <c r="I367" s="9">
        <v>0</v>
      </c>
      <c r="J367" s="11">
        <v>0</v>
      </c>
      <c r="K367" s="1" t="s">
        <v>114</v>
      </c>
      <c r="L367" s="1">
        <v>2673</v>
      </c>
    </row>
    <row r="368" spans="1:12" ht="22" customHeight="1" x14ac:dyDescent="0.35">
      <c r="A368" s="5">
        <v>2023</v>
      </c>
      <c r="B368" s="5" t="s">
        <v>58</v>
      </c>
      <c r="C368" s="6" t="s">
        <v>59</v>
      </c>
      <c r="D368" s="5" t="s">
        <v>127</v>
      </c>
      <c r="E368" s="8">
        <v>0</v>
      </c>
      <c r="F368" s="8">
        <v>0</v>
      </c>
      <c r="G368" s="10">
        <v>0</v>
      </c>
      <c r="H368" s="8">
        <v>0</v>
      </c>
      <c r="I368" s="8">
        <v>0</v>
      </c>
      <c r="J368" s="10">
        <v>0</v>
      </c>
      <c r="K368" s="5" t="s">
        <v>114</v>
      </c>
      <c r="L368" s="5">
        <v>2673</v>
      </c>
    </row>
    <row r="369" spans="1:12" ht="22" customHeight="1" x14ac:dyDescent="0.35">
      <c r="A369" s="1">
        <v>2023</v>
      </c>
      <c r="B369" s="1" t="s">
        <v>58</v>
      </c>
      <c r="C369" s="7" t="s">
        <v>59</v>
      </c>
      <c r="D369" s="1" t="s">
        <v>128</v>
      </c>
      <c r="E369" s="9">
        <v>0</v>
      </c>
      <c r="F369" s="9">
        <v>0</v>
      </c>
      <c r="G369" s="11">
        <v>0</v>
      </c>
      <c r="H369" s="9">
        <v>0</v>
      </c>
      <c r="I369" s="9">
        <v>0</v>
      </c>
      <c r="J369" s="11">
        <v>0</v>
      </c>
      <c r="K369" s="1" t="s">
        <v>114</v>
      </c>
      <c r="L369" s="1">
        <v>2673</v>
      </c>
    </row>
    <row r="370" spans="1:12" ht="22" customHeight="1" x14ac:dyDescent="0.35">
      <c r="A370" s="5">
        <v>2023</v>
      </c>
      <c r="B370" s="5" t="s">
        <v>60</v>
      </c>
      <c r="C370" s="6" t="s">
        <v>61</v>
      </c>
      <c r="D370" s="5" t="s">
        <v>125</v>
      </c>
      <c r="E370" s="8">
        <v>20</v>
      </c>
      <c r="F370" s="8">
        <v>20</v>
      </c>
      <c r="G370" s="10">
        <v>6428722</v>
      </c>
      <c r="H370" s="8">
        <v>11</v>
      </c>
      <c r="I370" s="8">
        <v>11</v>
      </c>
      <c r="J370" s="10">
        <v>4157006</v>
      </c>
      <c r="K370" s="5" t="s">
        <v>114</v>
      </c>
      <c r="L370" s="5">
        <v>2674</v>
      </c>
    </row>
    <row r="371" spans="1:12" ht="22" customHeight="1" x14ac:dyDescent="0.35">
      <c r="A371" s="1">
        <v>2023</v>
      </c>
      <c r="B371" s="1" t="s">
        <v>60</v>
      </c>
      <c r="C371" s="7" t="s">
        <v>61</v>
      </c>
      <c r="D371" s="1" t="s">
        <v>126</v>
      </c>
      <c r="E371" s="9">
        <v>0</v>
      </c>
      <c r="F371" s="9">
        <v>0</v>
      </c>
      <c r="G371" s="11">
        <v>0</v>
      </c>
      <c r="H371" s="9">
        <v>0</v>
      </c>
      <c r="I371" s="9">
        <v>0</v>
      </c>
      <c r="J371" s="11">
        <v>0</v>
      </c>
      <c r="K371" s="1" t="s">
        <v>114</v>
      </c>
      <c r="L371" s="1">
        <v>2674</v>
      </c>
    </row>
    <row r="372" spans="1:12" ht="22" customHeight="1" x14ac:dyDescent="0.35">
      <c r="A372" s="5">
        <v>2023</v>
      </c>
      <c r="B372" s="5" t="s">
        <v>60</v>
      </c>
      <c r="C372" s="6" t="s">
        <v>61</v>
      </c>
      <c r="D372" s="5" t="s">
        <v>127</v>
      </c>
      <c r="E372" s="8">
        <v>0</v>
      </c>
      <c r="F372" s="8">
        <v>0</v>
      </c>
      <c r="G372" s="10">
        <v>0</v>
      </c>
      <c r="H372" s="8">
        <v>0</v>
      </c>
      <c r="I372" s="8">
        <v>0</v>
      </c>
      <c r="J372" s="10">
        <v>0</v>
      </c>
      <c r="K372" s="5" t="s">
        <v>114</v>
      </c>
      <c r="L372" s="5">
        <v>2674</v>
      </c>
    </row>
    <row r="373" spans="1:12" ht="22" customHeight="1" x14ac:dyDescent="0.35">
      <c r="A373" s="1">
        <v>2023</v>
      </c>
      <c r="B373" s="1" t="s">
        <v>60</v>
      </c>
      <c r="C373" s="7" t="s">
        <v>61</v>
      </c>
      <c r="D373" s="1" t="s">
        <v>128</v>
      </c>
      <c r="E373" s="9">
        <v>0</v>
      </c>
      <c r="F373" s="9">
        <v>0</v>
      </c>
      <c r="G373" s="11">
        <v>0</v>
      </c>
      <c r="H373" s="9">
        <v>0</v>
      </c>
      <c r="I373" s="9">
        <v>0</v>
      </c>
      <c r="J373" s="11">
        <v>0</v>
      </c>
      <c r="K373" s="1" t="s">
        <v>114</v>
      </c>
      <c r="L373" s="1">
        <v>2674</v>
      </c>
    </row>
    <row r="374" spans="1:12" ht="22" customHeight="1" x14ac:dyDescent="0.35">
      <c r="A374" s="5">
        <v>2023</v>
      </c>
      <c r="B374" s="5" t="s">
        <v>62</v>
      </c>
      <c r="C374" s="6" t="s">
        <v>63</v>
      </c>
      <c r="D374" s="5" t="s">
        <v>125</v>
      </c>
      <c r="E374" s="8">
        <v>684</v>
      </c>
      <c r="F374" s="8">
        <v>684</v>
      </c>
      <c r="G374" s="10">
        <v>230901338</v>
      </c>
      <c r="H374" s="8">
        <v>683</v>
      </c>
      <c r="I374" s="8">
        <v>683</v>
      </c>
      <c r="J374" s="10">
        <v>230502297</v>
      </c>
      <c r="K374" s="5" t="s">
        <v>114</v>
      </c>
      <c r="L374" s="5">
        <v>2675</v>
      </c>
    </row>
    <row r="375" spans="1:12" ht="22" customHeight="1" x14ac:dyDescent="0.35">
      <c r="A375" s="1">
        <v>2023</v>
      </c>
      <c r="B375" s="1" t="s">
        <v>62</v>
      </c>
      <c r="C375" s="7" t="s">
        <v>63</v>
      </c>
      <c r="D375" s="1" t="s">
        <v>126</v>
      </c>
      <c r="E375" s="9">
        <v>0</v>
      </c>
      <c r="F375" s="9">
        <v>0</v>
      </c>
      <c r="G375" s="11">
        <v>0</v>
      </c>
      <c r="H375" s="9">
        <v>0</v>
      </c>
      <c r="I375" s="9">
        <v>0</v>
      </c>
      <c r="J375" s="11">
        <v>0</v>
      </c>
      <c r="K375" s="1" t="s">
        <v>114</v>
      </c>
      <c r="L375" s="1">
        <v>2675</v>
      </c>
    </row>
    <row r="376" spans="1:12" ht="22" customHeight="1" x14ac:dyDescent="0.35">
      <c r="A376" s="5">
        <v>2023</v>
      </c>
      <c r="B376" s="5" t="s">
        <v>62</v>
      </c>
      <c r="C376" s="6" t="s">
        <v>63</v>
      </c>
      <c r="D376" s="5" t="s">
        <v>127</v>
      </c>
      <c r="E376" s="8">
        <v>9</v>
      </c>
      <c r="F376" s="8">
        <v>35</v>
      </c>
      <c r="G376" s="10">
        <v>8367438</v>
      </c>
      <c r="H376" s="8">
        <v>35</v>
      </c>
      <c r="I376" s="8">
        <v>9</v>
      </c>
      <c r="J376" s="10">
        <v>8367438</v>
      </c>
      <c r="K376" s="5" t="s">
        <v>114</v>
      </c>
      <c r="L376" s="5">
        <v>2675</v>
      </c>
    </row>
    <row r="377" spans="1:12" ht="22" customHeight="1" x14ac:dyDescent="0.35">
      <c r="A377" s="1">
        <v>2023</v>
      </c>
      <c r="B377" s="1" t="s">
        <v>62</v>
      </c>
      <c r="C377" s="7" t="s">
        <v>63</v>
      </c>
      <c r="D377" s="1" t="s">
        <v>128</v>
      </c>
      <c r="E377" s="9">
        <v>59</v>
      </c>
      <c r="F377" s="9">
        <v>828</v>
      </c>
      <c r="G377" s="11">
        <v>135197135</v>
      </c>
      <c r="H377" s="9">
        <v>828</v>
      </c>
      <c r="I377" s="9">
        <v>59</v>
      </c>
      <c r="J377" s="11">
        <v>135197135</v>
      </c>
      <c r="K377" s="1" t="s">
        <v>114</v>
      </c>
      <c r="L377" s="1">
        <v>2675</v>
      </c>
    </row>
    <row r="378" spans="1:12" ht="22" customHeight="1" x14ac:dyDescent="0.35">
      <c r="A378" s="5">
        <v>2023</v>
      </c>
      <c r="B378" s="5" t="s">
        <v>64</v>
      </c>
      <c r="C378" s="6" t="s">
        <v>65</v>
      </c>
      <c r="D378" s="5" t="s">
        <v>125</v>
      </c>
      <c r="E378" s="8">
        <v>107</v>
      </c>
      <c r="F378" s="8">
        <v>107</v>
      </c>
      <c r="G378" s="10">
        <v>33485287</v>
      </c>
      <c r="H378" s="8">
        <v>58</v>
      </c>
      <c r="I378" s="8">
        <v>58</v>
      </c>
      <c r="J378" s="10">
        <v>22887898</v>
      </c>
      <c r="K378" s="5" t="s">
        <v>114</v>
      </c>
      <c r="L378" s="5">
        <v>2676</v>
      </c>
    </row>
    <row r="379" spans="1:12" ht="22" customHeight="1" x14ac:dyDescent="0.35">
      <c r="A379" s="1">
        <v>2023</v>
      </c>
      <c r="B379" s="1" t="s">
        <v>64</v>
      </c>
      <c r="C379" s="7" t="s">
        <v>65</v>
      </c>
      <c r="D379" s="1" t="s">
        <v>126</v>
      </c>
      <c r="E379" s="9">
        <v>0</v>
      </c>
      <c r="F379" s="9">
        <v>0</v>
      </c>
      <c r="G379" s="11">
        <v>0</v>
      </c>
      <c r="H379" s="9">
        <v>0</v>
      </c>
      <c r="I379" s="9">
        <v>0</v>
      </c>
      <c r="J379" s="11">
        <v>0</v>
      </c>
      <c r="K379" s="1" t="s">
        <v>114</v>
      </c>
      <c r="L379" s="1">
        <v>2676</v>
      </c>
    </row>
    <row r="380" spans="1:12" ht="22" customHeight="1" x14ac:dyDescent="0.35">
      <c r="A380" s="5">
        <v>2023</v>
      </c>
      <c r="B380" s="5" t="s">
        <v>64</v>
      </c>
      <c r="C380" s="6" t="s">
        <v>65</v>
      </c>
      <c r="D380" s="5" t="s">
        <v>127</v>
      </c>
      <c r="E380" s="8">
        <v>2</v>
      </c>
      <c r="F380" s="8">
        <v>6</v>
      </c>
      <c r="G380" s="10">
        <v>428286</v>
      </c>
      <c r="H380" s="8">
        <v>0</v>
      </c>
      <c r="I380" s="8">
        <v>0</v>
      </c>
      <c r="J380" s="10">
        <v>0</v>
      </c>
      <c r="K380" s="5" t="s">
        <v>114</v>
      </c>
      <c r="L380" s="5">
        <v>2676</v>
      </c>
    </row>
    <row r="381" spans="1:12" ht="22" customHeight="1" x14ac:dyDescent="0.35">
      <c r="A381" s="1">
        <v>2023</v>
      </c>
      <c r="B381" s="1" t="s">
        <v>64</v>
      </c>
      <c r="C381" s="7" t="s">
        <v>65</v>
      </c>
      <c r="D381" s="1" t="s">
        <v>128</v>
      </c>
      <c r="E381" s="9">
        <v>0</v>
      </c>
      <c r="F381" s="9">
        <v>0</v>
      </c>
      <c r="G381" s="11">
        <v>0</v>
      </c>
      <c r="H381" s="9">
        <v>0</v>
      </c>
      <c r="I381" s="9">
        <v>0</v>
      </c>
      <c r="J381" s="11">
        <v>0</v>
      </c>
      <c r="K381" s="1" t="s">
        <v>114</v>
      </c>
      <c r="L381" s="1">
        <v>2676</v>
      </c>
    </row>
    <row r="382" spans="1:12" ht="22" customHeight="1" x14ac:dyDescent="0.35">
      <c r="A382" s="5">
        <v>2023</v>
      </c>
      <c r="B382" s="5" t="s">
        <v>66</v>
      </c>
      <c r="C382" s="6" t="s">
        <v>67</v>
      </c>
      <c r="D382" s="5" t="s">
        <v>125</v>
      </c>
      <c r="E382" s="8">
        <v>43</v>
      </c>
      <c r="F382" s="8">
        <v>43</v>
      </c>
      <c r="G382" s="10">
        <v>5246385</v>
      </c>
      <c r="H382" s="8">
        <v>43</v>
      </c>
      <c r="I382" s="8">
        <v>43</v>
      </c>
      <c r="J382" s="10">
        <v>5246385</v>
      </c>
      <c r="K382" s="5" t="s">
        <v>114</v>
      </c>
      <c r="L382" s="5">
        <v>2677</v>
      </c>
    </row>
    <row r="383" spans="1:12" ht="22" customHeight="1" x14ac:dyDescent="0.35">
      <c r="A383" s="1">
        <v>2023</v>
      </c>
      <c r="B383" s="1" t="s">
        <v>66</v>
      </c>
      <c r="C383" s="7" t="s">
        <v>67</v>
      </c>
      <c r="D383" s="1" t="s">
        <v>126</v>
      </c>
      <c r="E383" s="9">
        <v>0</v>
      </c>
      <c r="F383" s="9">
        <v>0</v>
      </c>
      <c r="G383" s="11">
        <v>0</v>
      </c>
      <c r="H383" s="9">
        <v>0</v>
      </c>
      <c r="I383" s="9">
        <v>0</v>
      </c>
      <c r="J383" s="11">
        <v>0</v>
      </c>
      <c r="K383" s="1" t="s">
        <v>114</v>
      </c>
      <c r="L383" s="1">
        <v>2677</v>
      </c>
    </row>
    <row r="384" spans="1:12" ht="22" customHeight="1" x14ac:dyDescent="0.35">
      <c r="A384" s="5">
        <v>2023</v>
      </c>
      <c r="B384" s="5" t="s">
        <v>66</v>
      </c>
      <c r="C384" s="6" t="s">
        <v>67</v>
      </c>
      <c r="D384" s="5" t="s">
        <v>127</v>
      </c>
      <c r="E384" s="8">
        <v>0</v>
      </c>
      <c r="F384" s="8">
        <v>0</v>
      </c>
      <c r="G384" s="10">
        <v>0</v>
      </c>
      <c r="H384" s="8">
        <v>0</v>
      </c>
      <c r="I384" s="8">
        <v>0</v>
      </c>
      <c r="J384" s="10">
        <v>0</v>
      </c>
      <c r="K384" s="5" t="s">
        <v>114</v>
      </c>
      <c r="L384" s="5">
        <v>2677</v>
      </c>
    </row>
    <row r="385" spans="1:12" ht="22" customHeight="1" x14ac:dyDescent="0.35">
      <c r="A385" s="1">
        <v>2023</v>
      </c>
      <c r="B385" s="1" t="s">
        <v>66</v>
      </c>
      <c r="C385" s="7" t="s">
        <v>67</v>
      </c>
      <c r="D385" s="1" t="s">
        <v>128</v>
      </c>
      <c r="E385" s="9">
        <v>2</v>
      </c>
      <c r="F385" s="9">
        <v>12</v>
      </c>
      <c r="G385" s="11">
        <v>5908120</v>
      </c>
      <c r="H385" s="9">
        <v>12</v>
      </c>
      <c r="I385" s="9">
        <v>2</v>
      </c>
      <c r="J385" s="11">
        <v>5908120</v>
      </c>
      <c r="K385" s="1" t="s">
        <v>114</v>
      </c>
      <c r="L385" s="1">
        <v>2677</v>
      </c>
    </row>
    <row r="386" spans="1:12" ht="22" customHeight="1" x14ac:dyDescent="0.35">
      <c r="A386" s="5">
        <v>2023</v>
      </c>
      <c r="B386" s="5" t="s">
        <v>68</v>
      </c>
      <c r="C386" s="6" t="s">
        <v>69</v>
      </c>
      <c r="D386" s="5" t="s">
        <v>125</v>
      </c>
      <c r="E386" s="8">
        <v>45</v>
      </c>
      <c r="F386" s="8">
        <v>45</v>
      </c>
      <c r="G386" s="10">
        <v>16304082</v>
      </c>
      <c r="H386" s="8">
        <v>45</v>
      </c>
      <c r="I386" s="8">
        <v>45</v>
      </c>
      <c r="J386" s="10">
        <v>16304082</v>
      </c>
      <c r="K386" s="5" t="s">
        <v>114</v>
      </c>
      <c r="L386" s="5">
        <v>2678</v>
      </c>
    </row>
    <row r="387" spans="1:12" ht="22" customHeight="1" x14ac:dyDescent="0.35">
      <c r="A387" s="1">
        <v>2023</v>
      </c>
      <c r="B387" s="1" t="s">
        <v>68</v>
      </c>
      <c r="C387" s="7" t="s">
        <v>69</v>
      </c>
      <c r="D387" s="1" t="s">
        <v>126</v>
      </c>
      <c r="E387" s="9">
        <v>0</v>
      </c>
      <c r="F387" s="9">
        <v>0</v>
      </c>
      <c r="G387" s="11">
        <v>0</v>
      </c>
      <c r="H387" s="9">
        <v>0</v>
      </c>
      <c r="I387" s="9">
        <v>0</v>
      </c>
      <c r="J387" s="11">
        <v>0</v>
      </c>
      <c r="K387" s="1" t="s">
        <v>114</v>
      </c>
      <c r="L387" s="1">
        <v>2678</v>
      </c>
    </row>
    <row r="388" spans="1:12" ht="22" customHeight="1" x14ac:dyDescent="0.35">
      <c r="A388" s="5">
        <v>2023</v>
      </c>
      <c r="B388" s="5" t="s">
        <v>68</v>
      </c>
      <c r="C388" s="6" t="s">
        <v>69</v>
      </c>
      <c r="D388" s="5" t="s">
        <v>127</v>
      </c>
      <c r="E388" s="8">
        <v>0</v>
      </c>
      <c r="F388" s="8">
        <v>0</v>
      </c>
      <c r="G388" s="10">
        <v>0</v>
      </c>
      <c r="H388" s="8">
        <v>0</v>
      </c>
      <c r="I388" s="8">
        <v>0</v>
      </c>
      <c r="J388" s="10">
        <v>0</v>
      </c>
      <c r="K388" s="5" t="s">
        <v>114</v>
      </c>
      <c r="L388" s="5">
        <v>2678</v>
      </c>
    </row>
    <row r="389" spans="1:12" ht="22" customHeight="1" x14ac:dyDescent="0.35">
      <c r="A389" s="1">
        <v>2023</v>
      </c>
      <c r="B389" s="1" t="s">
        <v>68</v>
      </c>
      <c r="C389" s="7" t="s">
        <v>69</v>
      </c>
      <c r="D389" s="1" t="s">
        <v>128</v>
      </c>
      <c r="E389" s="9">
        <v>1</v>
      </c>
      <c r="F389" s="9">
        <v>8</v>
      </c>
      <c r="G389" s="11">
        <v>729390</v>
      </c>
      <c r="H389" s="9">
        <v>8</v>
      </c>
      <c r="I389" s="9">
        <v>1</v>
      </c>
      <c r="J389" s="11">
        <v>729390</v>
      </c>
      <c r="K389" s="1" t="s">
        <v>114</v>
      </c>
      <c r="L389" s="1">
        <v>2678</v>
      </c>
    </row>
    <row r="390" spans="1:12" ht="22" customHeight="1" x14ac:dyDescent="0.35">
      <c r="A390" s="5">
        <v>2023</v>
      </c>
      <c r="B390" s="5" t="s">
        <v>70</v>
      </c>
      <c r="C390" s="6" t="s">
        <v>71</v>
      </c>
      <c r="D390" s="5" t="s">
        <v>125</v>
      </c>
      <c r="E390" s="8">
        <v>55</v>
      </c>
      <c r="F390" s="8">
        <v>55</v>
      </c>
      <c r="G390" s="10">
        <v>18337013</v>
      </c>
      <c r="H390" s="8">
        <v>55</v>
      </c>
      <c r="I390" s="8">
        <v>55</v>
      </c>
      <c r="J390" s="10">
        <v>18337013</v>
      </c>
      <c r="K390" s="5" t="s">
        <v>114</v>
      </c>
      <c r="L390" s="5">
        <v>2679</v>
      </c>
    </row>
    <row r="391" spans="1:12" ht="22" customHeight="1" x14ac:dyDescent="0.35">
      <c r="A391" s="1">
        <v>2023</v>
      </c>
      <c r="B391" s="1" t="s">
        <v>70</v>
      </c>
      <c r="C391" s="7" t="s">
        <v>71</v>
      </c>
      <c r="D391" s="1" t="s">
        <v>126</v>
      </c>
      <c r="E391" s="9">
        <v>5</v>
      </c>
      <c r="F391" s="9">
        <v>10</v>
      </c>
      <c r="G391" s="11">
        <v>1283234</v>
      </c>
      <c r="H391" s="9">
        <v>10</v>
      </c>
      <c r="I391" s="9">
        <v>5</v>
      </c>
      <c r="J391" s="11">
        <v>1283234</v>
      </c>
      <c r="K391" s="1" t="s">
        <v>114</v>
      </c>
      <c r="L391" s="1">
        <v>2679</v>
      </c>
    </row>
    <row r="392" spans="1:12" ht="22" customHeight="1" x14ac:dyDescent="0.35">
      <c r="A392" s="5">
        <v>2023</v>
      </c>
      <c r="B392" s="5" t="s">
        <v>70</v>
      </c>
      <c r="C392" s="6" t="s">
        <v>71</v>
      </c>
      <c r="D392" s="5" t="s">
        <v>127</v>
      </c>
      <c r="E392" s="8">
        <v>2</v>
      </c>
      <c r="F392" s="8">
        <v>8</v>
      </c>
      <c r="G392" s="10">
        <v>593894</v>
      </c>
      <c r="H392" s="8">
        <v>8</v>
      </c>
      <c r="I392" s="8">
        <v>2</v>
      </c>
      <c r="J392" s="10">
        <v>593894</v>
      </c>
      <c r="K392" s="5" t="s">
        <v>114</v>
      </c>
      <c r="L392" s="5">
        <v>2679</v>
      </c>
    </row>
    <row r="393" spans="1:12" ht="22" customHeight="1" x14ac:dyDescent="0.35">
      <c r="A393" s="1">
        <v>2023</v>
      </c>
      <c r="B393" s="1" t="s">
        <v>70</v>
      </c>
      <c r="C393" s="7" t="s">
        <v>71</v>
      </c>
      <c r="D393" s="1" t="s">
        <v>128</v>
      </c>
      <c r="E393" s="9">
        <v>1</v>
      </c>
      <c r="F393" s="9">
        <v>9</v>
      </c>
      <c r="G393" s="11">
        <v>1649236</v>
      </c>
      <c r="H393" s="9">
        <v>9</v>
      </c>
      <c r="I393" s="9">
        <v>1</v>
      </c>
      <c r="J393" s="11">
        <v>1649236</v>
      </c>
      <c r="K393" s="1" t="s">
        <v>114</v>
      </c>
      <c r="L393" s="1">
        <v>2679</v>
      </c>
    </row>
    <row r="394" spans="1:12" ht="22" customHeight="1" x14ac:dyDescent="0.35">
      <c r="A394" s="5">
        <v>2023</v>
      </c>
      <c r="B394" s="5" t="s">
        <v>72</v>
      </c>
      <c r="C394" s="6" t="s">
        <v>73</v>
      </c>
      <c r="D394" s="5" t="s">
        <v>125</v>
      </c>
      <c r="E394" s="8">
        <v>460</v>
      </c>
      <c r="F394" s="8">
        <v>460</v>
      </c>
      <c r="G394" s="10">
        <v>129784356</v>
      </c>
      <c r="H394" s="8">
        <v>460</v>
      </c>
      <c r="I394" s="8">
        <v>460</v>
      </c>
      <c r="J394" s="10">
        <v>129784356</v>
      </c>
      <c r="K394" s="5" t="s">
        <v>114</v>
      </c>
      <c r="L394" s="5">
        <v>2680</v>
      </c>
    </row>
    <row r="395" spans="1:12" ht="22" customHeight="1" x14ac:dyDescent="0.35">
      <c r="A395" s="1">
        <v>2023</v>
      </c>
      <c r="B395" s="1" t="s">
        <v>72</v>
      </c>
      <c r="C395" s="7" t="s">
        <v>73</v>
      </c>
      <c r="D395" s="1" t="s">
        <v>126</v>
      </c>
      <c r="E395" s="9">
        <v>0</v>
      </c>
      <c r="F395" s="9">
        <v>0</v>
      </c>
      <c r="G395" s="11">
        <v>0</v>
      </c>
      <c r="H395" s="9">
        <v>0</v>
      </c>
      <c r="I395" s="9">
        <v>0</v>
      </c>
      <c r="J395" s="11">
        <v>0</v>
      </c>
      <c r="K395" s="1" t="s">
        <v>114</v>
      </c>
      <c r="L395" s="1">
        <v>2680</v>
      </c>
    </row>
    <row r="396" spans="1:12" ht="22" customHeight="1" x14ac:dyDescent="0.35">
      <c r="A396" s="5">
        <v>2023</v>
      </c>
      <c r="B396" s="5" t="s">
        <v>72</v>
      </c>
      <c r="C396" s="6" t="s">
        <v>73</v>
      </c>
      <c r="D396" s="5" t="s">
        <v>127</v>
      </c>
      <c r="E396" s="8">
        <v>0</v>
      </c>
      <c r="F396" s="8">
        <v>0</v>
      </c>
      <c r="G396" s="10">
        <v>0</v>
      </c>
      <c r="H396" s="8">
        <v>0</v>
      </c>
      <c r="I396" s="8">
        <v>0</v>
      </c>
      <c r="J396" s="10">
        <v>0</v>
      </c>
      <c r="K396" s="5" t="s">
        <v>114</v>
      </c>
      <c r="L396" s="5">
        <v>2680</v>
      </c>
    </row>
    <row r="397" spans="1:12" ht="22" customHeight="1" x14ac:dyDescent="0.35">
      <c r="A397" s="1">
        <v>2023</v>
      </c>
      <c r="B397" s="1" t="s">
        <v>72</v>
      </c>
      <c r="C397" s="7" t="s">
        <v>73</v>
      </c>
      <c r="D397" s="1" t="s">
        <v>128</v>
      </c>
      <c r="E397" s="9">
        <v>0</v>
      </c>
      <c r="F397" s="9">
        <v>0</v>
      </c>
      <c r="G397" s="11">
        <v>0</v>
      </c>
      <c r="H397" s="9">
        <v>0</v>
      </c>
      <c r="I397" s="9">
        <v>0</v>
      </c>
      <c r="J397" s="11">
        <v>0</v>
      </c>
      <c r="K397" s="1" t="s">
        <v>114</v>
      </c>
      <c r="L397" s="1">
        <v>2680</v>
      </c>
    </row>
    <row r="398" spans="1:12" ht="22" customHeight="1" x14ac:dyDescent="0.35">
      <c r="A398" s="5">
        <v>2023</v>
      </c>
      <c r="B398" s="5" t="s">
        <v>74</v>
      </c>
      <c r="C398" s="6" t="s">
        <v>75</v>
      </c>
      <c r="D398" s="5" t="s">
        <v>125</v>
      </c>
      <c r="E398" s="8">
        <v>88</v>
      </c>
      <c r="F398" s="8">
        <v>88</v>
      </c>
      <c r="G398" s="10">
        <v>26764621</v>
      </c>
      <c r="H398" s="8">
        <v>88</v>
      </c>
      <c r="I398" s="8">
        <v>88</v>
      </c>
      <c r="J398" s="10">
        <v>26764621</v>
      </c>
      <c r="K398" s="5" t="s">
        <v>114</v>
      </c>
      <c r="L398" s="5">
        <v>2681</v>
      </c>
    </row>
    <row r="399" spans="1:12" ht="22" customHeight="1" x14ac:dyDescent="0.35">
      <c r="A399" s="1">
        <v>2023</v>
      </c>
      <c r="B399" s="1" t="s">
        <v>74</v>
      </c>
      <c r="C399" s="7" t="s">
        <v>75</v>
      </c>
      <c r="D399" s="1" t="s">
        <v>126</v>
      </c>
      <c r="E399" s="9">
        <v>0</v>
      </c>
      <c r="F399" s="9">
        <v>0</v>
      </c>
      <c r="G399" s="11">
        <v>0</v>
      </c>
      <c r="H399" s="9">
        <v>0</v>
      </c>
      <c r="I399" s="9">
        <v>0</v>
      </c>
      <c r="J399" s="11">
        <v>0</v>
      </c>
      <c r="K399" s="1" t="s">
        <v>114</v>
      </c>
      <c r="L399" s="1">
        <v>2681</v>
      </c>
    </row>
    <row r="400" spans="1:12" ht="22" customHeight="1" x14ac:dyDescent="0.35">
      <c r="A400" s="5">
        <v>2023</v>
      </c>
      <c r="B400" s="5" t="s">
        <v>74</v>
      </c>
      <c r="C400" s="6" t="s">
        <v>75</v>
      </c>
      <c r="D400" s="5" t="s">
        <v>127</v>
      </c>
      <c r="E400" s="8">
        <v>8</v>
      </c>
      <c r="F400" s="8">
        <v>26</v>
      </c>
      <c r="G400" s="10">
        <v>4105560</v>
      </c>
      <c r="H400" s="8">
        <v>26</v>
      </c>
      <c r="I400" s="8">
        <v>8</v>
      </c>
      <c r="J400" s="10">
        <v>4105560</v>
      </c>
      <c r="K400" s="5" t="s">
        <v>114</v>
      </c>
      <c r="L400" s="5">
        <v>2681</v>
      </c>
    </row>
    <row r="401" spans="1:12" ht="22" customHeight="1" x14ac:dyDescent="0.35">
      <c r="A401" s="1">
        <v>2023</v>
      </c>
      <c r="B401" s="1" t="s">
        <v>74</v>
      </c>
      <c r="C401" s="7" t="s">
        <v>75</v>
      </c>
      <c r="D401" s="1" t="s">
        <v>128</v>
      </c>
      <c r="E401" s="9">
        <v>5</v>
      </c>
      <c r="F401" s="9">
        <v>31</v>
      </c>
      <c r="G401" s="11">
        <v>5471471</v>
      </c>
      <c r="H401" s="9">
        <v>31</v>
      </c>
      <c r="I401" s="9">
        <v>5</v>
      </c>
      <c r="J401" s="11">
        <v>5471471</v>
      </c>
      <c r="K401" s="1" t="s">
        <v>114</v>
      </c>
      <c r="L401" s="1">
        <v>2681</v>
      </c>
    </row>
    <row r="402" spans="1:12" ht="22" customHeight="1" x14ac:dyDescent="0.35">
      <c r="A402" s="5">
        <v>2023</v>
      </c>
      <c r="B402" s="5" t="s">
        <v>76</v>
      </c>
      <c r="C402" s="6" t="s">
        <v>77</v>
      </c>
      <c r="D402" s="5" t="s">
        <v>125</v>
      </c>
      <c r="E402" s="8">
        <v>153</v>
      </c>
      <c r="F402" s="8">
        <v>153</v>
      </c>
      <c r="G402" s="10">
        <v>35948218</v>
      </c>
      <c r="H402" s="8">
        <v>129</v>
      </c>
      <c r="I402" s="8">
        <v>129</v>
      </c>
      <c r="J402" s="10">
        <v>30645973</v>
      </c>
      <c r="K402" s="5" t="s">
        <v>114</v>
      </c>
      <c r="L402" s="5">
        <v>2682</v>
      </c>
    </row>
    <row r="403" spans="1:12" ht="22" customHeight="1" x14ac:dyDescent="0.35">
      <c r="A403" s="1">
        <v>2023</v>
      </c>
      <c r="B403" s="1" t="s">
        <v>76</v>
      </c>
      <c r="C403" s="7" t="s">
        <v>77</v>
      </c>
      <c r="D403" s="1" t="s">
        <v>126</v>
      </c>
      <c r="E403" s="9">
        <v>0</v>
      </c>
      <c r="F403" s="9">
        <v>0</v>
      </c>
      <c r="G403" s="11">
        <v>0</v>
      </c>
      <c r="H403" s="9">
        <v>0</v>
      </c>
      <c r="I403" s="9">
        <v>0</v>
      </c>
      <c r="J403" s="11">
        <v>0</v>
      </c>
      <c r="K403" s="1" t="s">
        <v>114</v>
      </c>
      <c r="L403" s="1">
        <v>2682</v>
      </c>
    </row>
    <row r="404" spans="1:12" ht="22" customHeight="1" x14ac:dyDescent="0.35">
      <c r="A404" s="5">
        <v>2023</v>
      </c>
      <c r="B404" s="5" t="s">
        <v>76</v>
      </c>
      <c r="C404" s="6" t="s">
        <v>77</v>
      </c>
      <c r="D404" s="5" t="s">
        <v>127</v>
      </c>
      <c r="E404" s="8">
        <v>0</v>
      </c>
      <c r="F404" s="8">
        <v>0</v>
      </c>
      <c r="G404" s="10">
        <v>0</v>
      </c>
      <c r="H404" s="8">
        <v>0</v>
      </c>
      <c r="I404" s="8">
        <v>0</v>
      </c>
      <c r="J404" s="10">
        <v>0</v>
      </c>
      <c r="K404" s="5" t="s">
        <v>114</v>
      </c>
      <c r="L404" s="5">
        <v>2682</v>
      </c>
    </row>
    <row r="405" spans="1:12" ht="22" customHeight="1" x14ac:dyDescent="0.35">
      <c r="A405" s="1">
        <v>2023</v>
      </c>
      <c r="B405" s="1" t="s">
        <v>76</v>
      </c>
      <c r="C405" s="7" t="s">
        <v>77</v>
      </c>
      <c r="D405" s="1" t="s">
        <v>128</v>
      </c>
      <c r="E405" s="9">
        <v>0</v>
      </c>
      <c r="F405" s="9">
        <v>0</v>
      </c>
      <c r="G405" s="11">
        <v>0</v>
      </c>
      <c r="H405" s="9">
        <v>0</v>
      </c>
      <c r="I405" s="9">
        <v>0</v>
      </c>
      <c r="J405" s="11">
        <v>0</v>
      </c>
      <c r="K405" s="1" t="s">
        <v>114</v>
      </c>
      <c r="L405" s="1">
        <v>2682</v>
      </c>
    </row>
    <row r="406" spans="1:12" ht="22" customHeight="1" x14ac:dyDescent="0.35">
      <c r="A406" s="5">
        <v>2023</v>
      </c>
      <c r="B406" s="5" t="s">
        <v>78</v>
      </c>
      <c r="C406" s="6" t="s">
        <v>79</v>
      </c>
      <c r="D406" s="5" t="s">
        <v>125</v>
      </c>
      <c r="E406" s="8">
        <v>57</v>
      </c>
      <c r="F406" s="8">
        <v>57</v>
      </c>
      <c r="G406" s="10">
        <v>10935395</v>
      </c>
      <c r="H406" s="8">
        <v>56</v>
      </c>
      <c r="I406" s="8">
        <v>56</v>
      </c>
      <c r="J406" s="10">
        <v>10638561</v>
      </c>
      <c r="K406" s="5" t="s">
        <v>114</v>
      </c>
      <c r="L406" s="5">
        <v>2683</v>
      </c>
    </row>
    <row r="407" spans="1:12" ht="22" customHeight="1" x14ac:dyDescent="0.35">
      <c r="A407" s="1">
        <v>2023</v>
      </c>
      <c r="B407" s="1" t="s">
        <v>78</v>
      </c>
      <c r="C407" s="7" t="s">
        <v>79</v>
      </c>
      <c r="D407" s="1" t="s">
        <v>126</v>
      </c>
      <c r="E407" s="9">
        <v>6</v>
      </c>
      <c r="F407" s="9">
        <v>12</v>
      </c>
      <c r="G407" s="11">
        <v>2800000</v>
      </c>
      <c r="H407" s="9">
        <v>12</v>
      </c>
      <c r="I407" s="9">
        <v>6</v>
      </c>
      <c r="J407" s="11">
        <v>2800000</v>
      </c>
      <c r="K407" s="1" t="s">
        <v>114</v>
      </c>
      <c r="L407" s="1">
        <v>2683</v>
      </c>
    </row>
    <row r="408" spans="1:12" ht="22" customHeight="1" x14ac:dyDescent="0.35">
      <c r="A408" s="5">
        <v>2023</v>
      </c>
      <c r="B408" s="5" t="s">
        <v>78</v>
      </c>
      <c r="C408" s="6" t="s">
        <v>79</v>
      </c>
      <c r="D408" s="5" t="s">
        <v>127</v>
      </c>
      <c r="E408" s="8">
        <v>5</v>
      </c>
      <c r="F408" s="8">
        <v>19</v>
      </c>
      <c r="G408" s="10">
        <v>2262652</v>
      </c>
      <c r="H408" s="8">
        <v>19</v>
      </c>
      <c r="I408" s="8">
        <v>5</v>
      </c>
      <c r="J408" s="10">
        <v>2262652</v>
      </c>
      <c r="K408" s="5" t="s">
        <v>114</v>
      </c>
      <c r="L408" s="5">
        <v>2683</v>
      </c>
    </row>
    <row r="409" spans="1:12" ht="22" customHeight="1" x14ac:dyDescent="0.35">
      <c r="A409" s="1">
        <v>2023</v>
      </c>
      <c r="B409" s="1" t="s">
        <v>78</v>
      </c>
      <c r="C409" s="7" t="s">
        <v>79</v>
      </c>
      <c r="D409" s="1" t="s">
        <v>128</v>
      </c>
      <c r="E409" s="9">
        <v>1</v>
      </c>
      <c r="F409" s="9">
        <v>6</v>
      </c>
      <c r="G409" s="11">
        <v>1334550</v>
      </c>
      <c r="H409" s="9">
        <v>6</v>
      </c>
      <c r="I409" s="9">
        <v>1</v>
      </c>
      <c r="J409" s="11">
        <v>1334550</v>
      </c>
      <c r="K409" s="1" t="s">
        <v>114</v>
      </c>
      <c r="L409" s="1">
        <v>2683</v>
      </c>
    </row>
    <row r="410" spans="1:12" ht="22" customHeight="1" x14ac:dyDescent="0.35">
      <c r="A410" s="5">
        <v>2023</v>
      </c>
      <c r="B410" s="5" t="s">
        <v>80</v>
      </c>
      <c r="C410" s="6" t="s">
        <v>81</v>
      </c>
      <c r="D410" s="5" t="s">
        <v>125</v>
      </c>
      <c r="E410" s="8">
        <v>73</v>
      </c>
      <c r="F410" s="8">
        <v>73</v>
      </c>
      <c r="G410" s="10">
        <v>22044801</v>
      </c>
      <c r="H410" s="8">
        <v>73</v>
      </c>
      <c r="I410" s="8">
        <v>73</v>
      </c>
      <c r="J410" s="10">
        <v>22044801</v>
      </c>
      <c r="K410" s="5" t="s">
        <v>114</v>
      </c>
      <c r="L410" s="5">
        <v>2684</v>
      </c>
    </row>
    <row r="411" spans="1:12" ht="22" customHeight="1" x14ac:dyDescent="0.35">
      <c r="A411" s="1">
        <v>2023</v>
      </c>
      <c r="B411" s="1" t="s">
        <v>80</v>
      </c>
      <c r="C411" s="7" t="s">
        <v>81</v>
      </c>
      <c r="D411" s="1" t="s">
        <v>126</v>
      </c>
      <c r="E411" s="9">
        <v>0</v>
      </c>
      <c r="F411" s="9">
        <v>0</v>
      </c>
      <c r="G411" s="11">
        <v>0</v>
      </c>
      <c r="H411" s="9">
        <v>0</v>
      </c>
      <c r="I411" s="9">
        <v>0</v>
      </c>
      <c r="J411" s="11">
        <v>0</v>
      </c>
      <c r="K411" s="1" t="s">
        <v>114</v>
      </c>
      <c r="L411" s="1">
        <v>2684</v>
      </c>
    </row>
    <row r="412" spans="1:12" ht="22" customHeight="1" x14ac:dyDescent="0.35">
      <c r="A412" s="5">
        <v>2023</v>
      </c>
      <c r="B412" s="5" t="s">
        <v>80</v>
      </c>
      <c r="C412" s="6" t="s">
        <v>81</v>
      </c>
      <c r="D412" s="5" t="s">
        <v>127</v>
      </c>
      <c r="E412" s="8">
        <v>10</v>
      </c>
      <c r="F412" s="8">
        <v>37</v>
      </c>
      <c r="G412" s="10">
        <v>7174631</v>
      </c>
      <c r="H412" s="8">
        <v>37</v>
      </c>
      <c r="I412" s="8">
        <v>10</v>
      </c>
      <c r="J412" s="10">
        <v>7174631</v>
      </c>
      <c r="K412" s="5" t="s">
        <v>114</v>
      </c>
      <c r="L412" s="5">
        <v>2684</v>
      </c>
    </row>
    <row r="413" spans="1:12" ht="22" customHeight="1" x14ac:dyDescent="0.35">
      <c r="A413" s="1">
        <v>2023</v>
      </c>
      <c r="B413" s="1" t="s">
        <v>80</v>
      </c>
      <c r="C413" s="7" t="s">
        <v>81</v>
      </c>
      <c r="D413" s="1" t="s">
        <v>128</v>
      </c>
      <c r="E413" s="9">
        <v>6</v>
      </c>
      <c r="F413" s="9">
        <v>33</v>
      </c>
      <c r="G413" s="11">
        <v>5559792</v>
      </c>
      <c r="H413" s="9">
        <v>33</v>
      </c>
      <c r="I413" s="9">
        <v>6</v>
      </c>
      <c r="J413" s="11">
        <v>5559792</v>
      </c>
      <c r="K413" s="1" t="s">
        <v>114</v>
      </c>
      <c r="L413" s="1">
        <v>2684</v>
      </c>
    </row>
    <row r="414" spans="1:12" ht="22" customHeight="1" x14ac:dyDescent="0.35">
      <c r="A414" s="5">
        <v>2023</v>
      </c>
      <c r="B414" s="5" t="s">
        <v>82</v>
      </c>
      <c r="C414" s="6" t="s">
        <v>83</v>
      </c>
      <c r="D414" s="5" t="s">
        <v>125</v>
      </c>
      <c r="E414" s="8">
        <v>25</v>
      </c>
      <c r="F414" s="8">
        <v>25</v>
      </c>
      <c r="G414" s="10">
        <v>3956100</v>
      </c>
      <c r="H414" s="8">
        <v>1</v>
      </c>
      <c r="I414" s="8">
        <v>1</v>
      </c>
      <c r="J414" s="10">
        <v>336900</v>
      </c>
      <c r="K414" s="5" t="s">
        <v>114</v>
      </c>
      <c r="L414" s="5">
        <v>2685</v>
      </c>
    </row>
    <row r="415" spans="1:12" ht="22" customHeight="1" x14ac:dyDescent="0.35">
      <c r="A415" s="1">
        <v>2023</v>
      </c>
      <c r="B415" s="1" t="s">
        <v>82</v>
      </c>
      <c r="C415" s="7" t="s">
        <v>83</v>
      </c>
      <c r="D415" s="1" t="s">
        <v>126</v>
      </c>
      <c r="E415" s="9">
        <v>0</v>
      </c>
      <c r="F415" s="9">
        <v>0</v>
      </c>
      <c r="G415" s="11">
        <v>0</v>
      </c>
      <c r="H415" s="9">
        <v>0</v>
      </c>
      <c r="I415" s="9">
        <v>0</v>
      </c>
      <c r="J415" s="11">
        <v>0</v>
      </c>
      <c r="K415" s="1" t="s">
        <v>114</v>
      </c>
      <c r="L415" s="1">
        <v>2685</v>
      </c>
    </row>
    <row r="416" spans="1:12" ht="22" customHeight="1" x14ac:dyDescent="0.35">
      <c r="A416" s="5">
        <v>2023</v>
      </c>
      <c r="B416" s="5" t="s">
        <v>82</v>
      </c>
      <c r="C416" s="6" t="s">
        <v>83</v>
      </c>
      <c r="D416" s="5" t="s">
        <v>127</v>
      </c>
      <c r="E416" s="8">
        <v>0</v>
      </c>
      <c r="F416" s="8">
        <v>0</v>
      </c>
      <c r="G416" s="10">
        <v>0</v>
      </c>
      <c r="H416" s="8">
        <v>0</v>
      </c>
      <c r="I416" s="8">
        <v>0</v>
      </c>
      <c r="J416" s="10">
        <v>0</v>
      </c>
      <c r="K416" s="5" t="s">
        <v>114</v>
      </c>
      <c r="L416" s="5">
        <v>2685</v>
      </c>
    </row>
    <row r="417" spans="1:12" ht="22" customHeight="1" x14ac:dyDescent="0.35">
      <c r="A417" s="1">
        <v>2023</v>
      </c>
      <c r="B417" s="1" t="s">
        <v>82</v>
      </c>
      <c r="C417" s="7" t="s">
        <v>83</v>
      </c>
      <c r="D417" s="1" t="s">
        <v>128</v>
      </c>
      <c r="E417" s="9">
        <v>0</v>
      </c>
      <c r="F417" s="9">
        <v>0</v>
      </c>
      <c r="G417" s="11">
        <v>0</v>
      </c>
      <c r="H417" s="9">
        <v>0</v>
      </c>
      <c r="I417" s="9">
        <v>0</v>
      </c>
      <c r="J417" s="11">
        <v>0</v>
      </c>
      <c r="K417" s="1" t="s">
        <v>114</v>
      </c>
      <c r="L417" s="1">
        <v>2685</v>
      </c>
    </row>
    <row r="418" spans="1:12" ht="22" customHeight="1" x14ac:dyDescent="0.35">
      <c r="A418" s="5">
        <v>2023</v>
      </c>
      <c r="B418" s="5" t="s">
        <v>84</v>
      </c>
      <c r="C418" s="6" t="s">
        <v>85</v>
      </c>
      <c r="D418" s="5" t="s">
        <v>125</v>
      </c>
      <c r="E418" s="8">
        <v>53</v>
      </c>
      <c r="F418" s="8">
        <v>53</v>
      </c>
      <c r="G418" s="10">
        <v>22822120</v>
      </c>
      <c r="H418" s="8">
        <v>15</v>
      </c>
      <c r="I418" s="8">
        <v>15</v>
      </c>
      <c r="J418" s="10">
        <v>9394000</v>
      </c>
      <c r="K418" s="5" t="s">
        <v>114</v>
      </c>
      <c r="L418" s="5">
        <v>2686</v>
      </c>
    </row>
    <row r="419" spans="1:12" ht="22" customHeight="1" x14ac:dyDescent="0.35">
      <c r="A419" s="1">
        <v>2023</v>
      </c>
      <c r="B419" s="1" t="s">
        <v>84</v>
      </c>
      <c r="C419" s="7" t="s">
        <v>85</v>
      </c>
      <c r="D419" s="1" t="s">
        <v>126</v>
      </c>
      <c r="E419" s="9">
        <v>0</v>
      </c>
      <c r="F419" s="9">
        <v>0</v>
      </c>
      <c r="G419" s="11">
        <v>0</v>
      </c>
      <c r="H419" s="9">
        <v>0</v>
      </c>
      <c r="I419" s="9">
        <v>0</v>
      </c>
      <c r="J419" s="11">
        <v>0</v>
      </c>
      <c r="K419" s="1" t="s">
        <v>114</v>
      </c>
      <c r="L419" s="1">
        <v>2686</v>
      </c>
    </row>
    <row r="420" spans="1:12" ht="22" customHeight="1" x14ac:dyDescent="0.35">
      <c r="A420" s="5">
        <v>2023</v>
      </c>
      <c r="B420" s="5" t="s">
        <v>84</v>
      </c>
      <c r="C420" s="6" t="s">
        <v>85</v>
      </c>
      <c r="D420" s="5" t="s">
        <v>127</v>
      </c>
      <c r="E420" s="8">
        <v>0</v>
      </c>
      <c r="F420" s="8">
        <v>0</v>
      </c>
      <c r="G420" s="10">
        <v>0</v>
      </c>
      <c r="H420" s="8">
        <v>0</v>
      </c>
      <c r="I420" s="8">
        <v>0</v>
      </c>
      <c r="J420" s="10">
        <v>0</v>
      </c>
      <c r="K420" s="5" t="s">
        <v>114</v>
      </c>
      <c r="L420" s="5">
        <v>2686</v>
      </c>
    </row>
    <row r="421" spans="1:12" ht="22" customHeight="1" x14ac:dyDescent="0.35">
      <c r="A421" s="1">
        <v>2023</v>
      </c>
      <c r="B421" s="1" t="s">
        <v>84</v>
      </c>
      <c r="C421" s="7" t="s">
        <v>85</v>
      </c>
      <c r="D421" s="1" t="s">
        <v>128</v>
      </c>
      <c r="E421" s="9">
        <v>0</v>
      </c>
      <c r="F421" s="9">
        <v>0</v>
      </c>
      <c r="G421" s="11">
        <v>0</v>
      </c>
      <c r="H421" s="9">
        <v>0</v>
      </c>
      <c r="I421" s="9">
        <v>0</v>
      </c>
      <c r="J421" s="11">
        <v>0</v>
      </c>
      <c r="K421" s="1" t="s">
        <v>114</v>
      </c>
      <c r="L421" s="1">
        <v>2686</v>
      </c>
    </row>
    <row r="422" spans="1:12" ht="22" customHeight="1" x14ac:dyDescent="0.35">
      <c r="A422" s="5">
        <v>2023</v>
      </c>
      <c r="B422" s="5" t="s">
        <v>86</v>
      </c>
      <c r="C422" s="6" t="s">
        <v>87</v>
      </c>
      <c r="D422" s="5" t="s">
        <v>125</v>
      </c>
      <c r="E422" s="8">
        <v>2572</v>
      </c>
      <c r="F422" s="8">
        <v>2572</v>
      </c>
      <c r="G422" s="10">
        <v>893907933</v>
      </c>
      <c r="H422" s="8">
        <v>2367</v>
      </c>
      <c r="I422" s="8">
        <v>2367</v>
      </c>
      <c r="J422" s="10">
        <v>835469704</v>
      </c>
      <c r="K422" s="5" t="s">
        <v>114</v>
      </c>
      <c r="L422" s="5">
        <v>2687</v>
      </c>
    </row>
    <row r="423" spans="1:12" ht="22" customHeight="1" x14ac:dyDescent="0.35">
      <c r="A423" s="1">
        <v>2023</v>
      </c>
      <c r="B423" s="1" t="s">
        <v>86</v>
      </c>
      <c r="C423" s="7" t="s">
        <v>87</v>
      </c>
      <c r="D423" s="1" t="s">
        <v>126</v>
      </c>
      <c r="E423" s="9">
        <v>35</v>
      </c>
      <c r="F423" s="9">
        <v>70</v>
      </c>
      <c r="G423" s="11">
        <v>10848916</v>
      </c>
      <c r="H423" s="9">
        <v>22</v>
      </c>
      <c r="I423" s="9">
        <v>11</v>
      </c>
      <c r="J423" s="11">
        <v>5572476</v>
      </c>
      <c r="K423" s="1" t="s">
        <v>114</v>
      </c>
      <c r="L423" s="1">
        <v>2687</v>
      </c>
    </row>
    <row r="424" spans="1:12" ht="22" customHeight="1" x14ac:dyDescent="0.35">
      <c r="A424" s="5">
        <v>2023</v>
      </c>
      <c r="B424" s="5" t="s">
        <v>86</v>
      </c>
      <c r="C424" s="6" t="s">
        <v>87</v>
      </c>
      <c r="D424" s="5" t="s">
        <v>127</v>
      </c>
      <c r="E424" s="8">
        <v>65</v>
      </c>
      <c r="F424" s="8">
        <v>236</v>
      </c>
      <c r="G424" s="10">
        <v>52347624</v>
      </c>
      <c r="H424" s="8">
        <v>200</v>
      </c>
      <c r="I424" s="8">
        <v>53</v>
      </c>
      <c r="J424" s="10">
        <v>45378957</v>
      </c>
      <c r="K424" s="5" t="s">
        <v>114</v>
      </c>
      <c r="L424" s="5">
        <v>2687</v>
      </c>
    </row>
    <row r="425" spans="1:12" ht="22" customHeight="1" x14ac:dyDescent="0.35">
      <c r="A425" s="1">
        <v>2023</v>
      </c>
      <c r="B425" s="1" t="s">
        <v>86</v>
      </c>
      <c r="C425" s="7" t="s">
        <v>87</v>
      </c>
      <c r="D425" s="1" t="s">
        <v>128</v>
      </c>
      <c r="E425" s="9">
        <v>141</v>
      </c>
      <c r="F425" s="9">
        <v>5437</v>
      </c>
      <c r="G425" s="11">
        <v>1012470207</v>
      </c>
      <c r="H425" s="9">
        <v>2769</v>
      </c>
      <c r="I425" s="9">
        <v>91</v>
      </c>
      <c r="J425" s="11">
        <v>647168237</v>
      </c>
      <c r="K425" s="1" t="s">
        <v>114</v>
      </c>
      <c r="L425" s="1">
        <v>2687</v>
      </c>
    </row>
    <row r="426" spans="1:12" ht="22" customHeight="1" x14ac:dyDescent="0.35">
      <c r="A426" s="5">
        <v>2023</v>
      </c>
      <c r="B426" s="5" t="s">
        <v>88</v>
      </c>
      <c r="C426" s="6" t="s">
        <v>89</v>
      </c>
      <c r="D426" s="5" t="s">
        <v>125</v>
      </c>
      <c r="E426" s="8">
        <v>65</v>
      </c>
      <c r="F426" s="8">
        <v>65</v>
      </c>
      <c r="G426" s="10">
        <v>22079241</v>
      </c>
      <c r="H426" s="8">
        <v>25</v>
      </c>
      <c r="I426" s="8">
        <v>25</v>
      </c>
      <c r="J426" s="10">
        <v>8876843</v>
      </c>
      <c r="K426" s="5" t="s">
        <v>114</v>
      </c>
      <c r="L426" s="5">
        <v>2688</v>
      </c>
    </row>
    <row r="427" spans="1:12" ht="22" customHeight="1" x14ac:dyDescent="0.35">
      <c r="A427" s="1">
        <v>2023</v>
      </c>
      <c r="B427" s="1" t="s">
        <v>88</v>
      </c>
      <c r="C427" s="7" t="s">
        <v>89</v>
      </c>
      <c r="D427" s="1" t="s">
        <v>126</v>
      </c>
      <c r="E427" s="9">
        <v>0</v>
      </c>
      <c r="F427" s="9">
        <v>0</v>
      </c>
      <c r="G427" s="11">
        <v>0</v>
      </c>
      <c r="H427" s="9">
        <v>0</v>
      </c>
      <c r="I427" s="9">
        <v>0</v>
      </c>
      <c r="J427" s="11">
        <v>0</v>
      </c>
      <c r="K427" s="1" t="s">
        <v>114</v>
      </c>
      <c r="L427" s="1">
        <v>2688</v>
      </c>
    </row>
    <row r="428" spans="1:12" ht="22" customHeight="1" x14ac:dyDescent="0.35">
      <c r="A428" s="5">
        <v>2023</v>
      </c>
      <c r="B428" s="5" t="s">
        <v>88</v>
      </c>
      <c r="C428" s="6" t="s">
        <v>89</v>
      </c>
      <c r="D428" s="5" t="s">
        <v>127</v>
      </c>
      <c r="E428" s="8">
        <v>0</v>
      </c>
      <c r="F428" s="8">
        <v>0</v>
      </c>
      <c r="G428" s="10">
        <v>0</v>
      </c>
      <c r="H428" s="8">
        <v>0</v>
      </c>
      <c r="I428" s="8">
        <v>0</v>
      </c>
      <c r="J428" s="10">
        <v>0</v>
      </c>
      <c r="K428" s="5" t="s">
        <v>114</v>
      </c>
      <c r="L428" s="5">
        <v>2688</v>
      </c>
    </row>
    <row r="429" spans="1:12" ht="22" customHeight="1" x14ac:dyDescent="0.35">
      <c r="A429" s="1">
        <v>2023</v>
      </c>
      <c r="B429" s="1" t="s">
        <v>88</v>
      </c>
      <c r="C429" s="7" t="s">
        <v>89</v>
      </c>
      <c r="D429" s="1" t="s">
        <v>128</v>
      </c>
      <c r="E429" s="9">
        <v>0</v>
      </c>
      <c r="F429" s="9">
        <v>0</v>
      </c>
      <c r="G429" s="11">
        <v>0</v>
      </c>
      <c r="H429" s="9">
        <v>0</v>
      </c>
      <c r="I429" s="9">
        <v>0</v>
      </c>
      <c r="J429" s="11">
        <v>0</v>
      </c>
      <c r="K429" s="1" t="s">
        <v>114</v>
      </c>
      <c r="L429" s="1">
        <v>2688</v>
      </c>
    </row>
    <row r="430" spans="1:12" ht="22" customHeight="1" x14ac:dyDescent="0.35">
      <c r="A430" s="5">
        <v>2023</v>
      </c>
      <c r="B430" s="5" t="s">
        <v>90</v>
      </c>
      <c r="C430" s="6" t="s">
        <v>91</v>
      </c>
      <c r="D430" s="5" t="s">
        <v>125</v>
      </c>
      <c r="E430" s="8">
        <v>200</v>
      </c>
      <c r="F430" s="8">
        <v>200</v>
      </c>
      <c r="G430" s="10">
        <v>32333712</v>
      </c>
      <c r="H430" s="8">
        <v>200</v>
      </c>
      <c r="I430" s="8">
        <v>200</v>
      </c>
      <c r="J430" s="10">
        <v>32333712</v>
      </c>
      <c r="K430" s="5" t="s">
        <v>114</v>
      </c>
      <c r="L430" s="5">
        <v>2689</v>
      </c>
    </row>
    <row r="431" spans="1:12" ht="22" customHeight="1" x14ac:dyDescent="0.35">
      <c r="A431" s="1">
        <v>2023</v>
      </c>
      <c r="B431" s="1" t="s">
        <v>90</v>
      </c>
      <c r="C431" s="7" t="s">
        <v>91</v>
      </c>
      <c r="D431" s="1" t="s">
        <v>126</v>
      </c>
      <c r="E431" s="9">
        <v>13</v>
      </c>
      <c r="F431" s="9">
        <v>26</v>
      </c>
      <c r="G431" s="11">
        <v>2658009</v>
      </c>
      <c r="H431" s="9">
        <v>26</v>
      </c>
      <c r="I431" s="9">
        <v>13</v>
      </c>
      <c r="J431" s="11">
        <v>2658009</v>
      </c>
      <c r="K431" s="1" t="s">
        <v>114</v>
      </c>
      <c r="L431" s="1">
        <v>2689</v>
      </c>
    </row>
    <row r="432" spans="1:12" ht="22" customHeight="1" x14ac:dyDescent="0.35">
      <c r="A432" s="5">
        <v>2023</v>
      </c>
      <c r="B432" s="5" t="s">
        <v>90</v>
      </c>
      <c r="C432" s="6" t="s">
        <v>91</v>
      </c>
      <c r="D432" s="5" t="s">
        <v>127</v>
      </c>
      <c r="E432" s="8">
        <v>3</v>
      </c>
      <c r="F432" s="8">
        <v>12</v>
      </c>
      <c r="G432" s="10">
        <v>1233585</v>
      </c>
      <c r="H432" s="8">
        <v>12</v>
      </c>
      <c r="I432" s="8">
        <v>3</v>
      </c>
      <c r="J432" s="10">
        <v>1233585</v>
      </c>
      <c r="K432" s="5" t="s">
        <v>114</v>
      </c>
      <c r="L432" s="5">
        <v>2689</v>
      </c>
    </row>
    <row r="433" spans="1:12" ht="22" customHeight="1" x14ac:dyDescent="0.35">
      <c r="A433" s="1">
        <v>2023</v>
      </c>
      <c r="B433" s="1" t="s">
        <v>90</v>
      </c>
      <c r="C433" s="7" t="s">
        <v>91</v>
      </c>
      <c r="D433" s="1" t="s">
        <v>128</v>
      </c>
      <c r="E433" s="9">
        <v>0</v>
      </c>
      <c r="F433" s="9">
        <v>0</v>
      </c>
      <c r="G433" s="11">
        <v>0</v>
      </c>
      <c r="H433" s="9">
        <v>0</v>
      </c>
      <c r="I433" s="9">
        <v>0</v>
      </c>
      <c r="J433" s="11">
        <v>0</v>
      </c>
      <c r="K433" s="1" t="s">
        <v>114</v>
      </c>
      <c r="L433" s="1">
        <v>2689</v>
      </c>
    </row>
    <row r="434" spans="1:12" ht="22" customHeight="1" x14ac:dyDescent="0.35">
      <c r="A434" s="5">
        <v>2023</v>
      </c>
      <c r="B434" s="5" t="s">
        <v>92</v>
      </c>
      <c r="C434" s="6" t="s">
        <v>93</v>
      </c>
      <c r="D434" s="5" t="s">
        <v>125</v>
      </c>
      <c r="E434" s="8">
        <v>82</v>
      </c>
      <c r="F434" s="8">
        <v>82</v>
      </c>
      <c r="G434" s="10">
        <v>24938000</v>
      </c>
      <c r="H434" s="8">
        <v>82</v>
      </c>
      <c r="I434" s="8">
        <v>82</v>
      </c>
      <c r="J434" s="10">
        <v>24938000</v>
      </c>
      <c r="K434" s="5" t="s">
        <v>114</v>
      </c>
      <c r="L434" s="5">
        <v>2690</v>
      </c>
    </row>
    <row r="435" spans="1:12" ht="22" customHeight="1" x14ac:dyDescent="0.35">
      <c r="A435" s="1">
        <v>2023</v>
      </c>
      <c r="B435" s="1" t="s">
        <v>92</v>
      </c>
      <c r="C435" s="7" t="s">
        <v>93</v>
      </c>
      <c r="D435" s="1" t="s">
        <v>126</v>
      </c>
      <c r="E435" s="9">
        <v>5</v>
      </c>
      <c r="F435" s="9">
        <v>10</v>
      </c>
      <c r="G435" s="11">
        <v>1677000</v>
      </c>
      <c r="H435" s="9">
        <v>10</v>
      </c>
      <c r="I435" s="9">
        <v>5</v>
      </c>
      <c r="J435" s="11">
        <v>1677000</v>
      </c>
      <c r="K435" s="1" t="s">
        <v>114</v>
      </c>
      <c r="L435" s="1">
        <v>2690</v>
      </c>
    </row>
    <row r="436" spans="1:12" ht="22" customHeight="1" x14ac:dyDescent="0.35">
      <c r="A436" s="5">
        <v>2023</v>
      </c>
      <c r="B436" s="5" t="s">
        <v>92</v>
      </c>
      <c r="C436" s="6" t="s">
        <v>93</v>
      </c>
      <c r="D436" s="5" t="s">
        <v>127</v>
      </c>
      <c r="E436" s="8">
        <v>1</v>
      </c>
      <c r="F436" s="8">
        <v>4</v>
      </c>
      <c r="G436" s="10">
        <v>561000</v>
      </c>
      <c r="H436" s="8">
        <v>4</v>
      </c>
      <c r="I436" s="8">
        <v>1</v>
      </c>
      <c r="J436" s="10">
        <v>561000</v>
      </c>
      <c r="K436" s="5" t="s">
        <v>114</v>
      </c>
      <c r="L436" s="5">
        <v>2690</v>
      </c>
    </row>
    <row r="437" spans="1:12" ht="22" customHeight="1" x14ac:dyDescent="0.35">
      <c r="A437" s="1">
        <v>2023</v>
      </c>
      <c r="B437" s="1" t="s">
        <v>92</v>
      </c>
      <c r="C437" s="7" t="s">
        <v>93</v>
      </c>
      <c r="D437" s="1" t="s">
        <v>128</v>
      </c>
      <c r="E437" s="9">
        <v>4</v>
      </c>
      <c r="F437" s="9">
        <v>44</v>
      </c>
      <c r="G437" s="11">
        <v>5619469</v>
      </c>
      <c r="H437" s="9">
        <v>44</v>
      </c>
      <c r="I437" s="9">
        <v>4</v>
      </c>
      <c r="J437" s="11">
        <v>5619469</v>
      </c>
      <c r="K437" s="1" t="s">
        <v>114</v>
      </c>
      <c r="L437" s="1">
        <v>2690</v>
      </c>
    </row>
    <row r="438" spans="1:12" ht="22" customHeight="1" x14ac:dyDescent="0.35">
      <c r="A438" s="5">
        <v>2023</v>
      </c>
      <c r="B438" s="5" t="s">
        <v>94</v>
      </c>
      <c r="C438" s="6" t="s">
        <v>95</v>
      </c>
      <c r="D438" s="5" t="s">
        <v>125</v>
      </c>
      <c r="E438" s="8">
        <v>270</v>
      </c>
      <c r="F438" s="8">
        <v>270</v>
      </c>
      <c r="G438" s="10">
        <v>244990644</v>
      </c>
      <c r="H438" s="8">
        <v>270</v>
      </c>
      <c r="I438" s="8">
        <v>270</v>
      </c>
      <c r="J438" s="10">
        <v>244990644</v>
      </c>
      <c r="K438" s="5" t="s">
        <v>114</v>
      </c>
      <c r="L438" s="5">
        <v>2691</v>
      </c>
    </row>
    <row r="439" spans="1:12" ht="22" customHeight="1" x14ac:dyDescent="0.35">
      <c r="A439" s="1">
        <v>2023</v>
      </c>
      <c r="B439" s="1" t="s">
        <v>94</v>
      </c>
      <c r="C439" s="7" t="s">
        <v>95</v>
      </c>
      <c r="D439" s="1" t="s">
        <v>126</v>
      </c>
      <c r="E439" s="9">
        <v>1</v>
      </c>
      <c r="F439" s="9">
        <v>2</v>
      </c>
      <c r="G439" s="11">
        <v>413052</v>
      </c>
      <c r="H439" s="9">
        <v>2</v>
      </c>
      <c r="I439" s="9">
        <v>1</v>
      </c>
      <c r="J439" s="11">
        <v>413052</v>
      </c>
      <c r="K439" s="1" t="s">
        <v>114</v>
      </c>
      <c r="L439" s="1">
        <v>2691</v>
      </c>
    </row>
    <row r="440" spans="1:12" ht="22" customHeight="1" x14ac:dyDescent="0.35">
      <c r="A440" s="5">
        <v>2023</v>
      </c>
      <c r="B440" s="5" t="s">
        <v>94</v>
      </c>
      <c r="C440" s="6" t="s">
        <v>95</v>
      </c>
      <c r="D440" s="5" t="s">
        <v>127</v>
      </c>
      <c r="E440" s="8">
        <v>1</v>
      </c>
      <c r="F440" s="8">
        <v>4</v>
      </c>
      <c r="G440" s="10">
        <v>1288059</v>
      </c>
      <c r="H440" s="8">
        <v>4</v>
      </c>
      <c r="I440" s="8">
        <v>1</v>
      </c>
      <c r="J440" s="10">
        <v>1288059</v>
      </c>
      <c r="K440" s="5" t="s">
        <v>114</v>
      </c>
      <c r="L440" s="5">
        <v>2691</v>
      </c>
    </row>
    <row r="441" spans="1:12" ht="22" customHeight="1" x14ac:dyDescent="0.35">
      <c r="A441" s="1">
        <v>2023</v>
      </c>
      <c r="B441" s="1" t="s">
        <v>94</v>
      </c>
      <c r="C441" s="7" t="s">
        <v>95</v>
      </c>
      <c r="D441" s="1" t="s">
        <v>128</v>
      </c>
      <c r="E441" s="9">
        <v>4</v>
      </c>
      <c r="F441" s="9">
        <v>57</v>
      </c>
      <c r="G441" s="11">
        <v>61810700</v>
      </c>
      <c r="H441" s="9">
        <v>57</v>
      </c>
      <c r="I441" s="9">
        <v>4</v>
      </c>
      <c r="J441" s="11">
        <v>61810700</v>
      </c>
      <c r="K441" s="1" t="s">
        <v>114</v>
      </c>
      <c r="L441" s="1">
        <v>2691</v>
      </c>
    </row>
    <row r="442" spans="1:12" ht="22" customHeight="1" x14ac:dyDescent="0.35">
      <c r="A442" s="5">
        <v>2023</v>
      </c>
      <c r="B442" s="5" t="s">
        <v>96</v>
      </c>
      <c r="C442" s="6" t="s">
        <v>97</v>
      </c>
      <c r="D442" s="5" t="s">
        <v>125</v>
      </c>
      <c r="E442" s="8">
        <v>591</v>
      </c>
      <c r="F442" s="8">
        <v>591</v>
      </c>
      <c r="G442" s="10">
        <v>172912706</v>
      </c>
      <c r="H442" s="8">
        <v>591</v>
      </c>
      <c r="I442" s="8">
        <v>591</v>
      </c>
      <c r="J442" s="10">
        <v>172912706</v>
      </c>
      <c r="K442" s="5" t="s">
        <v>114</v>
      </c>
      <c r="L442" s="5">
        <v>2692</v>
      </c>
    </row>
    <row r="443" spans="1:12" ht="22" customHeight="1" x14ac:dyDescent="0.35">
      <c r="A443" s="1">
        <v>2023</v>
      </c>
      <c r="B443" s="1" t="s">
        <v>96</v>
      </c>
      <c r="C443" s="7" t="s">
        <v>97</v>
      </c>
      <c r="D443" s="1" t="s">
        <v>126</v>
      </c>
      <c r="E443" s="9">
        <v>13</v>
      </c>
      <c r="F443" s="9">
        <v>26</v>
      </c>
      <c r="G443" s="11">
        <v>5244038</v>
      </c>
      <c r="H443" s="9">
        <v>26</v>
      </c>
      <c r="I443" s="9">
        <v>13</v>
      </c>
      <c r="J443" s="11">
        <v>5244038</v>
      </c>
      <c r="K443" s="1" t="s">
        <v>114</v>
      </c>
      <c r="L443" s="1">
        <v>2692</v>
      </c>
    </row>
    <row r="444" spans="1:12" ht="22" customHeight="1" x14ac:dyDescent="0.35">
      <c r="A444" s="5">
        <v>2023</v>
      </c>
      <c r="B444" s="5" t="s">
        <v>96</v>
      </c>
      <c r="C444" s="6" t="s">
        <v>97</v>
      </c>
      <c r="D444" s="5" t="s">
        <v>127</v>
      </c>
      <c r="E444" s="8">
        <v>15</v>
      </c>
      <c r="F444" s="8">
        <v>58</v>
      </c>
      <c r="G444" s="10">
        <v>10302915</v>
      </c>
      <c r="H444" s="8">
        <v>58</v>
      </c>
      <c r="I444" s="8">
        <v>15</v>
      </c>
      <c r="J444" s="10">
        <v>10302915</v>
      </c>
      <c r="K444" s="5" t="s">
        <v>114</v>
      </c>
      <c r="L444" s="5">
        <v>2692</v>
      </c>
    </row>
    <row r="445" spans="1:12" ht="22" customHeight="1" x14ac:dyDescent="0.35">
      <c r="A445" s="1">
        <v>2023</v>
      </c>
      <c r="B445" s="1" t="s">
        <v>96</v>
      </c>
      <c r="C445" s="7" t="s">
        <v>97</v>
      </c>
      <c r="D445" s="1" t="s">
        <v>128</v>
      </c>
      <c r="E445" s="9">
        <v>35</v>
      </c>
      <c r="F445" s="9">
        <v>245</v>
      </c>
      <c r="G445" s="11">
        <v>37591343</v>
      </c>
      <c r="H445" s="9">
        <v>245</v>
      </c>
      <c r="I445" s="9">
        <v>35</v>
      </c>
      <c r="J445" s="11">
        <v>37591343</v>
      </c>
      <c r="K445" s="1" t="s">
        <v>114</v>
      </c>
      <c r="L445" s="1">
        <v>2692</v>
      </c>
    </row>
    <row r="446" spans="1:12" ht="22" customHeight="1" x14ac:dyDescent="0.35">
      <c r="A446" s="5">
        <v>2023</v>
      </c>
      <c r="B446" s="5" t="s">
        <v>98</v>
      </c>
      <c r="C446" s="6" t="s">
        <v>99</v>
      </c>
      <c r="D446" s="5" t="s">
        <v>125</v>
      </c>
      <c r="E446" s="8">
        <v>70</v>
      </c>
      <c r="F446" s="8">
        <v>70</v>
      </c>
      <c r="G446" s="10">
        <v>27263252</v>
      </c>
      <c r="H446" s="8">
        <v>70</v>
      </c>
      <c r="I446" s="8">
        <v>70</v>
      </c>
      <c r="J446" s="10">
        <v>27263252</v>
      </c>
      <c r="K446" s="5" t="s">
        <v>114</v>
      </c>
      <c r="L446" s="5">
        <v>2693</v>
      </c>
    </row>
    <row r="447" spans="1:12" ht="22" customHeight="1" x14ac:dyDescent="0.35">
      <c r="A447" s="1">
        <v>2023</v>
      </c>
      <c r="B447" s="1" t="s">
        <v>98</v>
      </c>
      <c r="C447" s="7" t="s">
        <v>99</v>
      </c>
      <c r="D447" s="1" t="s">
        <v>126</v>
      </c>
      <c r="E447" s="9">
        <v>4</v>
      </c>
      <c r="F447" s="9">
        <v>8</v>
      </c>
      <c r="G447" s="11">
        <v>1603297</v>
      </c>
      <c r="H447" s="9">
        <v>8</v>
      </c>
      <c r="I447" s="9">
        <v>4</v>
      </c>
      <c r="J447" s="11">
        <v>1603297</v>
      </c>
      <c r="K447" s="1" t="s">
        <v>114</v>
      </c>
      <c r="L447" s="1">
        <v>2693</v>
      </c>
    </row>
    <row r="448" spans="1:12" ht="22" customHeight="1" x14ac:dyDescent="0.35">
      <c r="A448" s="5">
        <v>2023</v>
      </c>
      <c r="B448" s="5" t="s">
        <v>98</v>
      </c>
      <c r="C448" s="6" t="s">
        <v>99</v>
      </c>
      <c r="D448" s="5" t="s">
        <v>127</v>
      </c>
      <c r="E448" s="8">
        <v>2</v>
      </c>
      <c r="F448" s="8">
        <v>8</v>
      </c>
      <c r="G448" s="10">
        <v>1609677</v>
      </c>
      <c r="H448" s="8">
        <v>8</v>
      </c>
      <c r="I448" s="8">
        <v>2</v>
      </c>
      <c r="J448" s="10">
        <v>1609677</v>
      </c>
      <c r="K448" s="5" t="s">
        <v>114</v>
      </c>
      <c r="L448" s="5">
        <v>2693</v>
      </c>
    </row>
    <row r="449" spans="1:12" ht="22" customHeight="1" x14ac:dyDescent="0.35">
      <c r="A449" s="1">
        <v>2023</v>
      </c>
      <c r="B449" s="1" t="s">
        <v>98</v>
      </c>
      <c r="C449" s="7" t="s">
        <v>99</v>
      </c>
      <c r="D449" s="1" t="s">
        <v>128</v>
      </c>
      <c r="E449" s="9">
        <v>0</v>
      </c>
      <c r="F449" s="9">
        <v>0</v>
      </c>
      <c r="G449" s="11">
        <v>0</v>
      </c>
      <c r="H449" s="9">
        <v>0</v>
      </c>
      <c r="I449" s="9">
        <v>0</v>
      </c>
      <c r="J449" s="11">
        <v>0</v>
      </c>
      <c r="K449" s="1" t="s">
        <v>114</v>
      </c>
      <c r="L449" s="1">
        <v>2693</v>
      </c>
    </row>
    <row r="450" spans="1:12" ht="22" customHeight="1" x14ac:dyDescent="0.35">
      <c r="A450" s="5">
        <v>2023</v>
      </c>
      <c r="B450" s="5" t="s">
        <v>100</v>
      </c>
      <c r="C450" s="6" t="s">
        <v>101</v>
      </c>
      <c r="D450" s="5" t="s">
        <v>125</v>
      </c>
      <c r="E450" s="8">
        <v>4575</v>
      </c>
      <c r="F450" s="8">
        <v>4575</v>
      </c>
      <c r="G450" s="10">
        <v>1465872140</v>
      </c>
      <c r="H450" s="8">
        <v>4529</v>
      </c>
      <c r="I450" s="8">
        <v>4529</v>
      </c>
      <c r="J450" s="10">
        <v>1420266871</v>
      </c>
      <c r="K450" s="5" t="s">
        <v>114</v>
      </c>
      <c r="L450" s="5">
        <v>2694</v>
      </c>
    </row>
    <row r="451" spans="1:12" ht="22" customHeight="1" x14ac:dyDescent="0.35">
      <c r="A451" s="1">
        <v>2023</v>
      </c>
      <c r="B451" s="1" t="s">
        <v>100</v>
      </c>
      <c r="C451" s="7" t="s">
        <v>101</v>
      </c>
      <c r="D451" s="1" t="s">
        <v>126</v>
      </c>
      <c r="E451" s="9">
        <v>19</v>
      </c>
      <c r="F451" s="9">
        <v>38</v>
      </c>
      <c r="G451" s="11">
        <v>9516518</v>
      </c>
      <c r="H451" s="9">
        <v>36</v>
      </c>
      <c r="I451" s="9">
        <v>18</v>
      </c>
      <c r="J451" s="11">
        <v>8847185</v>
      </c>
      <c r="K451" s="1" t="s">
        <v>114</v>
      </c>
      <c r="L451" s="1">
        <v>2694</v>
      </c>
    </row>
    <row r="452" spans="1:12" ht="22" customHeight="1" x14ac:dyDescent="0.35">
      <c r="A452" s="5">
        <v>2023</v>
      </c>
      <c r="B452" s="5" t="s">
        <v>100</v>
      </c>
      <c r="C452" s="6" t="s">
        <v>101</v>
      </c>
      <c r="D452" s="5" t="s">
        <v>127</v>
      </c>
      <c r="E452" s="8">
        <v>28</v>
      </c>
      <c r="F452" s="8">
        <v>108</v>
      </c>
      <c r="G452" s="10">
        <v>23002575</v>
      </c>
      <c r="H452" s="8">
        <v>108</v>
      </c>
      <c r="I452" s="8">
        <v>28</v>
      </c>
      <c r="J452" s="10">
        <v>23002575</v>
      </c>
      <c r="K452" s="5" t="s">
        <v>114</v>
      </c>
      <c r="L452" s="5">
        <v>2694</v>
      </c>
    </row>
    <row r="453" spans="1:12" ht="22" customHeight="1" x14ac:dyDescent="0.35">
      <c r="A453" s="1">
        <v>2023</v>
      </c>
      <c r="B453" s="1" t="s">
        <v>100</v>
      </c>
      <c r="C453" s="7" t="s">
        <v>101</v>
      </c>
      <c r="D453" s="1" t="s">
        <v>128</v>
      </c>
      <c r="E453" s="9">
        <v>73</v>
      </c>
      <c r="F453" s="9">
        <v>1315</v>
      </c>
      <c r="G453" s="11">
        <v>273166044</v>
      </c>
      <c r="H453" s="9">
        <v>1315</v>
      </c>
      <c r="I453" s="9">
        <v>73</v>
      </c>
      <c r="J453" s="11">
        <v>273166044</v>
      </c>
      <c r="K453" s="1" t="s">
        <v>114</v>
      </c>
      <c r="L453" s="1">
        <v>2694</v>
      </c>
    </row>
    <row r="454" spans="1:12" ht="22" customHeight="1" x14ac:dyDescent="0.35">
      <c r="A454" s="5">
        <v>2023</v>
      </c>
      <c r="B454" s="5" t="s">
        <v>102</v>
      </c>
      <c r="C454" s="6" t="s">
        <v>103</v>
      </c>
      <c r="D454" s="5" t="s">
        <v>125</v>
      </c>
      <c r="E454" s="8">
        <v>669</v>
      </c>
      <c r="F454" s="8">
        <v>669</v>
      </c>
      <c r="G454" s="10">
        <v>516087391</v>
      </c>
      <c r="H454" s="8">
        <v>669</v>
      </c>
      <c r="I454" s="8">
        <v>669</v>
      </c>
      <c r="J454" s="10">
        <v>516087391</v>
      </c>
      <c r="K454" s="5" t="s">
        <v>114</v>
      </c>
      <c r="L454" s="5">
        <v>2695</v>
      </c>
    </row>
    <row r="455" spans="1:12" ht="22" customHeight="1" x14ac:dyDescent="0.35">
      <c r="A455" s="1">
        <v>2023</v>
      </c>
      <c r="B455" s="1" t="s">
        <v>102</v>
      </c>
      <c r="C455" s="7" t="s">
        <v>103</v>
      </c>
      <c r="D455" s="1" t="s">
        <v>126</v>
      </c>
      <c r="E455" s="9">
        <v>3</v>
      </c>
      <c r="F455" s="9">
        <v>6</v>
      </c>
      <c r="G455" s="11">
        <v>2316956</v>
      </c>
      <c r="H455" s="9">
        <v>6</v>
      </c>
      <c r="I455" s="9">
        <v>3</v>
      </c>
      <c r="J455" s="11">
        <v>2316956</v>
      </c>
      <c r="K455" s="1" t="s">
        <v>114</v>
      </c>
      <c r="L455" s="1">
        <v>2695</v>
      </c>
    </row>
    <row r="456" spans="1:12" ht="22" customHeight="1" x14ac:dyDescent="0.35">
      <c r="A456" s="5">
        <v>2023</v>
      </c>
      <c r="B456" s="5" t="s">
        <v>102</v>
      </c>
      <c r="C456" s="6" t="s">
        <v>103</v>
      </c>
      <c r="D456" s="5" t="s">
        <v>127</v>
      </c>
      <c r="E456" s="8">
        <v>7</v>
      </c>
      <c r="F456" s="8">
        <v>25</v>
      </c>
      <c r="G456" s="10">
        <v>7233778</v>
      </c>
      <c r="H456" s="8">
        <v>25</v>
      </c>
      <c r="I456" s="8">
        <v>7</v>
      </c>
      <c r="J456" s="10">
        <v>7233778</v>
      </c>
      <c r="K456" s="5" t="s">
        <v>114</v>
      </c>
      <c r="L456" s="5">
        <v>2695</v>
      </c>
    </row>
    <row r="457" spans="1:12" ht="22" customHeight="1" x14ac:dyDescent="0.35">
      <c r="A457" s="1">
        <v>2023</v>
      </c>
      <c r="B457" s="1" t="s">
        <v>102</v>
      </c>
      <c r="C457" s="7" t="s">
        <v>103</v>
      </c>
      <c r="D457" s="1" t="s">
        <v>128</v>
      </c>
      <c r="E457" s="9">
        <v>0</v>
      </c>
      <c r="F457" s="9">
        <v>0</v>
      </c>
      <c r="G457" s="11">
        <v>0</v>
      </c>
      <c r="H457" s="9">
        <v>0</v>
      </c>
      <c r="I457" s="9">
        <v>0</v>
      </c>
      <c r="J457" s="11">
        <v>0</v>
      </c>
      <c r="K457" s="1" t="s">
        <v>114</v>
      </c>
      <c r="L457" s="1">
        <v>2695</v>
      </c>
    </row>
    <row r="458" spans="1:12" ht="22" customHeight="1" x14ac:dyDescent="0.35">
      <c r="A458" s="5">
        <v>2023</v>
      </c>
      <c r="B458" s="5" t="s">
        <v>104</v>
      </c>
      <c r="C458" s="6" t="s">
        <v>105</v>
      </c>
      <c r="D458" s="5" t="s">
        <v>125</v>
      </c>
      <c r="E458" s="8">
        <v>2134</v>
      </c>
      <c r="F458" s="8">
        <v>2134</v>
      </c>
      <c r="G458" s="10">
        <v>435832861</v>
      </c>
      <c r="H458" s="8">
        <v>2105</v>
      </c>
      <c r="I458" s="8">
        <v>2105</v>
      </c>
      <c r="J458" s="10">
        <v>428777438</v>
      </c>
      <c r="K458" s="5" t="s">
        <v>114</v>
      </c>
      <c r="L458" s="5">
        <v>2696</v>
      </c>
    </row>
    <row r="459" spans="1:12" ht="22" customHeight="1" x14ac:dyDescent="0.35">
      <c r="A459" s="1">
        <v>2023</v>
      </c>
      <c r="B459" s="1" t="s">
        <v>104</v>
      </c>
      <c r="C459" s="7" t="s">
        <v>105</v>
      </c>
      <c r="D459" s="1" t="s">
        <v>126</v>
      </c>
      <c r="E459" s="9">
        <v>5</v>
      </c>
      <c r="F459" s="9">
        <v>10</v>
      </c>
      <c r="G459" s="11">
        <v>1364859</v>
      </c>
      <c r="H459" s="9">
        <v>10</v>
      </c>
      <c r="I459" s="9">
        <v>5</v>
      </c>
      <c r="J459" s="11">
        <v>1364859</v>
      </c>
      <c r="K459" s="1" t="s">
        <v>114</v>
      </c>
      <c r="L459" s="1">
        <v>2696</v>
      </c>
    </row>
    <row r="460" spans="1:12" ht="22" customHeight="1" x14ac:dyDescent="0.35">
      <c r="A460" s="5">
        <v>2023</v>
      </c>
      <c r="B460" s="5" t="s">
        <v>104</v>
      </c>
      <c r="C460" s="6" t="s">
        <v>105</v>
      </c>
      <c r="D460" s="5" t="s">
        <v>127</v>
      </c>
      <c r="E460" s="8">
        <v>11</v>
      </c>
      <c r="F460" s="8">
        <v>38</v>
      </c>
      <c r="G460" s="10">
        <v>8514401</v>
      </c>
      <c r="H460" s="8">
        <v>38</v>
      </c>
      <c r="I460" s="8">
        <v>11</v>
      </c>
      <c r="J460" s="10">
        <v>8514401</v>
      </c>
      <c r="K460" s="5" t="s">
        <v>114</v>
      </c>
      <c r="L460" s="5">
        <v>2696</v>
      </c>
    </row>
    <row r="461" spans="1:12" ht="22" customHeight="1" x14ac:dyDescent="0.35">
      <c r="A461" s="1">
        <v>2023</v>
      </c>
      <c r="B461" s="1" t="s">
        <v>104</v>
      </c>
      <c r="C461" s="7" t="s">
        <v>105</v>
      </c>
      <c r="D461" s="1" t="s">
        <v>128</v>
      </c>
      <c r="E461" s="9">
        <v>32</v>
      </c>
      <c r="F461" s="9">
        <v>638</v>
      </c>
      <c r="G461" s="11">
        <v>96532127</v>
      </c>
      <c r="H461" s="9">
        <v>638</v>
      </c>
      <c r="I461" s="9">
        <v>32</v>
      </c>
      <c r="J461" s="11">
        <v>96532127</v>
      </c>
      <c r="K461" s="1" t="s">
        <v>114</v>
      </c>
      <c r="L461" s="1">
        <v>2696</v>
      </c>
    </row>
    <row r="462" spans="1:12" ht="22" customHeight="1" x14ac:dyDescent="0.35">
      <c r="A462" s="5">
        <v>2023</v>
      </c>
      <c r="B462" s="5" t="s">
        <v>106</v>
      </c>
      <c r="C462" s="6" t="s">
        <v>107</v>
      </c>
      <c r="D462" s="5" t="s">
        <v>125</v>
      </c>
      <c r="E462" s="8">
        <v>20</v>
      </c>
      <c r="F462" s="8">
        <v>20</v>
      </c>
      <c r="G462" s="10">
        <v>6920969</v>
      </c>
      <c r="H462" s="8">
        <v>20</v>
      </c>
      <c r="I462" s="8">
        <v>20</v>
      </c>
      <c r="J462" s="10">
        <v>6920969</v>
      </c>
      <c r="K462" s="5" t="s">
        <v>114</v>
      </c>
      <c r="L462" s="5">
        <v>2697</v>
      </c>
    </row>
    <row r="463" spans="1:12" ht="22" customHeight="1" x14ac:dyDescent="0.35">
      <c r="A463" s="1">
        <v>2023</v>
      </c>
      <c r="B463" s="1" t="s">
        <v>106</v>
      </c>
      <c r="C463" s="7" t="s">
        <v>107</v>
      </c>
      <c r="D463" s="1" t="s">
        <v>126</v>
      </c>
      <c r="E463" s="9">
        <v>0</v>
      </c>
      <c r="F463" s="9">
        <v>0</v>
      </c>
      <c r="G463" s="11">
        <v>0</v>
      </c>
      <c r="H463" s="9">
        <v>0</v>
      </c>
      <c r="I463" s="9">
        <v>0</v>
      </c>
      <c r="J463" s="11">
        <v>0</v>
      </c>
      <c r="K463" s="1" t="s">
        <v>114</v>
      </c>
      <c r="L463" s="1">
        <v>2697</v>
      </c>
    </row>
    <row r="464" spans="1:12" ht="22" customHeight="1" x14ac:dyDescent="0.35">
      <c r="A464" s="5">
        <v>2023</v>
      </c>
      <c r="B464" s="5" t="s">
        <v>106</v>
      </c>
      <c r="C464" s="6" t="s">
        <v>107</v>
      </c>
      <c r="D464" s="5" t="s">
        <v>127</v>
      </c>
      <c r="E464" s="8">
        <v>0</v>
      </c>
      <c r="F464" s="8">
        <v>0</v>
      </c>
      <c r="G464" s="10">
        <v>0</v>
      </c>
      <c r="H464" s="8">
        <v>0</v>
      </c>
      <c r="I464" s="8">
        <v>0</v>
      </c>
      <c r="J464" s="10">
        <v>0</v>
      </c>
      <c r="K464" s="5" t="s">
        <v>114</v>
      </c>
      <c r="L464" s="5">
        <v>2697</v>
      </c>
    </row>
    <row r="465" spans="1:12" ht="22" customHeight="1" x14ac:dyDescent="0.35">
      <c r="A465" s="1">
        <v>2023</v>
      </c>
      <c r="B465" s="1" t="s">
        <v>106</v>
      </c>
      <c r="C465" s="7" t="s">
        <v>107</v>
      </c>
      <c r="D465" s="1" t="s">
        <v>128</v>
      </c>
      <c r="E465" s="9">
        <v>0</v>
      </c>
      <c r="F465" s="9">
        <v>0</v>
      </c>
      <c r="G465" s="11">
        <v>0</v>
      </c>
      <c r="H465" s="9">
        <v>0</v>
      </c>
      <c r="I465" s="9">
        <v>0</v>
      </c>
      <c r="J465" s="11">
        <v>0</v>
      </c>
      <c r="K465" s="1" t="s">
        <v>114</v>
      </c>
      <c r="L465" s="1">
        <v>2697</v>
      </c>
    </row>
    <row r="466" spans="1:12" ht="22" customHeight="1" x14ac:dyDescent="0.35">
      <c r="A466" s="5">
        <v>2023</v>
      </c>
      <c r="B466" s="5" t="s">
        <v>108</v>
      </c>
      <c r="C466" s="6" t="s">
        <v>109</v>
      </c>
      <c r="D466" s="5" t="s">
        <v>125</v>
      </c>
      <c r="E466" s="8">
        <v>876</v>
      </c>
      <c r="F466" s="8">
        <v>876</v>
      </c>
      <c r="G466" s="10">
        <v>276041572</v>
      </c>
      <c r="H466" s="8">
        <v>466</v>
      </c>
      <c r="I466" s="8">
        <v>466</v>
      </c>
      <c r="J466" s="10">
        <v>160964120</v>
      </c>
      <c r="K466" s="5" t="s">
        <v>114</v>
      </c>
      <c r="L466" s="5">
        <v>2698</v>
      </c>
    </row>
    <row r="467" spans="1:12" ht="22" customHeight="1" x14ac:dyDescent="0.35">
      <c r="A467" s="1">
        <v>2023</v>
      </c>
      <c r="B467" s="1" t="s">
        <v>108</v>
      </c>
      <c r="C467" s="7" t="s">
        <v>109</v>
      </c>
      <c r="D467" s="1" t="s">
        <v>126</v>
      </c>
      <c r="E467" s="9">
        <v>1</v>
      </c>
      <c r="F467" s="9">
        <v>2</v>
      </c>
      <c r="G467" s="11">
        <v>300000</v>
      </c>
      <c r="H467" s="9">
        <v>2</v>
      </c>
      <c r="I467" s="9">
        <v>1</v>
      </c>
      <c r="J467" s="11">
        <v>300000</v>
      </c>
      <c r="K467" s="1" t="s">
        <v>114</v>
      </c>
      <c r="L467" s="1">
        <v>2698</v>
      </c>
    </row>
    <row r="468" spans="1:12" ht="22" customHeight="1" x14ac:dyDescent="0.35">
      <c r="A468" s="5">
        <v>2023</v>
      </c>
      <c r="B468" s="5" t="s">
        <v>108</v>
      </c>
      <c r="C468" s="6" t="s">
        <v>109</v>
      </c>
      <c r="D468" s="5" t="s">
        <v>127</v>
      </c>
      <c r="E468" s="8">
        <v>23</v>
      </c>
      <c r="F468" s="8">
        <v>80</v>
      </c>
      <c r="G468" s="10">
        <v>13890156</v>
      </c>
      <c r="H468" s="8">
        <v>30</v>
      </c>
      <c r="I468" s="8">
        <v>8</v>
      </c>
      <c r="J468" s="10">
        <v>4879099</v>
      </c>
      <c r="K468" s="5" t="s">
        <v>114</v>
      </c>
      <c r="L468" s="5">
        <v>2698</v>
      </c>
    </row>
    <row r="469" spans="1:12" ht="22" customHeight="1" x14ac:dyDescent="0.35">
      <c r="A469" s="1">
        <v>2023</v>
      </c>
      <c r="B469" s="1" t="s">
        <v>108</v>
      </c>
      <c r="C469" s="7" t="s">
        <v>109</v>
      </c>
      <c r="D469" s="1" t="s">
        <v>128</v>
      </c>
      <c r="E469" s="9">
        <v>28</v>
      </c>
      <c r="F469" s="9">
        <v>482</v>
      </c>
      <c r="G469" s="11">
        <v>71743636</v>
      </c>
      <c r="H469" s="9">
        <v>15</v>
      </c>
      <c r="I469" s="9">
        <v>3</v>
      </c>
      <c r="J469" s="11">
        <v>3343885</v>
      </c>
      <c r="K469" s="1" t="s">
        <v>114</v>
      </c>
      <c r="L469" s="1">
        <v>2698</v>
      </c>
    </row>
    <row r="470" spans="1:12" ht="22" customHeight="1" x14ac:dyDescent="0.35">
      <c r="A470" s="5">
        <v>2024</v>
      </c>
      <c r="B470" s="5" t="s">
        <v>49</v>
      </c>
      <c r="C470" s="6" t="s">
        <v>50</v>
      </c>
      <c r="D470" s="5" t="s">
        <v>125</v>
      </c>
      <c r="E470" s="8">
        <v>39</v>
      </c>
      <c r="F470" s="8">
        <v>39</v>
      </c>
      <c r="G470" s="10">
        <v>14086117</v>
      </c>
      <c r="H470" s="8">
        <v>39</v>
      </c>
      <c r="I470" s="8">
        <v>39</v>
      </c>
      <c r="J470" s="10">
        <v>14086117</v>
      </c>
      <c r="K470" s="5" t="s">
        <v>115</v>
      </c>
      <c r="L470" s="5">
        <v>2669</v>
      </c>
    </row>
    <row r="471" spans="1:12" ht="22" customHeight="1" x14ac:dyDescent="0.35">
      <c r="A471" s="1">
        <v>2024</v>
      </c>
      <c r="B471" s="1" t="s">
        <v>49</v>
      </c>
      <c r="C471" s="7" t="s">
        <v>50</v>
      </c>
      <c r="D471" s="1" t="s">
        <v>126</v>
      </c>
      <c r="E471" s="9">
        <v>0</v>
      </c>
      <c r="F471" s="9">
        <v>0</v>
      </c>
      <c r="G471" s="11">
        <v>0</v>
      </c>
      <c r="H471" s="9">
        <v>0</v>
      </c>
      <c r="I471" s="9">
        <v>0</v>
      </c>
      <c r="J471" s="11">
        <v>0</v>
      </c>
      <c r="K471" s="1" t="s">
        <v>115</v>
      </c>
      <c r="L471" s="1">
        <v>2669</v>
      </c>
    </row>
    <row r="472" spans="1:12" ht="22" customHeight="1" x14ac:dyDescent="0.35">
      <c r="A472" s="5">
        <v>2024</v>
      </c>
      <c r="B472" s="5" t="s">
        <v>49</v>
      </c>
      <c r="C472" s="6" t="s">
        <v>50</v>
      </c>
      <c r="D472" s="5" t="s">
        <v>127</v>
      </c>
      <c r="E472" s="8">
        <v>0</v>
      </c>
      <c r="F472" s="8">
        <v>0</v>
      </c>
      <c r="G472" s="10">
        <v>0</v>
      </c>
      <c r="H472" s="8">
        <v>0</v>
      </c>
      <c r="I472" s="8">
        <v>0</v>
      </c>
      <c r="J472" s="10">
        <v>0</v>
      </c>
      <c r="K472" s="5" t="s">
        <v>115</v>
      </c>
      <c r="L472" s="5">
        <v>2669</v>
      </c>
    </row>
    <row r="473" spans="1:12" ht="22" customHeight="1" x14ac:dyDescent="0.35">
      <c r="A473" s="1">
        <v>2024</v>
      </c>
      <c r="B473" s="1" t="s">
        <v>49</v>
      </c>
      <c r="C473" s="7" t="s">
        <v>50</v>
      </c>
      <c r="D473" s="1" t="s">
        <v>128</v>
      </c>
      <c r="E473" s="9">
        <v>0</v>
      </c>
      <c r="F473" s="9">
        <v>0</v>
      </c>
      <c r="G473" s="11">
        <v>0</v>
      </c>
      <c r="H473" s="9">
        <v>0</v>
      </c>
      <c r="I473" s="9">
        <v>0</v>
      </c>
      <c r="J473" s="11">
        <v>0</v>
      </c>
      <c r="K473" s="1" t="s">
        <v>115</v>
      </c>
      <c r="L473" s="1">
        <v>2669</v>
      </c>
    </row>
    <row r="474" spans="1:12" ht="22" customHeight="1" x14ac:dyDescent="0.35">
      <c r="A474" s="5">
        <v>2024</v>
      </c>
      <c r="B474" s="5" t="s">
        <v>54</v>
      </c>
      <c r="C474" s="6" t="s">
        <v>55</v>
      </c>
      <c r="D474" s="5" t="s">
        <v>125</v>
      </c>
      <c r="E474" s="8">
        <v>397</v>
      </c>
      <c r="F474" s="8">
        <v>397</v>
      </c>
      <c r="G474" s="10">
        <v>124708271</v>
      </c>
      <c r="H474" s="8">
        <v>347</v>
      </c>
      <c r="I474" s="8">
        <v>347</v>
      </c>
      <c r="J474" s="10">
        <v>112081551</v>
      </c>
      <c r="K474" s="5" t="s">
        <v>115</v>
      </c>
      <c r="L474" s="5">
        <v>2670</v>
      </c>
    </row>
    <row r="475" spans="1:12" ht="22" customHeight="1" x14ac:dyDescent="0.35">
      <c r="A475" s="1">
        <v>2024</v>
      </c>
      <c r="B475" s="1" t="s">
        <v>54</v>
      </c>
      <c r="C475" s="7" t="s">
        <v>55</v>
      </c>
      <c r="D475" s="1" t="s">
        <v>126</v>
      </c>
      <c r="E475" s="9">
        <v>0</v>
      </c>
      <c r="F475" s="9">
        <v>0</v>
      </c>
      <c r="G475" s="11">
        <v>0</v>
      </c>
      <c r="H475" s="9">
        <v>0</v>
      </c>
      <c r="I475" s="9">
        <v>0</v>
      </c>
      <c r="J475" s="11">
        <v>0</v>
      </c>
      <c r="K475" s="1" t="s">
        <v>115</v>
      </c>
      <c r="L475" s="1">
        <v>2670</v>
      </c>
    </row>
    <row r="476" spans="1:12" ht="22" customHeight="1" x14ac:dyDescent="0.35">
      <c r="A476" s="5">
        <v>2024</v>
      </c>
      <c r="B476" s="5" t="s">
        <v>54</v>
      </c>
      <c r="C476" s="6" t="s">
        <v>55</v>
      </c>
      <c r="D476" s="5" t="s">
        <v>127</v>
      </c>
      <c r="E476" s="8">
        <v>2</v>
      </c>
      <c r="F476" s="8">
        <v>8</v>
      </c>
      <c r="G476" s="10">
        <v>1859301</v>
      </c>
      <c r="H476" s="8">
        <v>8</v>
      </c>
      <c r="I476" s="8">
        <v>2</v>
      </c>
      <c r="J476" s="10">
        <v>1859301</v>
      </c>
      <c r="K476" s="5" t="s">
        <v>115</v>
      </c>
      <c r="L476" s="5">
        <v>2670</v>
      </c>
    </row>
    <row r="477" spans="1:12" ht="22" customHeight="1" x14ac:dyDescent="0.35">
      <c r="A477" s="1">
        <v>2024</v>
      </c>
      <c r="B477" s="1" t="s">
        <v>54</v>
      </c>
      <c r="C477" s="7" t="s">
        <v>55</v>
      </c>
      <c r="D477" s="1" t="s">
        <v>128</v>
      </c>
      <c r="E477" s="9">
        <v>8</v>
      </c>
      <c r="F477" s="9">
        <v>74</v>
      </c>
      <c r="G477" s="11">
        <v>14024560</v>
      </c>
      <c r="H477" s="9">
        <v>74</v>
      </c>
      <c r="I477" s="9">
        <v>8</v>
      </c>
      <c r="J477" s="11">
        <v>14024560</v>
      </c>
      <c r="K477" s="1" t="s">
        <v>115</v>
      </c>
      <c r="L477" s="1">
        <v>2670</v>
      </c>
    </row>
    <row r="478" spans="1:12" ht="22" customHeight="1" x14ac:dyDescent="0.35">
      <c r="A478" s="5">
        <v>2024</v>
      </c>
      <c r="B478" s="5" t="s">
        <v>56</v>
      </c>
      <c r="C478" s="6" t="s">
        <v>57</v>
      </c>
      <c r="D478" s="5" t="s">
        <v>125</v>
      </c>
      <c r="E478" s="8">
        <v>871</v>
      </c>
      <c r="F478" s="8">
        <v>871</v>
      </c>
      <c r="G478" s="10">
        <v>328743992</v>
      </c>
      <c r="H478" s="8">
        <v>871</v>
      </c>
      <c r="I478" s="8">
        <v>871</v>
      </c>
      <c r="J478" s="10">
        <v>328743992</v>
      </c>
      <c r="K478" s="5" t="s">
        <v>115</v>
      </c>
      <c r="L478" s="5">
        <v>2671</v>
      </c>
    </row>
    <row r="479" spans="1:12" ht="22" customHeight="1" x14ac:dyDescent="0.35">
      <c r="A479" s="1">
        <v>2024</v>
      </c>
      <c r="B479" s="1" t="s">
        <v>56</v>
      </c>
      <c r="C479" s="7" t="s">
        <v>57</v>
      </c>
      <c r="D479" s="1" t="s">
        <v>126</v>
      </c>
      <c r="E479" s="9">
        <v>2</v>
      </c>
      <c r="F479" s="9">
        <v>4</v>
      </c>
      <c r="G479" s="11">
        <v>812500</v>
      </c>
      <c r="H479" s="9">
        <v>4</v>
      </c>
      <c r="I479" s="9">
        <v>2</v>
      </c>
      <c r="J479" s="11">
        <v>812500</v>
      </c>
      <c r="K479" s="1" t="s">
        <v>115</v>
      </c>
      <c r="L479" s="1">
        <v>2671</v>
      </c>
    </row>
    <row r="480" spans="1:12" ht="22" customHeight="1" x14ac:dyDescent="0.35">
      <c r="A480" s="5">
        <v>2024</v>
      </c>
      <c r="B480" s="5" t="s">
        <v>56</v>
      </c>
      <c r="C480" s="6" t="s">
        <v>57</v>
      </c>
      <c r="D480" s="5" t="s">
        <v>127</v>
      </c>
      <c r="E480" s="8">
        <v>0</v>
      </c>
      <c r="F480" s="8">
        <v>0</v>
      </c>
      <c r="G480" s="10">
        <v>0</v>
      </c>
      <c r="H480" s="8">
        <v>0</v>
      </c>
      <c r="I480" s="8">
        <v>0</v>
      </c>
      <c r="J480" s="10">
        <v>0</v>
      </c>
      <c r="K480" s="5" t="s">
        <v>115</v>
      </c>
      <c r="L480" s="5">
        <v>2671</v>
      </c>
    </row>
    <row r="481" spans="1:12" ht="22" customHeight="1" x14ac:dyDescent="0.35">
      <c r="A481" s="1">
        <v>2024</v>
      </c>
      <c r="B481" s="1" t="s">
        <v>56</v>
      </c>
      <c r="C481" s="7" t="s">
        <v>57</v>
      </c>
      <c r="D481" s="1" t="s">
        <v>128</v>
      </c>
      <c r="E481" s="9">
        <v>9</v>
      </c>
      <c r="F481" s="9">
        <v>146</v>
      </c>
      <c r="G481" s="11">
        <v>14598000</v>
      </c>
      <c r="H481" s="9">
        <v>146</v>
      </c>
      <c r="I481" s="9">
        <v>9</v>
      </c>
      <c r="J481" s="11">
        <v>14598000</v>
      </c>
      <c r="K481" s="1" t="s">
        <v>115</v>
      </c>
      <c r="L481" s="1">
        <v>2671</v>
      </c>
    </row>
    <row r="482" spans="1:12" ht="22" customHeight="1" x14ac:dyDescent="0.35">
      <c r="A482" s="5">
        <v>2024</v>
      </c>
      <c r="B482" s="5" t="s">
        <v>58</v>
      </c>
      <c r="C482" s="6" t="s">
        <v>59</v>
      </c>
      <c r="D482" s="5" t="s">
        <v>125</v>
      </c>
      <c r="E482" s="8">
        <v>28</v>
      </c>
      <c r="F482" s="8">
        <v>28</v>
      </c>
      <c r="G482" s="10">
        <v>13269748</v>
      </c>
      <c r="H482" s="8">
        <v>28</v>
      </c>
      <c r="I482" s="8">
        <v>28</v>
      </c>
      <c r="J482" s="10">
        <v>13269748</v>
      </c>
      <c r="K482" s="5" t="s">
        <v>115</v>
      </c>
      <c r="L482" s="5">
        <v>2672</v>
      </c>
    </row>
    <row r="483" spans="1:12" ht="22" customHeight="1" x14ac:dyDescent="0.35">
      <c r="A483" s="1">
        <v>2024</v>
      </c>
      <c r="B483" s="1" t="s">
        <v>58</v>
      </c>
      <c r="C483" s="7" t="s">
        <v>59</v>
      </c>
      <c r="D483" s="1" t="s">
        <v>126</v>
      </c>
      <c r="E483" s="9">
        <v>0</v>
      </c>
      <c r="F483" s="9">
        <v>0</v>
      </c>
      <c r="G483" s="11">
        <v>0</v>
      </c>
      <c r="H483" s="9">
        <v>0</v>
      </c>
      <c r="I483" s="9">
        <v>0</v>
      </c>
      <c r="J483" s="11">
        <v>0</v>
      </c>
      <c r="K483" s="1" t="s">
        <v>115</v>
      </c>
      <c r="L483" s="1">
        <v>2672</v>
      </c>
    </row>
    <row r="484" spans="1:12" ht="22" customHeight="1" x14ac:dyDescent="0.35">
      <c r="A484" s="5">
        <v>2024</v>
      </c>
      <c r="B484" s="5" t="s">
        <v>58</v>
      </c>
      <c r="C484" s="6" t="s">
        <v>59</v>
      </c>
      <c r="D484" s="5" t="s">
        <v>127</v>
      </c>
      <c r="E484" s="8">
        <v>0</v>
      </c>
      <c r="F484" s="8">
        <v>0</v>
      </c>
      <c r="G484" s="10">
        <v>0</v>
      </c>
      <c r="H484" s="8">
        <v>0</v>
      </c>
      <c r="I484" s="8">
        <v>0</v>
      </c>
      <c r="J484" s="10">
        <v>0</v>
      </c>
      <c r="K484" s="5" t="s">
        <v>115</v>
      </c>
      <c r="L484" s="5">
        <v>2672</v>
      </c>
    </row>
    <row r="485" spans="1:12" ht="22" customHeight="1" x14ac:dyDescent="0.35">
      <c r="A485" s="1">
        <v>2024</v>
      </c>
      <c r="B485" s="1" t="s">
        <v>58</v>
      </c>
      <c r="C485" s="7" t="s">
        <v>59</v>
      </c>
      <c r="D485" s="1" t="s">
        <v>128</v>
      </c>
      <c r="E485" s="9">
        <v>7</v>
      </c>
      <c r="F485" s="9">
        <v>168</v>
      </c>
      <c r="G485" s="11">
        <v>26472156</v>
      </c>
      <c r="H485" s="9">
        <v>168</v>
      </c>
      <c r="I485" s="9">
        <v>7</v>
      </c>
      <c r="J485" s="11">
        <v>26472156</v>
      </c>
      <c r="K485" s="1" t="s">
        <v>115</v>
      </c>
      <c r="L485" s="1">
        <v>2672</v>
      </c>
    </row>
    <row r="486" spans="1:12" ht="22" customHeight="1" x14ac:dyDescent="0.35">
      <c r="A486" s="5">
        <v>2024</v>
      </c>
      <c r="B486" s="5" t="s">
        <v>60</v>
      </c>
      <c r="C486" s="6" t="s">
        <v>61</v>
      </c>
      <c r="D486" s="5" t="s">
        <v>125</v>
      </c>
      <c r="E486" s="8">
        <v>10</v>
      </c>
      <c r="F486" s="8">
        <v>10</v>
      </c>
      <c r="G486" s="10">
        <v>3566205</v>
      </c>
      <c r="H486" s="8">
        <v>10</v>
      </c>
      <c r="I486" s="8">
        <v>10</v>
      </c>
      <c r="J486" s="10">
        <v>3566205</v>
      </c>
      <c r="K486" s="5" t="s">
        <v>115</v>
      </c>
      <c r="L486" s="5">
        <v>2673</v>
      </c>
    </row>
    <row r="487" spans="1:12" ht="22" customHeight="1" x14ac:dyDescent="0.35">
      <c r="A487" s="1">
        <v>2024</v>
      </c>
      <c r="B487" s="1" t="s">
        <v>60</v>
      </c>
      <c r="C487" s="7" t="s">
        <v>61</v>
      </c>
      <c r="D487" s="1" t="s">
        <v>126</v>
      </c>
      <c r="E487" s="9">
        <v>0</v>
      </c>
      <c r="F487" s="9">
        <v>0</v>
      </c>
      <c r="G487" s="11">
        <v>0</v>
      </c>
      <c r="H487" s="9">
        <v>0</v>
      </c>
      <c r="I487" s="9">
        <v>0</v>
      </c>
      <c r="J487" s="11">
        <v>0</v>
      </c>
      <c r="K487" s="1" t="s">
        <v>115</v>
      </c>
      <c r="L487" s="1">
        <v>2673</v>
      </c>
    </row>
    <row r="488" spans="1:12" ht="22" customHeight="1" x14ac:dyDescent="0.35">
      <c r="A488" s="5">
        <v>2024</v>
      </c>
      <c r="B488" s="5" t="s">
        <v>60</v>
      </c>
      <c r="C488" s="6" t="s">
        <v>61</v>
      </c>
      <c r="D488" s="5" t="s">
        <v>127</v>
      </c>
      <c r="E488" s="8">
        <v>0</v>
      </c>
      <c r="F488" s="8">
        <v>0</v>
      </c>
      <c r="G488" s="10">
        <v>0</v>
      </c>
      <c r="H488" s="8">
        <v>0</v>
      </c>
      <c r="I488" s="8">
        <v>0</v>
      </c>
      <c r="J488" s="10">
        <v>0</v>
      </c>
      <c r="K488" s="5" t="s">
        <v>115</v>
      </c>
      <c r="L488" s="5">
        <v>2673</v>
      </c>
    </row>
    <row r="489" spans="1:12" ht="22" customHeight="1" x14ac:dyDescent="0.35">
      <c r="A489" s="1">
        <v>2024</v>
      </c>
      <c r="B489" s="1" t="s">
        <v>60</v>
      </c>
      <c r="C489" s="7" t="s">
        <v>61</v>
      </c>
      <c r="D489" s="1" t="s">
        <v>128</v>
      </c>
      <c r="E489" s="9">
        <v>0</v>
      </c>
      <c r="F489" s="9">
        <v>0</v>
      </c>
      <c r="G489" s="11">
        <v>0</v>
      </c>
      <c r="H489" s="9">
        <v>0</v>
      </c>
      <c r="I489" s="9">
        <v>0</v>
      </c>
      <c r="J489" s="11">
        <v>0</v>
      </c>
      <c r="K489" s="1" t="s">
        <v>115</v>
      </c>
      <c r="L489" s="1">
        <v>2673</v>
      </c>
    </row>
    <row r="490" spans="1:12" ht="22" customHeight="1" x14ac:dyDescent="0.35">
      <c r="A490" s="5">
        <v>2024</v>
      </c>
      <c r="B490" s="5" t="s">
        <v>62</v>
      </c>
      <c r="C490" s="6" t="s">
        <v>63</v>
      </c>
      <c r="D490" s="5" t="s">
        <v>125</v>
      </c>
      <c r="E490" s="8">
        <v>920</v>
      </c>
      <c r="F490" s="8">
        <v>920</v>
      </c>
      <c r="G490" s="10">
        <v>312353818</v>
      </c>
      <c r="H490" s="8">
        <v>920</v>
      </c>
      <c r="I490" s="8">
        <v>920</v>
      </c>
      <c r="J490" s="10">
        <v>312353818</v>
      </c>
      <c r="K490" s="5" t="s">
        <v>115</v>
      </c>
      <c r="L490" s="5">
        <v>2674</v>
      </c>
    </row>
    <row r="491" spans="1:12" ht="22" customHeight="1" x14ac:dyDescent="0.35">
      <c r="A491" s="1">
        <v>2024</v>
      </c>
      <c r="B491" s="1" t="s">
        <v>62</v>
      </c>
      <c r="C491" s="7" t="s">
        <v>63</v>
      </c>
      <c r="D491" s="1" t="s">
        <v>126</v>
      </c>
      <c r="E491" s="9">
        <v>1</v>
      </c>
      <c r="F491" s="9">
        <v>2</v>
      </c>
      <c r="G491" s="11">
        <v>586000</v>
      </c>
      <c r="H491" s="9">
        <v>2</v>
      </c>
      <c r="I491" s="9">
        <v>1</v>
      </c>
      <c r="J491" s="11">
        <v>586000</v>
      </c>
      <c r="K491" s="1" t="s">
        <v>115</v>
      </c>
      <c r="L491" s="1">
        <v>2674</v>
      </c>
    </row>
    <row r="492" spans="1:12" ht="22" customHeight="1" x14ac:dyDescent="0.35">
      <c r="A492" s="5">
        <v>2024</v>
      </c>
      <c r="B492" s="5" t="s">
        <v>62</v>
      </c>
      <c r="C492" s="6" t="s">
        <v>63</v>
      </c>
      <c r="D492" s="5" t="s">
        <v>127</v>
      </c>
      <c r="E492" s="8">
        <v>10</v>
      </c>
      <c r="F492" s="8">
        <v>38</v>
      </c>
      <c r="G492" s="10">
        <v>9432788</v>
      </c>
      <c r="H492" s="8">
        <v>38</v>
      </c>
      <c r="I492" s="8">
        <v>10</v>
      </c>
      <c r="J492" s="10">
        <v>9432788</v>
      </c>
      <c r="K492" s="5" t="s">
        <v>115</v>
      </c>
      <c r="L492" s="5">
        <v>2674</v>
      </c>
    </row>
    <row r="493" spans="1:12" ht="22" customHeight="1" x14ac:dyDescent="0.35">
      <c r="A493" s="1">
        <v>2024</v>
      </c>
      <c r="B493" s="1" t="s">
        <v>62</v>
      </c>
      <c r="C493" s="7" t="s">
        <v>63</v>
      </c>
      <c r="D493" s="1" t="s">
        <v>128</v>
      </c>
      <c r="E493" s="9">
        <v>29</v>
      </c>
      <c r="F493" s="9">
        <v>508</v>
      </c>
      <c r="G493" s="11">
        <v>100906556</v>
      </c>
      <c r="H493" s="9">
        <v>508</v>
      </c>
      <c r="I493" s="9">
        <v>29</v>
      </c>
      <c r="J493" s="11">
        <v>100906556</v>
      </c>
      <c r="K493" s="1" t="s">
        <v>115</v>
      </c>
      <c r="L493" s="1">
        <v>2674</v>
      </c>
    </row>
    <row r="494" spans="1:12" ht="22" customHeight="1" x14ac:dyDescent="0.35">
      <c r="A494" s="5">
        <v>2024</v>
      </c>
      <c r="B494" s="5" t="s">
        <v>64</v>
      </c>
      <c r="C494" s="6" t="s">
        <v>65</v>
      </c>
      <c r="D494" s="5" t="s">
        <v>125</v>
      </c>
      <c r="E494" s="8">
        <v>123</v>
      </c>
      <c r="F494" s="8">
        <v>123</v>
      </c>
      <c r="G494" s="10">
        <v>41080142</v>
      </c>
      <c r="H494" s="8">
        <v>70</v>
      </c>
      <c r="I494" s="8">
        <v>70</v>
      </c>
      <c r="J494" s="10">
        <v>29617661</v>
      </c>
      <c r="K494" s="5" t="s">
        <v>115</v>
      </c>
      <c r="L494" s="5">
        <v>2675</v>
      </c>
    </row>
    <row r="495" spans="1:12" ht="22" customHeight="1" x14ac:dyDescent="0.35">
      <c r="A495" s="1">
        <v>2024</v>
      </c>
      <c r="B495" s="1" t="s">
        <v>64</v>
      </c>
      <c r="C495" s="7" t="s">
        <v>65</v>
      </c>
      <c r="D495" s="1" t="s">
        <v>126</v>
      </c>
      <c r="E495" s="9">
        <v>0</v>
      </c>
      <c r="F495" s="9">
        <v>0</v>
      </c>
      <c r="G495" s="11">
        <v>0</v>
      </c>
      <c r="H495" s="9">
        <v>0</v>
      </c>
      <c r="I495" s="9">
        <v>0</v>
      </c>
      <c r="J495" s="11">
        <v>0</v>
      </c>
      <c r="K495" s="1" t="s">
        <v>115</v>
      </c>
      <c r="L495" s="1">
        <v>2675</v>
      </c>
    </row>
    <row r="496" spans="1:12" ht="22" customHeight="1" x14ac:dyDescent="0.35">
      <c r="A496" s="5">
        <v>2024</v>
      </c>
      <c r="B496" s="5" t="s">
        <v>64</v>
      </c>
      <c r="C496" s="6" t="s">
        <v>65</v>
      </c>
      <c r="D496" s="5" t="s">
        <v>127</v>
      </c>
      <c r="E496" s="8">
        <v>0</v>
      </c>
      <c r="F496" s="8">
        <v>0</v>
      </c>
      <c r="G496" s="10">
        <v>0</v>
      </c>
      <c r="H496" s="8">
        <v>0</v>
      </c>
      <c r="I496" s="8">
        <v>0</v>
      </c>
      <c r="J496" s="10">
        <v>0</v>
      </c>
      <c r="K496" s="5" t="s">
        <v>115</v>
      </c>
      <c r="L496" s="5">
        <v>2675</v>
      </c>
    </row>
    <row r="497" spans="1:12" ht="22" customHeight="1" x14ac:dyDescent="0.35">
      <c r="A497" s="1">
        <v>2024</v>
      </c>
      <c r="B497" s="1" t="s">
        <v>64</v>
      </c>
      <c r="C497" s="7" t="s">
        <v>65</v>
      </c>
      <c r="D497" s="1" t="s">
        <v>128</v>
      </c>
      <c r="E497" s="9">
        <v>0</v>
      </c>
      <c r="F497" s="9">
        <v>0</v>
      </c>
      <c r="G497" s="11">
        <v>0</v>
      </c>
      <c r="H497" s="9">
        <v>0</v>
      </c>
      <c r="I497" s="9">
        <v>0</v>
      </c>
      <c r="J497" s="11">
        <v>0</v>
      </c>
      <c r="K497" s="1" t="s">
        <v>115</v>
      </c>
      <c r="L497" s="1">
        <v>2675</v>
      </c>
    </row>
    <row r="498" spans="1:12" ht="22" customHeight="1" x14ac:dyDescent="0.35">
      <c r="A498" s="5">
        <v>2024</v>
      </c>
      <c r="B498" s="5" t="s">
        <v>66</v>
      </c>
      <c r="C498" s="6" t="s">
        <v>67</v>
      </c>
      <c r="D498" s="5" t="s">
        <v>125</v>
      </c>
      <c r="E498" s="8">
        <v>55</v>
      </c>
      <c r="F498" s="8">
        <v>55</v>
      </c>
      <c r="G498" s="10">
        <v>6092325</v>
      </c>
      <c r="H498" s="8">
        <v>55</v>
      </c>
      <c r="I498" s="8">
        <v>55</v>
      </c>
      <c r="J498" s="10">
        <v>6092325</v>
      </c>
      <c r="K498" s="5" t="s">
        <v>115</v>
      </c>
      <c r="L498" s="5">
        <v>2676</v>
      </c>
    </row>
    <row r="499" spans="1:12" ht="22" customHeight="1" x14ac:dyDescent="0.35">
      <c r="A499" s="1">
        <v>2024</v>
      </c>
      <c r="B499" s="1" t="s">
        <v>66</v>
      </c>
      <c r="C499" s="7" t="s">
        <v>67</v>
      </c>
      <c r="D499" s="1" t="s">
        <v>126</v>
      </c>
      <c r="E499" s="9">
        <v>0</v>
      </c>
      <c r="F499" s="9">
        <v>0</v>
      </c>
      <c r="G499" s="11">
        <v>0</v>
      </c>
      <c r="H499" s="9">
        <v>0</v>
      </c>
      <c r="I499" s="9">
        <v>0</v>
      </c>
      <c r="J499" s="11">
        <v>0</v>
      </c>
      <c r="K499" s="1" t="s">
        <v>115</v>
      </c>
      <c r="L499" s="1">
        <v>2676</v>
      </c>
    </row>
    <row r="500" spans="1:12" ht="22" customHeight="1" x14ac:dyDescent="0.35">
      <c r="A500" s="5">
        <v>2024</v>
      </c>
      <c r="B500" s="5" t="s">
        <v>66</v>
      </c>
      <c r="C500" s="6" t="s">
        <v>67</v>
      </c>
      <c r="D500" s="5" t="s">
        <v>127</v>
      </c>
      <c r="E500" s="8">
        <v>0</v>
      </c>
      <c r="F500" s="8">
        <v>0</v>
      </c>
      <c r="G500" s="10">
        <v>0</v>
      </c>
      <c r="H500" s="8">
        <v>0</v>
      </c>
      <c r="I500" s="8">
        <v>0</v>
      </c>
      <c r="J500" s="10">
        <v>0</v>
      </c>
      <c r="K500" s="5" t="s">
        <v>115</v>
      </c>
      <c r="L500" s="5">
        <v>2676</v>
      </c>
    </row>
    <row r="501" spans="1:12" ht="22" customHeight="1" x14ac:dyDescent="0.35">
      <c r="A501" s="1">
        <v>2024</v>
      </c>
      <c r="B501" s="1" t="s">
        <v>66</v>
      </c>
      <c r="C501" s="7" t="s">
        <v>67</v>
      </c>
      <c r="D501" s="1" t="s">
        <v>128</v>
      </c>
      <c r="E501" s="9">
        <v>0</v>
      </c>
      <c r="F501" s="9">
        <v>0</v>
      </c>
      <c r="G501" s="11">
        <v>0</v>
      </c>
      <c r="H501" s="9">
        <v>0</v>
      </c>
      <c r="I501" s="9">
        <v>0</v>
      </c>
      <c r="J501" s="11">
        <v>0</v>
      </c>
      <c r="K501" s="1" t="s">
        <v>115</v>
      </c>
      <c r="L501" s="1">
        <v>2676</v>
      </c>
    </row>
    <row r="502" spans="1:12" ht="22" customHeight="1" x14ac:dyDescent="0.35">
      <c r="A502" s="5">
        <v>2024</v>
      </c>
      <c r="B502" s="5" t="s">
        <v>68</v>
      </c>
      <c r="C502" s="6" t="s">
        <v>69</v>
      </c>
      <c r="D502" s="5" t="s">
        <v>125</v>
      </c>
      <c r="E502" s="8">
        <v>57</v>
      </c>
      <c r="F502" s="8">
        <v>57</v>
      </c>
      <c r="G502" s="10">
        <v>17217025</v>
      </c>
      <c r="H502" s="8">
        <v>57</v>
      </c>
      <c r="I502" s="8">
        <v>57</v>
      </c>
      <c r="J502" s="10">
        <v>17217025</v>
      </c>
      <c r="K502" s="5" t="s">
        <v>115</v>
      </c>
      <c r="L502" s="5">
        <v>2677</v>
      </c>
    </row>
    <row r="503" spans="1:12" ht="22" customHeight="1" x14ac:dyDescent="0.35">
      <c r="A503" s="1">
        <v>2024</v>
      </c>
      <c r="B503" s="1" t="s">
        <v>68</v>
      </c>
      <c r="C503" s="7" t="s">
        <v>69</v>
      </c>
      <c r="D503" s="1" t="s">
        <v>126</v>
      </c>
      <c r="E503" s="9">
        <v>0</v>
      </c>
      <c r="F503" s="9">
        <v>0</v>
      </c>
      <c r="G503" s="11">
        <v>0</v>
      </c>
      <c r="H503" s="9">
        <v>0</v>
      </c>
      <c r="I503" s="9">
        <v>0</v>
      </c>
      <c r="J503" s="11">
        <v>0</v>
      </c>
      <c r="K503" s="1" t="s">
        <v>115</v>
      </c>
      <c r="L503" s="1">
        <v>2677</v>
      </c>
    </row>
    <row r="504" spans="1:12" ht="22" customHeight="1" x14ac:dyDescent="0.35">
      <c r="A504" s="5">
        <v>2024</v>
      </c>
      <c r="B504" s="5" t="s">
        <v>68</v>
      </c>
      <c r="C504" s="6" t="s">
        <v>69</v>
      </c>
      <c r="D504" s="5" t="s">
        <v>127</v>
      </c>
      <c r="E504" s="8">
        <v>0</v>
      </c>
      <c r="F504" s="8">
        <v>0</v>
      </c>
      <c r="G504" s="10">
        <v>0</v>
      </c>
      <c r="H504" s="8">
        <v>0</v>
      </c>
      <c r="I504" s="8">
        <v>0</v>
      </c>
      <c r="J504" s="10">
        <v>0</v>
      </c>
      <c r="K504" s="5" t="s">
        <v>115</v>
      </c>
      <c r="L504" s="5">
        <v>2677</v>
      </c>
    </row>
    <row r="505" spans="1:12" ht="22" customHeight="1" x14ac:dyDescent="0.35">
      <c r="A505" s="1">
        <v>2024</v>
      </c>
      <c r="B505" s="1" t="s">
        <v>68</v>
      </c>
      <c r="C505" s="7" t="s">
        <v>69</v>
      </c>
      <c r="D505" s="1" t="s">
        <v>128</v>
      </c>
      <c r="E505" s="9">
        <v>0</v>
      </c>
      <c r="F505" s="9">
        <v>0</v>
      </c>
      <c r="G505" s="11">
        <v>0</v>
      </c>
      <c r="H505" s="9">
        <v>0</v>
      </c>
      <c r="I505" s="9">
        <v>0</v>
      </c>
      <c r="J505" s="11">
        <v>0</v>
      </c>
      <c r="K505" s="1" t="s">
        <v>115</v>
      </c>
      <c r="L505" s="1">
        <v>2677</v>
      </c>
    </row>
    <row r="506" spans="1:12" ht="22" customHeight="1" x14ac:dyDescent="0.35">
      <c r="A506" s="5">
        <v>2024</v>
      </c>
      <c r="B506" s="5" t="s">
        <v>70</v>
      </c>
      <c r="C506" s="6" t="s">
        <v>71</v>
      </c>
      <c r="D506" s="5" t="s">
        <v>125</v>
      </c>
      <c r="E506" s="8">
        <v>120</v>
      </c>
      <c r="F506" s="8">
        <v>120</v>
      </c>
      <c r="G506" s="10">
        <v>34810024</v>
      </c>
      <c r="H506" s="8">
        <v>120</v>
      </c>
      <c r="I506" s="8">
        <v>120</v>
      </c>
      <c r="J506" s="10">
        <v>34810024</v>
      </c>
      <c r="K506" s="5" t="s">
        <v>115</v>
      </c>
      <c r="L506" s="5">
        <v>2678</v>
      </c>
    </row>
    <row r="507" spans="1:12" ht="22" customHeight="1" x14ac:dyDescent="0.35">
      <c r="A507" s="1">
        <v>2024</v>
      </c>
      <c r="B507" s="1" t="s">
        <v>70</v>
      </c>
      <c r="C507" s="7" t="s">
        <v>71</v>
      </c>
      <c r="D507" s="1" t="s">
        <v>126</v>
      </c>
      <c r="E507" s="9">
        <v>9</v>
      </c>
      <c r="F507" s="9">
        <v>18</v>
      </c>
      <c r="G507" s="11">
        <v>2708132</v>
      </c>
      <c r="H507" s="9">
        <v>18</v>
      </c>
      <c r="I507" s="9">
        <v>9</v>
      </c>
      <c r="J507" s="11">
        <v>2708132</v>
      </c>
      <c r="K507" s="1" t="s">
        <v>115</v>
      </c>
      <c r="L507" s="1">
        <v>2678</v>
      </c>
    </row>
    <row r="508" spans="1:12" ht="22" customHeight="1" x14ac:dyDescent="0.35">
      <c r="A508" s="5">
        <v>2024</v>
      </c>
      <c r="B508" s="5" t="s">
        <v>70</v>
      </c>
      <c r="C508" s="6" t="s">
        <v>71</v>
      </c>
      <c r="D508" s="5" t="s">
        <v>127</v>
      </c>
      <c r="E508" s="8">
        <v>0</v>
      </c>
      <c r="F508" s="8">
        <v>0</v>
      </c>
      <c r="G508" s="10">
        <v>0</v>
      </c>
      <c r="H508" s="8">
        <v>0</v>
      </c>
      <c r="I508" s="8">
        <v>0</v>
      </c>
      <c r="J508" s="10">
        <v>0</v>
      </c>
      <c r="K508" s="5" t="s">
        <v>115</v>
      </c>
      <c r="L508" s="5">
        <v>2678</v>
      </c>
    </row>
    <row r="509" spans="1:12" ht="22" customHeight="1" x14ac:dyDescent="0.35">
      <c r="A509" s="1">
        <v>2024</v>
      </c>
      <c r="B509" s="1" t="s">
        <v>70</v>
      </c>
      <c r="C509" s="7" t="s">
        <v>71</v>
      </c>
      <c r="D509" s="1" t="s">
        <v>128</v>
      </c>
      <c r="E509" s="9">
        <v>6</v>
      </c>
      <c r="F509" s="9">
        <v>100</v>
      </c>
      <c r="G509" s="11">
        <v>4266330</v>
      </c>
      <c r="H509" s="9">
        <v>100</v>
      </c>
      <c r="I509" s="9">
        <v>6</v>
      </c>
      <c r="J509" s="11">
        <v>4266330</v>
      </c>
      <c r="K509" s="1" t="s">
        <v>115</v>
      </c>
      <c r="L509" s="1">
        <v>2678</v>
      </c>
    </row>
    <row r="510" spans="1:12" ht="22" customHeight="1" x14ac:dyDescent="0.35">
      <c r="A510" s="5">
        <v>2024</v>
      </c>
      <c r="B510" s="5" t="s">
        <v>72</v>
      </c>
      <c r="C510" s="6" t="s">
        <v>73</v>
      </c>
      <c r="D510" s="5" t="s">
        <v>125</v>
      </c>
      <c r="E510" s="8">
        <v>655</v>
      </c>
      <c r="F510" s="8">
        <v>655</v>
      </c>
      <c r="G510" s="10">
        <v>202538802</v>
      </c>
      <c r="H510" s="8">
        <v>655</v>
      </c>
      <c r="I510" s="8">
        <v>655</v>
      </c>
      <c r="J510" s="10">
        <v>202538802</v>
      </c>
      <c r="K510" s="5" t="s">
        <v>115</v>
      </c>
      <c r="L510" s="5">
        <v>2679</v>
      </c>
    </row>
    <row r="511" spans="1:12" ht="22" customHeight="1" x14ac:dyDescent="0.35">
      <c r="A511" s="1">
        <v>2024</v>
      </c>
      <c r="B511" s="1" t="s">
        <v>72</v>
      </c>
      <c r="C511" s="7" t="s">
        <v>73</v>
      </c>
      <c r="D511" s="1" t="s">
        <v>126</v>
      </c>
      <c r="E511" s="9">
        <v>0</v>
      </c>
      <c r="F511" s="9">
        <v>0</v>
      </c>
      <c r="G511" s="11">
        <v>0</v>
      </c>
      <c r="H511" s="9">
        <v>0</v>
      </c>
      <c r="I511" s="9">
        <v>0</v>
      </c>
      <c r="J511" s="11">
        <v>0</v>
      </c>
      <c r="K511" s="1" t="s">
        <v>115</v>
      </c>
      <c r="L511" s="1">
        <v>2679</v>
      </c>
    </row>
    <row r="512" spans="1:12" ht="22" customHeight="1" x14ac:dyDescent="0.35">
      <c r="A512" s="5">
        <v>2024</v>
      </c>
      <c r="B512" s="5" t="s">
        <v>72</v>
      </c>
      <c r="C512" s="6" t="s">
        <v>73</v>
      </c>
      <c r="D512" s="5" t="s">
        <v>127</v>
      </c>
      <c r="E512" s="8">
        <v>0</v>
      </c>
      <c r="F512" s="8">
        <v>0</v>
      </c>
      <c r="G512" s="10">
        <v>0</v>
      </c>
      <c r="H512" s="8">
        <v>0</v>
      </c>
      <c r="I512" s="8">
        <v>0</v>
      </c>
      <c r="J512" s="10">
        <v>0</v>
      </c>
      <c r="K512" s="5" t="s">
        <v>115</v>
      </c>
      <c r="L512" s="5">
        <v>2679</v>
      </c>
    </row>
    <row r="513" spans="1:12" ht="22" customHeight="1" x14ac:dyDescent="0.35">
      <c r="A513" s="1">
        <v>2024</v>
      </c>
      <c r="B513" s="1" t="s">
        <v>72</v>
      </c>
      <c r="C513" s="7" t="s">
        <v>73</v>
      </c>
      <c r="D513" s="1" t="s">
        <v>128</v>
      </c>
      <c r="E513" s="9">
        <v>0</v>
      </c>
      <c r="F513" s="9">
        <v>0</v>
      </c>
      <c r="G513" s="11">
        <v>0</v>
      </c>
      <c r="H513" s="9">
        <v>0</v>
      </c>
      <c r="I513" s="9">
        <v>0</v>
      </c>
      <c r="J513" s="11">
        <v>0</v>
      </c>
      <c r="K513" s="1" t="s">
        <v>115</v>
      </c>
      <c r="L513" s="1">
        <v>2679</v>
      </c>
    </row>
    <row r="514" spans="1:12" ht="22" customHeight="1" x14ac:dyDescent="0.35">
      <c r="A514" s="5">
        <v>2024</v>
      </c>
      <c r="B514" s="5" t="s">
        <v>74</v>
      </c>
      <c r="C514" s="6" t="s">
        <v>75</v>
      </c>
      <c r="D514" s="5" t="s">
        <v>125</v>
      </c>
      <c r="E514" s="8">
        <v>72</v>
      </c>
      <c r="F514" s="8">
        <v>72</v>
      </c>
      <c r="G514" s="10">
        <v>28396331</v>
      </c>
      <c r="H514" s="8">
        <v>72</v>
      </c>
      <c r="I514" s="8">
        <v>72</v>
      </c>
      <c r="J514" s="10">
        <v>28396331</v>
      </c>
      <c r="K514" s="5" t="s">
        <v>115</v>
      </c>
      <c r="L514" s="5">
        <v>2680</v>
      </c>
    </row>
    <row r="515" spans="1:12" ht="22" customHeight="1" x14ac:dyDescent="0.35">
      <c r="A515" s="1">
        <v>2024</v>
      </c>
      <c r="B515" s="1" t="s">
        <v>74</v>
      </c>
      <c r="C515" s="7" t="s">
        <v>75</v>
      </c>
      <c r="D515" s="1" t="s">
        <v>126</v>
      </c>
      <c r="E515" s="9">
        <v>3</v>
      </c>
      <c r="F515" s="9">
        <v>6</v>
      </c>
      <c r="G515" s="11">
        <v>1148512</v>
      </c>
      <c r="H515" s="9">
        <v>6</v>
      </c>
      <c r="I515" s="9">
        <v>3</v>
      </c>
      <c r="J515" s="11">
        <v>1148512</v>
      </c>
      <c r="K515" s="1" t="s">
        <v>115</v>
      </c>
      <c r="L515" s="1">
        <v>2680</v>
      </c>
    </row>
    <row r="516" spans="1:12" ht="22" customHeight="1" x14ac:dyDescent="0.35">
      <c r="A516" s="5">
        <v>2024</v>
      </c>
      <c r="B516" s="5" t="s">
        <v>74</v>
      </c>
      <c r="C516" s="6" t="s">
        <v>75</v>
      </c>
      <c r="D516" s="5" t="s">
        <v>127</v>
      </c>
      <c r="E516" s="8">
        <v>7</v>
      </c>
      <c r="F516" s="8">
        <v>22</v>
      </c>
      <c r="G516" s="10">
        <v>4424877</v>
      </c>
      <c r="H516" s="8">
        <v>22</v>
      </c>
      <c r="I516" s="8">
        <v>7</v>
      </c>
      <c r="J516" s="10">
        <v>4424877</v>
      </c>
      <c r="K516" s="5" t="s">
        <v>115</v>
      </c>
      <c r="L516" s="5">
        <v>2680</v>
      </c>
    </row>
    <row r="517" spans="1:12" ht="22" customHeight="1" x14ac:dyDescent="0.35">
      <c r="A517" s="1">
        <v>2024</v>
      </c>
      <c r="B517" s="1" t="s">
        <v>74</v>
      </c>
      <c r="C517" s="7" t="s">
        <v>75</v>
      </c>
      <c r="D517" s="1" t="s">
        <v>128</v>
      </c>
      <c r="E517" s="9">
        <v>1</v>
      </c>
      <c r="F517" s="9">
        <v>7</v>
      </c>
      <c r="G517" s="11">
        <v>1467905</v>
      </c>
      <c r="H517" s="9">
        <v>7</v>
      </c>
      <c r="I517" s="9">
        <v>1</v>
      </c>
      <c r="J517" s="11">
        <v>1467905</v>
      </c>
      <c r="K517" s="1" t="s">
        <v>115</v>
      </c>
      <c r="L517" s="1">
        <v>2680</v>
      </c>
    </row>
    <row r="518" spans="1:12" ht="22" customHeight="1" x14ac:dyDescent="0.35">
      <c r="A518" s="5">
        <v>2024</v>
      </c>
      <c r="B518" s="5" t="s">
        <v>76</v>
      </c>
      <c r="C518" s="6" t="s">
        <v>77</v>
      </c>
      <c r="D518" s="5" t="s">
        <v>125</v>
      </c>
      <c r="E518" s="8">
        <v>196</v>
      </c>
      <c r="F518" s="8">
        <v>196</v>
      </c>
      <c r="G518" s="10">
        <v>69581717</v>
      </c>
      <c r="H518" s="8">
        <v>165</v>
      </c>
      <c r="I518" s="8">
        <v>165</v>
      </c>
      <c r="J518" s="10">
        <v>62438003</v>
      </c>
      <c r="K518" s="5" t="s">
        <v>115</v>
      </c>
      <c r="L518" s="5">
        <v>2681</v>
      </c>
    </row>
    <row r="519" spans="1:12" ht="22" customHeight="1" x14ac:dyDescent="0.35">
      <c r="A519" s="1">
        <v>2024</v>
      </c>
      <c r="B519" s="1" t="s">
        <v>76</v>
      </c>
      <c r="C519" s="7" t="s">
        <v>77</v>
      </c>
      <c r="D519" s="1" t="s">
        <v>126</v>
      </c>
      <c r="E519" s="9">
        <v>1</v>
      </c>
      <c r="F519" s="9">
        <v>2</v>
      </c>
      <c r="G519" s="11">
        <v>549000</v>
      </c>
      <c r="H519" s="9">
        <v>2</v>
      </c>
      <c r="I519" s="9">
        <v>1</v>
      </c>
      <c r="J519" s="11">
        <v>549000</v>
      </c>
      <c r="K519" s="1" t="s">
        <v>115</v>
      </c>
      <c r="L519" s="1">
        <v>2681</v>
      </c>
    </row>
    <row r="520" spans="1:12" ht="22" customHeight="1" x14ac:dyDescent="0.35">
      <c r="A520" s="5">
        <v>2024</v>
      </c>
      <c r="B520" s="5" t="s">
        <v>76</v>
      </c>
      <c r="C520" s="6" t="s">
        <v>77</v>
      </c>
      <c r="D520" s="5" t="s">
        <v>127</v>
      </c>
      <c r="E520" s="8">
        <v>1</v>
      </c>
      <c r="F520" s="8">
        <v>4</v>
      </c>
      <c r="G520" s="10">
        <v>875000</v>
      </c>
      <c r="H520" s="8">
        <v>4</v>
      </c>
      <c r="I520" s="8">
        <v>1</v>
      </c>
      <c r="J520" s="10">
        <v>875000</v>
      </c>
      <c r="K520" s="5" t="s">
        <v>115</v>
      </c>
      <c r="L520" s="5">
        <v>2681</v>
      </c>
    </row>
    <row r="521" spans="1:12" ht="22" customHeight="1" x14ac:dyDescent="0.35">
      <c r="A521" s="1">
        <v>2024</v>
      </c>
      <c r="B521" s="1" t="s">
        <v>76</v>
      </c>
      <c r="C521" s="7" t="s">
        <v>77</v>
      </c>
      <c r="D521" s="1" t="s">
        <v>128</v>
      </c>
      <c r="E521" s="9">
        <v>0</v>
      </c>
      <c r="F521" s="9">
        <v>0</v>
      </c>
      <c r="G521" s="11">
        <v>0</v>
      </c>
      <c r="H521" s="9">
        <v>0</v>
      </c>
      <c r="I521" s="9">
        <v>0</v>
      </c>
      <c r="J521" s="11">
        <v>0</v>
      </c>
      <c r="K521" s="1" t="s">
        <v>115</v>
      </c>
      <c r="L521" s="1">
        <v>2681</v>
      </c>
    </row>
    <row r="522" spans="1:12" ht="22" customHeight="1" x14ac:dyDescent="0.35">
      <c r="A522" s="5">
        <v>2024</v>
      </c>
      <c r="B522" s="5" t="s">
        <v>78</v>
      </c>
      <c r="C522" s="6" t="s">
        <v>79</v>
      </c>
      <c r="D522" s="5" t="s">
        <v>125</v>
      </c>
      <c r="E522" s="8">
        <v>76</v>
      </c>
      <c r="F522" s="8">
        <v>76</v>
      </c>
      <c r="G522" s="10">
        <v>16431077</v>
      </c>
      <c r="H522" s="8">
        <v>74</v>
      </c>
      <c r="I522" s="8">
        <v>74</v>
      </c>
      <c r="J522" s="10">
        <v>15837409</v>
      </c>
      <c r="K522" s="5" t="s">
        <v>115</v>
      </c>
      <c r="L522" s="5">
        <v>2682</v>
      </c>
    </row>
    <row r="523" spans="1:12" ht="22" customHeight="1" x14ac:dyDescent="0.35">
      <c r="A523" s="1">
        <v>2024</v>
      </c>
      <c r="B523" s="1" t="s">
        <v>78</v>
      </c>
      <c r="C523" s="7" t="s">
        <v>79</v>
      </c>
      <c r="D523" s="1" t="s">
        <v>126</v>
      </c>
      <c r="E523" s="9">
        <v>1</v>
      </c>
      <c r="F523" s="9">
        <v>2</v>
      </c>
      <c r="G523" s="11">
        <v>254000</v>
      </c>
      <c r="H523" s="9">
        <v>2</v>
      </c>
      <c r="I523" s="9">
        <v>1</v>
      </c>
      <c r="J523" s="11">
        <v>254000</v>
      </c>
      <c r="K523" s="1" t="s">
        <v>115</v>
      </c>
      <c r="L523" s="1">
        <v>2682</v>
      </c>
    </row>
    <row r="524" spans="1:12" ht="22" customHeight="1" x14ac:dyDescent="0.35">
      <c r="A524" s="5">
        <v>2024</v>
      </c>
      <c r="B524" s="5" t="s">
        <v>78</v>
      </c>
      <c r="C524" s="6" t="s">
        <v>79</v>
      </c>
      <c r="D524" s="5" t="s">
        <v>127</v>
      </c>
      <c r="E524" s="8">
        <v>4</v>
      </c>
      <c r="F524" s="8">
        <v>15</v>
      </c>
      <c r="G524" s="10">
        <v>1752435</v>
      </c>
      <c r="H524" s="8">
        <v>15</v>
      </c>
      <c r="I524" s="8">
        <v>4</v>
      </c>
      <c r="J524" s="10">
        <v>1752435</v>
      </c>
      <c r="K524" s="5" t="s">
        <v>115</v>
      </c>
      <c r="L524" s="5">
        <v>2682</v>
      </c>
    </row>
    <row r="525" spans="1:12" ht="22" customHeight="1" x14ac:dyDescent="0.35">
      <c r="A525" s="1">
        <v>2024</v>
      </c>
      <c r="B525" s="1" t="s">
        <v>78</v>
      </c>
      <c r="C525" s="7" t="s">
        <v>79</v>
      </c>
      <c r="D525" s="1" t="s">
        <v>128</v>
      </c>
      <c r="E525" s="9">
        <v>0</v>
      </c>
      <c r="F525" s="9">
        <v>0</v>
      </c>
      <c r="G525" s="11">
        <v>0</v>
      </c>
      <c r="H525" s="9">
        <v>0</v>
      </c>
      <c r="I525" s="9">
        <v>0</v>
      </c>
      <c r="J525" s="11">
        <v>0</v>
      </c>
      <c r="K525" s="1" t="s">
        <v>115</v>
      </c>
      <c r="L525" s="1">
        <v>2682</v>
      </c>
    </row>
    <row r="526" spans="1:12" ht="22" customHeight="1" x14ac:dyDescent="0.35">
      <c r="A526" s="5">
        <v>2024</v>
      </c>
      <c r="B526" s="5" t="s">
        <v>80</v>
      </c>
      <c r="C526" s="6" t="s">
        <v>81</v>
      </c>
      <c r="D526" s="5" t="s">
        <v>125</v>
      </c>
      <c r="E526" s="8">
        <v>132</v>
      </c>
      <c r="F526" s="8">
        <v>132</v>
      </c>
      <c r="G526" s="10">
        <v>60565445</v>
      </c>
      <c r="H526" s="8">
        <v>132</v>
      </c>
      <c r="I526" s="8">
        <v>132</v>
      </c>
      <c r="J526" s="10">
        <v>60565445</v>
      </c>
      <c r="K526" s="5" t="s">
        <v>115</v>
      </c>
      <c r="L526" s="5">
        <v>2683</v>
      </c>
    </row>
    <row r="527" spans="1:12" ht="22" customHeight="1" x14ac:dyDescent="0.35">
      <c r="A527" s="1">
        <v>2024</v>
      </c>
      <c r="B527" s="1" t="s">
        <v>80</v>
      </c>
      <c r="C527" s="7" t="s">
        <v>81</v>
      </c>
      <c r="D527" s="1" t="s">
        <v>126</v>
      </c>
      <c r="E527" s="9">
        <v>8</v>
      </c>
      <c r="F527" s="9">
        <v>16</v>
      </c>
      <c r="G527" s="11">
        <v>3084473</v>
      </c>
      <c r="H527" s="9">
        <v>16</v>
      </c>
      <c r="I527" s="9">
        <v>8</v>
      </c>
      <c r="J527" s="11">
        <v>3084473</v>
      </c>
      <c r="K527" s="1" t="s">
        <v>115</v>
      </c>
      <c r="L527" s="1">
        <v>2683</v>
      </c>
    </row>
    <row r="528" spans="1:12" ht="22" customHeight="1" x14ac:dyDescent="0.35">
      <c r="A528" s="5">
        <v>2024</v>
      </c>
      <c r="B528" s="5" t="s">
        <v>80</v>
      </c>
      <c r="C528" s="6" t="s">
        <v>81</v>
      </c>
      <c r="D528" s="5" t="s">
        <v>127</v>
      </c>
      <c r="E528" s="8">
        <v>5</v>
      </c>
      <c r="F528" s="8">
        <v>19</v>
      </c>
      <c r="G528" s="10">
        <v>3733035</v>
      </c>
      <c r="H528" s="8">
        <v>19</v>
      </c>
      <c r="I528" s="8">
        <v>5</v>
      </c>
      <c r="J528" s="10">
        <v>3733035</v>
      </c>
      <c r="K528" s="5" t="s">
        <v>115</v>
      </c>
      <c r="L528" s="5">
        <v>2683</v>
      </c>
    </row>
    <row r="529" spans="1:12" ht="22" customHeight="1" x14ac:dyDescent="0.35">
      <c r="A529" s="1">
        <v>2024</v>
      </c>
      <c r="B529" s="1" t="s">
        <v>80</v>
      </c>
      <c r="C529" s="7" t="s">
        <v>81</v>
      </c>
      <c r="D529" s="1" t="s">
        <v>128</v>
      </c>
      <c r="E529" s="9">
        <v>4</v>
      </c>
      <c r="F529" s="9">
        <v>29</v>
      </c>
      <c r="G529" s="11">
        <v>4399366</v>
      </c>
      <c r="H529" s="9">
        <v>29</v>
      </c>
      <c r="I529" s="9">
        <v>4</v>
      </c>
      <c r="J529" s="11">
        <v>4399366</v>
      </c>
      <c r="K529" s="1" t="s">
        <v>115</v>
      </c>
      <c r="L529" s="1">
        <v>2683</v>
      </c>
    </row>
    <row r="530" spans="1:12" ht="22" customHeight="1" x14ac:dyDescent="0.35">
      <c r="A530" s="5">
        <v>2024</v>
      </c>
      <c r="B530" s="5" t="s">
        <v>82</v>
      </c>
      <c r="C530" s="6" t="s">
        <v>83</v>
      </c>
      <c r="D530" s="5" t="s">
        <v>125</v>
      </c>
      <c r="E530" s="8">
        <v>25</v>
      </c>
      <c r="F530" s="8">
        <v>25</v>
      </c>
      <c r="G530" s="10">
        <v>3847375</v>
      </c>
      <c r="H530" s="8">
        <v>1</v>
      </c>
      <c r="I530" s="8">
        <v>1</v>
      </c>
      <c r="J530" s="10">
        <v>228175</v>
      </c>
      <c r="K530" s="5" t="s">
        <v>115</v>
      </c>
      <c r="L530" s="5">
        <v>2684</v>
      </c>
    </row>
    <row r="531" spans="1:12" ht="22" customHeight="1" x14ac:dyDescent="0.35">
      <c r="A531" s="1">
        <v>2024</v>
      </c>
      <c r="B531" s="1" t="s">
        <v>82</v>
      </c>
      <c r="C531" s="7" t="s">
        <v>83</v>
      </c>
      <c r="D531" s="1" t="s">
        <v>126</v>
      </c>
      <c r="E531" s="9">
        <v>0</v>
      </c>
      <c r="F531" s="9">
        <v>0</v>
      </c>
      <c r="G531" s="11">
        <v>0</v>
      </c>
      <c r="H531" s="9">
        <v>0</v>
      </c>
      <c r="I531" s="9">
        <v>0</v>
      </c>
      <c r="J531" s="11">
        <v>0</v>
      </c>
      <c r="K531" s="1" t="s">
        <v>115</v>
      </c>
      <c r="L531" s="1">
        <v>2684</v>
      </c>
    </row>
    <row r="532" spans="1:12" ht="22" customHeight="1" x14ac:dyDescent="0.35">
      <c r="A532" s="5">
        <v>2024</v>
      </c>
      <c r="B532" s="5" t="s">
        <v>82</v>
      </c>
      <c r="C532" s="6" t="s">
        <v>83</v>
      </c>
      <c r="D532" s="5" t="s">
        <v>127</v>
      </c>
      <c r="E532" s="8">
        <v>0</v>
      </c>
      <c r="F532" s="8">
        <v>0</v>
      </c>
      <c r="G532" s="10">
        <v>0</v>
      </c>
      <c r="H532" s="8">
        <v>0</v>
      </c>
      <c r="I532" s="8">
        <v>0</v>
      </c>
      <c r="J532" s="10">
        <v>0</v>
      </c>
      <c r="K532" s="5" t="s">
        <v>115</v>
      </c>
      <c r="L532" s="5">
        <v>2684</v>
      </c>
    </row>
    <row r="533" spans="1:12" ht="22" customHeight="1" x14ac:dyDescent="0.35">
      <c r="A533" s="1">
        <v>2024</v>
      </c>
      <c r="B533" s="1" t="s">
        <v>82</v>
      </c>
      <c r="C533" s="7" t="s">
        <v>83</v>
      </c>
      <c r="D533" s="1" t="s">
        <v>128</v>
      </c>
      <c r="E533" s="9">
        <v>0</v>
      </c>
      <c r="F533" s="9">
        <v>0</v>
      </c>
      <c r="G533" s="11">
        <v>0</v>
      </c>
      <c r="H533" s="9">
        <v>0</v>
      </c>
      <c r="I533" s="9">
        <v>0</v>
      </c>
      <c r="J533" s="11">
        <v>0</v>
      </c>
      <c r="K533" s="1" t="s">
        <v>115</v>
      </c>
      <c r="L533" s="1">
        <v>2684</v>
      </c>
    </row>
    <row r="534" spans="1:12" ht="22" customHeight="1" x14ac:dyDescent="0.35">
      <c r="A534" s="5">
        <v>2024</v>
      </c>
      <c r="B534" s="5" t="s">
        <v>84</v>
      </c>
      <c r="C534" s="6" t="s">
        <v>85</v>
      </c>
      <c r="D534" s="5" t="s">
        <v>125</v>
      </c>
      <c r="E534" s="8">
        <v>72</v>
      </c>
      <c r="F534" s="8">
        <v>72</v>
      </c>
      <c r="G534" s="10">
        <v>41168316</v>
      </c>
      <c r="H534" s="8">
        <v>29</v>
      </c>
      <c r="I534" s="8">
        <v>29</v>
      </c>
      <c r="J534" s="10">
        <v>25973339</v>
      </c>
      <c r="K534" s="5" t="s">
        <v>115</v>
      </c>
      <c r="L534" s="5">
        <v>2685</v>
      </c>
    </row>
    <row r="535" spans="1:12" ht="22" customHeight="1" x14ac:dyDescent="0.35">
      <c r="A535" s="1">
        <v>2024</v>
      </c>
      <c r="B535" s="1" t="s">
        <v>84</v>
      </c>
      <c r="C535" s="7" t="s">
        <v>85</v>
      </c>
      <c r="D535" s="1" t="s">
        <v>126</v>
      </c>
      <c r="E535" s="9">
        <v>1</v>
      </c>
      <c r="F535" s="9">
        <v>2</v>
      </c>
      <c r="G535" s="11">
        <v>500000</v>
      </c>
      <c r="H535" s="9">
        <v>2</v>
      </c>
      <c r="I535" s="9">
        <v>1</v>
      </c>
      <c r="J535" s="11">
        <v>500000</v>
      </c>
      <c r="K535" s="1" t="s">
        <v>115</v>
      </c>
      <c r="L535" s="1">
        <v>2685</v>
      </c>
    </row>
    <row r="536" spans="1:12" ht="22" customHeight="1" x14ac:dyDescent="0.35">
      <c r="A536" s="5">
        <v>2024</v>
      </c>
      <c r="B536" s="5" t="s">
        <v>84</v>
      </c>
      <c r="C536" s="6" t="s">
        <v>85</v>
      </c>
      <c r="D536" s="5" t="s">
        <v>127</v>
      </c>
      <c r="E536" s="8">
        <v>1</v>
      </c>
      <c r="F536" s="8">
        <v>4</v>
      </c>
      <c r="G536" s="10">
        <v>1200000</v>
      </c>
      <c r="H536" s="8">
        <v>4</v>
      </c>
      <c r="I536" s="8">
        <v>1</v>
      </c>
      <c r="J536" s="10">
        <v>1200000</v>
      </c>
      <c r="K536" s="5" t="s">
        <v>115</v>
      </c>
      <c r="L536" s="5">
        <v>2685</v>
      </c>
    </row>
    <row r="537" spans="1:12" ht="22" customHeight="1" x14ac:dyDescent="0.35">
      <c r="A537" s="1">
        <v>2024</v>
      </c>
      <c r="B537" s="1" t="s">
        <v>84</v>
      </c>
      <c r="C537" s="7" t="s">
        <v>85</v>
      </c>
      <c r="D537" s="1" t="s">
        <v>128</v>
      </c>
      <c r="E537" s="9">
        <v>2</v>
      </c>
      <c r="F537" s="9">
        <v>19</v>
      </c>
      <c r="G537" s="11">
        <v>5250000</v>
      </c>
      <c r="H537" s="9">
        <v>19</v>
      </c>
      <c r="I537" s="9">
        <v>2</v>
      </c>
      <c r="J537" s="11">
        <v>5250000</v>
      </c>
      <c r="K537" s="1" t="s">
        <v>115</v>
      </c>
      <c r="L537" s="1">
        <v>2685</v>
      </c>
    </row>
    <row r="538" spans="1:12" ht="22" customHeight="1" x14ac:dyDescent="0.35">
      <c r="A538" s="5">
        <v>2024</v>
      </c>
      <c r="B538" s="5" t="s">
        <v>86</v>
      </c>
      <c r="C538" s="6" t="s">
        <v>87</v>
      </c>
      <c r="D538" s="5" t="s">
        <v>125</v>
      </c>
      <c r="E538" s="8">
        <v>2848</v>
      </c>
      <c r="F538" s="8">
        <v>2848</v>
      </c>
      <c r="G538" s="10">
        <v>934075043</v>
      </c>
      <c r="H538" s="8">
        <v>2836</v>
      </c>
      <c r="I538" s="8">
        <v>2836</v>
      </c>
      <c r="J538" s="10">
        <v>926993566</v>
      </c>
      <c r="K538" s="5" t="s">
        <v>115</v>
      </c>
      <c r="L538" s="5">
        <v>2686</v>
      </c>
    </row>
    <row r="539" spans="1:12" ht="22" customHeight="1" x14ac:dyDescent="0.35">
      <c r="A539" s="1">
        <v>2024</v>
      </c>
      <c r="B539" s="1" t="s">
        <v>86</v>
      </c>
      <c r="C539" s="7" t="s">
        <v>87</v>
      </c>
      <c r="D539" s="1" t="s">
        <v>126</v>
      </c>
      <c r="E539" s="9">
        <v>15</v>
      </c>
      <c r="F539" s="9">
        <v>30</v>
      </c>
      <c r="G539" s="11">
        <v>5299462</v>
      </c>
      <c r="H539" s="9">
        <v>20</v>
      </c>
      <c r="I539" s="9">
        <v>10</v>
      </c>
      <c r="J539" s="11">
        <v>3326056</v>
      </c>
      <c r="K539" s="1" t="s">
        <v>115</v>
      </c>
      <c r="L539" s="1">
        <v>2686</v>
      </c>
    </row>
    <row r="540" spans="1:12" ht="22" customHeight="1" x14ac:dyDescent="0.35">
      <c r="A540" s="5">
        <v>2024</v>
      </c>
      <c r="B540" s="5" t="s">
        <v>86</v>
      </c>
      <c r="C540" s="6" t="s">
        <v>87</v>
      </c>
      <c r="D540" s="5" t="s">
        <v>127</v>
      </c>
      <c r="E540" s="8">
        <v>27</v>
      </c>
      <c r="F540" s="8">
        <v>93</v>
      </c>
      <c r="G540" s="10">
        <v>26047545</v>
      </c>
      <c r="H540" s="8">
        <v>87</v>
      </c>
      <c r="I540" s="8">
        <v>25</v>
      </c>
      <c r="J540" s="10">
        <v>24845841</v>
      </c>
      <c r="K540" s="5" t="s">
        <v>115</v>
      </c>
      <c r="L540" s="5">
        <v>2686</v>
      </c>
    </row>
    <row r="541" spans="1:12" ht="22" customHeight="1" x14ac:dyDescent="0.35">
      <c r="A541" s="1">
        <v>2024</v>
      </c>
      <c r="B541" s="1" t="s">
        <v>86</v>
      </c>
      <c r="C541" s="7" t="s">
        <v>87</v>
      </c>
      <c r="D541" s="1" t="s">
        <v>128</v>
      </c>
      <c r="E541" s="9">
        <v>54</v>
      </c>
      <c r="F541" s="9">
        <v>1579</v>
      </c>
      <c r="G541" s="11">
        <v>319785089</v>
      </c>
      <c r="H541" s="9">
        <v>1579</v>
      </c>
      <c r="I541" s="9">
        <v>54</v>
      </c>
      <c r="J541" s="11">
        <v>319785089</v>
      </c>
      <c r="K541" s="1" t="s">
        <v>115</v>
      </c>
      <c r="L541" s="1">
        <v>2686</v>
      </c>
    </row>
    <row r="542" spans="1:12" ht="22" customHeight="1" x14ac:dyDescent="0.35">
      <c r="A542" s="5">
        <v>2024</v>
      </c>
      <c r="B542" s="5" t="s">
        <v>88</v>
      </c>
      <c r="C542" s="6" t="s">
        <v>89</v>
      </c>
      <c r="D542" s="5" t="s">
        <v>125</v>
      </c>
      <c r="E542" s="8">
        <v>48</v>
      </c>
      <c r="F542" s="8">
        <v>48</v>
      </c>
      <c r="G542" s="10">
        <v>18931162</v>
      </c>
      <c r="H542" s="8">
        <v>48</v>
      </c>
      <c r="I542" s="8">
        <v>48</v>
      </c>
      <c r="J542" s="10">
        <v>18931162</v>
      </c>
      <c r="K542" s="5" t="s">
        <v>115</v>
      </c>
      <c r="L542" s="5">
        <v>2687</v>
      </c>
    </row>
    <row r="543" spans="1:12" ht="22" customHeight="1" x14ac:dyDescent="0.35">
      <c r="A543" s="1">
        <v>2024</v>
      </c>
      <c r="B543" s="1" t="s">
        <v>88</v>
      </c>
      <c r="C543" s="7" t="s">
        <v>89</v>
      </c>
      <c r="D543" s="1" t="s">
        <v>126</v>
      </c>
      <c r="E543" s="9">
        <v>2</v>
      </c>
      <c r="F543" s="9">
        <v>4</v>
      </c>
      <c r="G543" s="11">
        <v>838025</v>
      </c>
      <c r="H543" s="9">
        <v>4</v>
      </c>
      <c r="I543" s="9">
        <v>2</v>
      </c>
      <c r="J543" s="11">
        <v>838025</v>
      </c>
      <c r="K543" s="1" t="s">
        <v>115</v>
      </c>
      <c r="L543" s="1">
        <v>2687</v>
      </c>
    </row>
    <row r="544" spans="1:12" ht="22" customHeight="1" x14ac:dyDescent="0.35">
      <c r="A544" s="5">
        <v>2024</v>
      </c>
      <c r="B544" s="5" t="s">
        <v>88</v>
      </c>
      <c r="C544" s="6" t="s">
        <v>89</v>
      </c>
      <c r="D544" s="5" t="s">
        <v>127</v>
      </c>
      <c r="E544" s="8">
        <v>0</v>
      </c>
      <c r="F544" s="8">
        <v>0</v>
      </c>
      <c r="G544" s="10">
        <v>0</v>
      </c>
      <c r="H544" s="8">
        <v>0</v>
      </c>
      <c r="I544" s="8">
        <v>0</v>
      </c>
      <c r="J544" s="10">
        <v>0</v>
      </c>
      <c r="K544" s="5" t="s">
        <v>115</v>
      </c>
      <c r="L544" s="5">
        <v>2687</v>
      </c>
    </row>
    <row r="545" spans="1:12" ht="22" customHeight="1" x14ac:dyDescent="0.35">
      <c r="A545" s="1">
        <v>2024</v>
      </c>
      <c r="B545" s="1" t="s">
        <v>88</v>
      </c>
      <c r="C545" s="7" t="s">
        <v>89</v>
      </c>
      <c r="D545" s="1" t="s">
        <v>128</v>
      </c>
      <c r="E545" s="9">
        <v>0</v>
      </c>
      <c r="F545" s="9">
        <v>0</v>
      </c>
      <c r="G545" s="11">
        <v>0</v>
      </c>
      <c r="H545" s="9">
        <v>0</v>
      </c>
      <c r="I545" s="9">
        <v>0</v>
      </c>
      <c r="J545" s="11">
        <v>0</v>
      </c>
      <c r="K545" s="1" t="s">
        <v>115</v>
      </c>
      <c r="L545" s="1">
        <v>2687</v>
      </c>
    </row>
    <row r="546" spans="1:12" ht="22" customHeight="1" x14ac:dyDescent="0.35">
      <c r="A546" s="5">
        <v>2024</v>
      </c>
      <c r="B546" s="5" t="s">
        <v>90</v>
      </c>
      <c r="C546" s="6" t="s">
        <v>91</v>
      </c>
      <c r="D546" s="5" t="s">
        <v>125</v>
      </c>
      <c r="E546" s="8">
        <v>210</v>
      </c>
      <c r="F546" s="8">
        <v>210</v>
      </c>
      <c r="G546" s="10">
        <v>85875329</v>
      </c>
      <c r="H546" s="8">
        <v>210</v>
      </c>
      <c r="I546" s="8">
        <v>210</v>
      </c>
      <c r="J546" s="10">
        <v>85875329</v>
      </c>
      <c r="K546" s="5" t="s">
        <v>115</v>
      </c>
      <c r="L546" s="5">
        <v>2688</v>
      </c>
    </row>
    <row r="547" spans="1:12" ht="22" customHeight="1" x14ac:dyDescent="0.35">
      <c r="A547" s="1">
        <v>2024</v>
      </c>
      <c r="B547" s="1" t="s">
        <v>90</v>
      </c>
      <c r="C547" s="7" t="s">
        <v>91</v>
      </c>
      <c r="D547" s="1" t="s">
        <v>126</v>
      </c>
      <c r="E547" s="9">
        <v>4</v>
      </c>
      <c r="F547" s="9">
        <v>8</v>
      </c>
      <c r="G547" s="11">
        <v>2111832</v>
      </c>
      <c r="H547" s="9">
        <v>8</v>
      </c>
      <c r="I547" s="9">
        <v>4</v>
      </c>
      <c r="J547" s="11">
        <v>2111832</v>
      </c>
      <c r="K547" s="1" t="s">
        <v>115</v>
      </c>
      <c r="L547" s="1">
        <v>2688</v>
      </c>
    </row>
    <row r="548" spans="1:12" ht="22" customHeight="1" x14ac:dyDescent="0.35">
      <c r="A548" s="5">
        <v>2024</v>
      </c>
      <c r="B548" s="5" t="s">
        <v>90</v>
      </c>
      <c r="C548" s="6" t="s">
        <v>91</v>
      </c>
      <c r="D548" s="5" t="s">
        <v>127</v>
      </c>
      <c r="E548" s="8">
        <v>1</v>
      </c>
      <c r="F548" s="8">
        <v>4</v>
      </c>
      <c r="G548" s="10">
        <v>719929</v>
      </c>
      <c r="H548" s="8">
        <v>4</v>
      </c>
      <c r="I548" s="8">
        <v>1</v>
      </c>
      <c r="J548" s="10">
        <v>719929</v>
      </c>
      <c r="K548" s="5" t="s">
        <v>115</v>
      </c>
      <c r="L548" s="5">
        <v>2688</v>
      </c>
    </row>
    <row r="549" spans="1:12" ht="22" customHeight="1" x14ac:dyDescent="0.35">
      <c r="A549" s="1">
        <v>2024</v>
      </c>
      <c r="B549" s="1" t="s">
        <v>90</v>
      </c>
      <c r="C549" s="7" t="s">
        <v>91</v>
      </c>
      <c r="D549" s="1" t="s">
        <v>128</v>
      </c>
      <c r="E549" s="9">
        <v>5</v>
      </c>
      <c r="F549" s="9">
        <v>44</v>
      </c>
      <c r="G549" s="11">
        <v>8479901</v>
      </c>
      <c r="H549" s="9">
        <v>44</v>
      </c>
      <c r="I549" s="9">
        <v>5</v>
      </c>
      <c r="J549" s="11">
        <v>8479901</v>
      </c>
      <c r="K549" s="1" t="s">
        <v>115</v>
      </c>
      <c r="L549" s="1">
        <v>2688</v>
      </c>
    </row>
    <row r="550" spans="1:12" ht="22" customHeight="1" x14ac:dyDescent="0.35">
      <c r="A550" s="5">
        <v>2024</v>
      </c>
      <c r="B550" s="5" t="s">
        <v>92</v>
      </c>
      <c r="C550" s="6" t="s">
        <v>93</v>
      </c>
      <c r="D550" s="5" t="s">
        <v>125</v>
      </c>
      <c r="E550" s="8">
        <v>91</v>
      </c>
      <c r="F550" s="8">
        <v>91</v>
      </c>
      <c r="G550" s="10">
        <v>33285210</v>
      </c>
      <c r="H550" s="8">
        <v>91</v>
      </c>
      <c r="I550" s="8">
        <v>91</v>
      </c>
      <c r="J550" s="10">
        <v>33285210</v>
      </c>
      <c r="K550" s="5" t="s">
        <v>115</v>
      </c>
      <c r="L550" s="5">
        <v>2689</v>
      </c>
    </row>
    <row r="551" spans="1:12" ht="22" customHeight="1" x14ac:dyDescent="0.35">
      <c r="A551" s="1">
        <v>2024</v>
      </c>
      <c r="B551" s="1" t="s">
        <v>92</v>
      </c>
      <c r="C551" s="7" t="s">
        <v>93</v>
      </c>
      <c r="D551" s="1" t="s">
        <v>126</v>
      </c>
      <c r="E551" s="9">
        <v>7</v>
      </c>
      <c r="F551" s="9">
        <v>14</v>
      </c>
      <c r="G551" s="11">
        <v>2274000</v>
      </c>
      <c r="H551" s="9">
        <v>14</v>
      </c>
      <c r="I551" s="9">
        <v>7</v>
      </c>
      <c r="J551" s="11">
        <v>2274000</v>
      </c>
      <c r="K551" s="1" t="s">
        <v>115</v>
      </c>
      <c r="L551" s="1">
        <v>2689</v>
      </c>
    </row>
    <row r="552" spans="1:12" ht="22" customHeight="1" x14ac:dyDescent="0.35">
      <c r="A552" s="5">
        <v>2024</v>
      </c>
      <c r="B552" s="5" t="s">
        <v>92</v>
      </c>
      <c r="C552" s="6" t="s">
        <v>93</v>
      </c>
      <c r="D552" s="5" t="s">
        <v>127</v>
      </c>
      <c r="E552" s="8">
        <v>1</v>
      </c>
      <c r="F552" s="8">
        <v>4</v>
      </c>
      <c r="G552" s="10">
        <v>1300000</v>
      </c>
      <c r="H552" s="8">
        <v>4</v>
      </c>
      <c r="I552" s="8">
        <v>1</v>
      </c>
      <c r="J552" s="10">
        <v>1300000</v>
      </c>
      <c r="K552" s="5" t="s">
        <v>115</v>
      </c>
      <c r="L552" s="5">
        <v>2689</v>
      </c>
    </row>
    <row r="553" spans="1:12" ht="22" customHeight="1" x14ac:dyDescent="0.35">
      <c r="A553" s="1">
        <v>2024</v>
      </c>
      <c r="B553" s="1" t="s">
        <v>92</v>
      </c>
      <c r="C553" s="7" t="s">
        <v>93</v>
      </c>
      <c r="D553" s="1" t="s">
        <v>128</v>
      </c>
      <c r="E553" s="9">
        <v>0</v>
      </c>
      <c r="F553" s="9">
        <v>0</v>
      </c>
      <c r="G553" s="11">
        <v>0</v>
      </c>
      <c r="H553" s="9">
        <v>0</v>
      </c>
      <c r="I553" s="9">
        <v>0</v>
      </c>
      <c r="J553" s="11">
        <v>0</v>
      </c>
      <c r="K553" s="1" t="s">
        <v>115</v>
      </c>
      <c r="L553" s="1">
        <v>2689</v>
      </c>
    </row>
    <row r="554" spans="1:12" ht="22" customHeight="1" x14ac:dyDescent="0.35">
      <c r="A554" s="5">
        <v>2024</v>
      </c>
      <c r="B554" s="5" t="s">
        <v>94</v>
      </c>
      <c r="C554" s="6" t="s">
        <v>95</v>
      </c>
      <c r="D554" s="5" t="s">
        <v>125</v>
      </c>
      <c r="E554" s="8">
        <v>388</v>
      </c>
      <c r="F554" s="8">
        <v>388</v>
      </c>
      <c r="G554" s="10">
        <v>311038030</v>
      </c>
      <c r="H554" s="8">
        <v>388</v>
      </c>
      <c r="I554" s="8">
        <v>388</v>
      </c>
      <c r="J554" s="10">
        <v>311038030</v>
      </c>
      <c r="K554" s="5" t="s">
        <v>115</v>
      </c>
      <c r="L554" s="5">
        <v>2690</v>
      </c>
    </row>
    <row r="555" spans="1:12" ht="22" customHeight="1" x14ac:dyDescent="0.35">
      <c r="A555" s="1">
        <v>2024</v>
      </c>
      <c r="B555" s="1" t="s">
        <v>94</v>
      </c>
      <c r="C555" s="7" t="s">
        <v>95</v>
      </c>
      <c r="D555" s="1" t="s">
        <v>126</v>
      </c>
      <c r="E555" s="9">
        <v>1</v>
      </c>
      <c r="F555" s="9">
        <v>2</v>
      </c>
      <c r="G555" s="11">
        <v>413052</v>
      </c>
      <c r="H555" s="9">
        <v>2</v>
      </c>
      <c r="I555" s="9">
        <v>1</v>
      </c>
      <c r="J555" s="11">
        <v>413052</v>
      </c>
      <c r="K555" s="1" t="s">
        <v>115</v>
      </c>
      <c r="L555" s="1">
        <v>2690</v>
      </c>
    </row>
    <row r="556" spans="1:12" ht="22" customHeight="1" x14ac:dyDescent="0.35">
      <c r="A556" s="5">
        <v>2024</v>
      </c>
      <c r="B556" s="5" t="s">
        <v>94</v>
      </c>
      <c r="C556" s="6" t="s">
        <v>95</v>
      </c>
      <c r="D556" s="5" t="s">
        <v>127</v>
      </c>
      <c r="E556" s="8">
        <v>0</v>
      </c>
      <c r="F556" s="8">
        <v>0</v>
      </c>
      <c r="G556" s="10">
        <v>0</v>
      </c>
      <c r="H556" s="8">
        <v>0</v>
      </c>
      <c r="I556" s="8">
        <v>0</v>
      </c>
      <c r="J556" s="10">
        <v>0</v>
      </c>
      <c r="K556" s="5" t="s">
        <v>115</v>
      </c>
      <c r="L556" s="5">
        <v>2690</v>
      </c>
    </row>
    <row r="557" spans="1:12" ht="22" customHeight="1" x14ac:dyDescent="0.35">
      <c r="A557" s="1">
        <v>2024</v>
      </c>
      <c r="B557" s="1" t="s">
        <v>94</v>
      </c>
      <c r="C557" s="7" t="s">
        <v>95</v>
      </c>
      <c r="D557" s="1" t="s">
        <v>128</v>
      </c>
      <c r="E557" s="9">
        <v>3</v>
      </c>
      <c r="F557" s="9">
        <v>529</v>
      </c>
      <c r="G557" s="11">
        <v>169159418</v>
      </c>
      <c r="H557" s="9">
        <v>529</v>
      </c>
      <c r="I557" s="9">
        <v>3</v>
      </c>
      <c r="J557" s="11">
        <v>169159418</v>
      </c>
      <c r="K557" s="1" t="s">
        <v>115</v>
      </c>
      <c r="L557" s="1">
        <v>2690</v>
      </c>
    </row>
    <row r="558" spans="1:12" ht="22" customHeight="1" x14ac:dyDescent="0.35">
      <c r="A558" s="5">
        <v>2024</v>
      </c>
      <c r="B558" s="5" t="s">
        <v>96</v>
      </c>
      <c r="C558" s="6" t="s">
        <v>97</v>
      </c>
      <c r="D558" s="5" t="s">
        <v>125</v>
      </c>
      <c r="E558" s="8">
        <v>677</v>
      </c>
      <c r="F558" s="8">
        <v>677</v>
      </c>
      <c r="G558" s="10">
        <v>277819548</v>
      </c>
      <c r="H558" s="8">
        <v>677</v>
      </c>
      <c r="I558" s="8">
        <v>677</v>
      </c>
      <c r="J558" s="10">
        <v>277819548</v>
      </c>
      <c r="K558" s="5" t="s">
        <v>115</v>
      </c>
      <c r="L558" s="5">
        <v>2691</v>
      </c>
    </row>
    <row r="559" spans="1:12" ht="22" customHeight="1" x14ac:dyDescent="0.35">
      <c r="A559" s="1">
        <v>2024</v>
      </c>
      <c r="B559" s="1" t="s">
        <v>96</v>
      </c>
      <c r="C559" s="7" t="s">
        <v>97</v>
      </c>
      <c r="D559" s="1" t="s">
        <v>126</v>
      </c>
      <c r="E559" s="9">
        <v>25</v>
      </c>
      <c r="F559" s="9">
        <v>50</v>
      </c>
      <c r="G559" s="11">
        <v>10960098</v>
      </c>
      <c r="H559" s="9">
        <v>50</v>
      </c>
      <c r="I559" s="9">
        <v>25</v>
      </c>
      <c r="J559" s="11">
        <v>10960098</v>
      </c>
      <c r="K559" s="1" t="s">
        <v>115</v>
      </c>
      <c r="L559" s="1">
        <v>2691</v>
      </c>
    </row>
    <row r="560" spans="1:12" ht="22" customHeight="1" x14ac:dyDescent="0.35">
      <c r="A560" s="5">
        <v>2024</v>
      </c>
      <c r="B560" s="5" t="s">
        <v>96</v>
      </c>
      <c r="C560" s="6" t="s">
        <v>97</v>
      </c>
      <c r="D560" s="5" t="s">
        <v>127</v>
      </c>
      <c r="E560" s="8">
        <v>22</v>
      </c>
      <c r="F560" s="8">
        <v>83</v>
      </c>
      <c r="G560" s="10">
        <v>26159730</v>
      </c>
      <c r="H560" s="8">
        <v>83</v>
      </c>
      <c r="I560" s="8">
        <v>22</v>
      </c>
      <c r="J560" s="10">
        <v>26159730</v>
      </c>
      <c r="K560" s="5" t="s">
        <v>115</v>
      </c>
      <c r="L560" s="5">
        <v>2691</v>
      </c>
    </row>
    <row r="561" spans="1:12" ht="22" customHeight="1" x14ac:dyDescent="0.35">
      <c r="A561" s="1">
        <v>2024</v>
      </c>
      <c r="B561" s="1" t="s">
        <v>96</v>
      </c>
      <c r="C561" s="7" t="s">
        <v>97</v>
      </c>
      <c r="D561" s="1" t="s">
        <v>128</v>
      </c>
      <c r="E561" s="9">
        <v>14</v>
      </c>
      <c r="F561" s="9">
        <v>87</v>
      </c>
      <c r="G561" s="11">
        <v>24118749</v>
      </c>
      <c r="H561" s="9">
        <v>87</v>
      </c>
      <c r="I561" s="9">
        <v>14</v>
      </c>
      <c r="J561" s="11">
        <v>24118749</v>
      </c>
      <c r="K561" s="1" t="s">
        <v>115</v>
      </c>
      <c r="L561" s="1">
        <v>2691</v>
      </c>
    </row>
    <row r="562" spans="1:12" ht="22" customHeight="1" x14ac:dyDescent="0.35">
      <c r="A562" s="5">
        <v>2024</v>
      </c>
      <c r="B562" s="5" t="s">
        <v>98</v>
      </c>
      <c r="C562" s="6" t="s">
        <v>99</v>
      </c>
      <c r="D562" s="5" t="s">
        <v>125</v>
      </c>
      <c r="E562" s="8">
        <v>74</v>
      </c>
      <c r="F562" s="8">
        <v>74</v>
      </c>
      <c r="G562" s="10">
        <v>27813857</v>
      </c>
      <c r="H562" s="8">
        <v>74</v>
      </c>
      <c r="I562" s="8">
        <v>74</v>
      </c>
      <c r="J562" s="10">
        <v>27813857</v>
      </c>
      <c r="K562" s="5" t="s">
        <v>115</v>
      </c>
      <c r="L562" s="5">
        <v>2692</v>
      </c>
    </row>
    <row r="563" spans="1:12" ht="22" customHeight="1" x14ac:dyDescent="0.35">
      <c r="A563" s="1">
        <v>2024</v>
      </c>
      <c r="B563" s="1" t="s">
        <v>98</v>
      </c>
      <c r="C563" s="7" t="s">
        <v>99</v>
      </c>
      <c r="D563" s="1" t="s">
        <v>126</v>
      </c>
      <c r="E563" s="9">
        <v>2</v>
      </c>
      <c r="F563" s="9">
        <v>4</v>
      </c>
      <c r="G563" s="11">
        <v>632420</v>
      </c>
      <c r="H563" s="9">
        <v>4</v>
      </c>
      <c r="I563" s="9">
        <v>2</v>
      </c>
      <c r="J563" s="11">
        <v>632420</v>
      </c>
      <c r="K563" s="1" t="s">
        <v>115</v>
      </c>
      <c r="L563" s="1">
        <v>2692</v>
      </c>
    </row>
    <row r="564" spans="1:12" ht="22" customHeight="1" x14ac:dyDescent="0.35">
      <c r="A564" s="5">
        <v>2024</v>
      </c>
      <c r="B564" s="5" t="s">
        <v>98</v>
      </c>
      <c r="C564" s="6" t="s">
        <v>99</v>
      </c>
      <c r="D564" s="5" t="s">
        <v>127</v>
      </c>
      <c r="E564" s="8">
        <v>2</v>
      </c>
      <c r="F564" s="8">
        <v>8</v>
      </c>
      <c r="G564" s="10">
        <v>1320000</v>
      </c>
      <c r="H564" s="8">
        <v>8</v>
      </c>
      <c r="I564" s="8">
        <v>2</v>
      </c>
      <c r="J564" s="10">
        <v>1320000</v>
      </c>
      <c r="K564" s="5" t="s">
        <v>115</v>
      </c>
      <c r="L564" s="5">
        <v>2692</v>
      </c>
    </row>
    <row r="565" spans="1:12" ht="22" customHeight="1" x14ac:dyDescent="0.35">
      <c r="A565" s="1">
        <v>2024</v>
      </c>
      <c r="B565" s="1" t="s">
        <v>98</v>
      </c>
      <c r="C565" s="7" t="s">
        <v>99</v>
      </c>
      <c r="D565" s="1" t="s">
        <v>128</v>
      </c>
      <c r="E565" s="9">
        <v>0</v>
      </c>
      <c r="F565" s="9">
        <v>0</v>
      </c>
      <c r="G565" s="11">
        <v>0</v>
      </c>
      <c r="H565" s="9">
        <v>0</v>
      </c>
      <c r="I565" s="9">
        <v>0</v>
      </c>
      <c r="J565" s="11">
        <v>0</v>
      </c>
      <c r="K565" s="1" t="s">
        <v>115</v>
      </c>
      <c r="L565" s="1">
        <v>2692</v>
      </c>
    </row>
    <row r="566" spans="1:12" ht="22" customHeight="1" x14ac:dyDescent="0.35">
      <c r="A566" s="5">
        <v>2024</v>
      </c>
      <c r="B566" s="5" t="s">
        <v>100</v>
      </c>
      <c r="C566" s="6" t="s">
        <v>101</v>
      </c>
      <c r="D566" s="5" t="s">
        <v>125</v>
      </c>
      <c r="E566" s="8">
        <v>5174</v>
      </c>
      <c r="F566" s="8">
        <v>5174</v>
      </c>
      <c r="G566" s="10">
        <v>1729118498</v>
      </c>
      <c r="H566" s="8">
        <v>5013</v>
      </c>
      <c r="I566" s="8">
        <v>5013</v>
      </c>
      <c r="J566" s="10">
        <v>1680645954</v>
      </c>
      <c r="K566" s="5" t="s">
        <v>115</v>
      </c>
      <c r="L566" s="5">
        <v>2693</v>
      </c>
    </row>
    <row r="567" spans="1:12" ht="22" customHeight="1" x14ac:dyDescent="0.35">
      <c r="A567" s="1">
        <v>2024</v>
      </c>
      <c r="B567" s="1" t="s">
        <v>100</v>
      </c>
      <c r="C567" s="7" t="s">
        <v>101</v>
      </c>
      <c r="D567" s="1" t="s">
        <v>126</v>
      </c>
      <c r="E567" s="9">
        <v>5</v>
      </c>
      <c r="F567" s="9">
        <v>10</v>
      </c>
      <c r="G567" s="11">
        <v>4226208</v>
      </c>
      <c r="H567" s="9">
        <v>10</v>
      </c>
      <c r="I567" s="9">
        <v>5</v>
      </c>
      <c r="J567" s="11">
        <v>4226208</v>
      </c>
      <c r="K567" s="1" t="s">
        <v>115</v>
      </c>
      <c r="L567" s="1">
        <v>2693</v>
      </c>
    </row>
    <row r="568" spans="1:12" ht="22" customHeight="1" x14ac:dyDescent="0.35">
      <c r="A568" s="5">
        <v>2024</v>
      </c>
      <c r="B568" s="5" t="s">
        <v>100</v>
      </c>
      <c r="C568" s="6" t="s">
        <v>101</v>
      </c>
      <c r="D568" s="5" t="s">
        <v>127</v>
      </c>
      <c r="E568" s="8">
        <v>26</v>
      </c>
      <c r="F568" s="8">
        <v>97</v>
      </c>
      <c r="G568" s="10">
        <v>23576229</v>
      </c>
      <c r="H568" s="8">
        <v>97</v>
      </c>
      <c r="I568" s="8">
        <v>26</v>
      </c>
      <c r="J568" s="10">
        <v>23576229</v>
      </c>
      <c r="K568" s="5" t="s">
        <v>115</v>
      </c>
      <c r="L568" s="5">
        <v>2693</v>
      </c>
    </row>
    <row r="569" spans="1:12" ht="22" customHeight="1" x14ac:dyDescent="0.35">
      <c r="A569" s="1">
        <v>2024</v>
      </c>
      <c r="B569" s="1" t="s">
        <v>100</v>
      </c>
      <c r="C569" s="7" t="s">
        <v>101</v>
      </c>
      <c r="D569" s="1" t="s">
        <v>128</v>
      </c>
      <c r="E569" s="9">
        <v>112</v>
      </c>
      <c r="F569" s="9">
        <v>1040</v>
      </c>
      <c r="G569" s="11">
        <v>176049902</v>
      </c>
      <c r="H569" s="9">
        <v>1040</v>
      </c>
      <c r="I569" s="9">
        <v>112</v>
      </c>
      <c r="J569" s="11">
        <v>176049902</v>
      </c>
      <c r="K569" s="1" t="s">
        <v>115</v>
      </c>
      <c r="L569" s="1">
        <v>2693</v>
      </c>
    </row>
    <row r="570" spans="1:12" ht="22" customHeight="1" x14ac:dyDescent="0.35">
      <c r="A570" s="5">
        <v>2024</v>
      </c>
      <c r="B570" s="5" t="s">
        <v>102</v>
      </c>
      <c r="C570" s="6" t="s">
        <v>103</v>
      </c>
      <c r="D570" s="5" t="s">
        <v>125</v>
      </c>
      <c r="E570" s="8">
        <v>784</v>
      </c>
      <c r="F570" s="8">
        <v>784</v>
      </c>
      <c r="G570" s="10">
        <v>549041999</v>
      </c>
      <c r="H570" s="8">
        <v>783</v>
      </c>
      <c r="I570" s="8">
        <v>783</v>
      </c>
      <c r="J570" s="10">
        <v>548606749</v>
      </c>
      <c r="K570" s="5" t="s">
        <v>115</v>
      </c>
      <c r="L570" s="5">
        <v>2694</v>
      </c>
    </row>
    <row r="571" spans="1:12" ht="22" customHeight="1" x14ac:dyDescent="0.35">
      <c r="A571" s="1">
        <v>2024</v>
      </c>
      <c r="B571" s="1" t="s">
        <v>102</v>
      </c>
      <c r="C571" s="7" t="s">
        <v>103</v>
      </c>
      <c r="D571" s="1" t="s">
        <v>126</v>
      </c>
      <c r="E571" s="9">
        <v>0</v>
      </c>
      <c r="F571" s="9">
        <v>0</v>
      </c>
      <c r="G571" s="11">
        <v>0</v>
      </c>
      <c r="H571" s="9">
        <v>0</v>
      </c>
      <c r="I571" s="9">
        <v>0</v>
      </c>
      <c r="J571" s="11">
        <v>0</v>
      </c>
      <c r="K571" s="1" t="s">
        <v>115</v>
      </c>
      <c r="L571" s="1">
        <v>2694</v>
      </c>
    </row>
    <row r="572" spans="1:12" ht="22" customHeight="1" x14ac:dyDescent="0.35">
      <c r="A572" s="5">
        <v>2024</v>
      </c>
      <c r="B572" s="5" t="s">
        <v>102</v>
      </c>
      <c r="C572" s="6" t="s">
        <v>103</v>
      </c>
      <c r="D572" s="5" t="s">
        <v>127</v>
      </c>
      <c r="E572" s="8">
        <v>8</v>
      </c>
      <c r="F572" s="8">
        <v>29</v>
      </c>
      <c r="G572" s="10">
        <v>11535032</v>
      </c>
      <c r="H572" s="8">
        <v>29</v>
      </c>
      <c r="I572" s="8">
        <v>8</v>
      </c>
      <c r="J572" s="10">
        <v>11535032</v>
      </c>
      <c r="K572" s="5" t="s">
        <v>115</v>
      </c>
      <c r="L572" s="5">
        <v>2694</v>
      </c>
    </row>
    <row r="573" spans="1:12" ht="22" customHeight="1" x14ac:dyDescent="0.35">
      <c r="A573" s="1">
        <v>2024</v>
      </c>
      <c r="B573" s="1" t="s">
        <v>102</v>
      </c>
      <c r="C573" s="7" t="s">
        <v>103</v>
      </c>
      <c r="D573" s="1" t="s">
        <v>128</v>
      </c>
      <c r="E573" s="9">
        <v>4</v>
      </c>
      <c r="F573" s="9">
        <v>22</v>
      </c>
      <c r="G573" s="11">
        <v>7688117</v>
      </c>
      <c r="H573" s="9">
        <v>22</v>
      </c>
      <c r="I573" s="9">
        <v>4</v>
      </c>
      <c r="J573" s="11">
        <v>7688117</v>
      </c>
      <c r="K573" s="1" t="s">
        <v>115</v>
      </c>
      <c r="L573" s="1">
        <v>2694</v>
      </c>
    </row>
    <row r="574" spans="1:12" ht="22" customHeight="1" x14ac:dyDescent="0.35">
      <c r="A574" s="5">
        <v>2024</v>
      </c>
      <c r="B574" s="5" t="s">
        <v>104</v>
      </c>
      <c r="C574" s="6" t="s">
        <v>105</v>
      </c>
      <c r="D574" s="5" t="s">
        <v>125</v>
      </c>
      <c r="E574" s="8">
        <v>2467</v>
      </c>
      <c r="F574" s="8">
        <v>2467</v>
      </c>
      <c r="G574" s="10">
        <v>514755174</v>
      </c>
      <c r="H574" s="8">
        <v>2380</v>
      </c>
      <c r="I574" s="8">
        <v>2380</v>
      </c>
      <c r="J574" s="10">
        <v>488322557</v>
      </c>
      <c r="K574" s="5" t="s">
        <v>115</v>
      </c>
      <c r="L574" s="5">
        <v>2695</v>
      </c>
    </row>
    <row r="575" spans="1:12" ht="22" customHeight="1" x14ac:dyDescent="0.35">
      <c r="A575" s="1">
        <v>2024</v>
      </c>
      <c r="B575" s="1" t="s">
        <v>104</v>
      </c>
      <c r="C575" s="7" t="s">
        <v>105</v>
      </c>
      <c r="D575" s="1" t="s">
        <v>126</v>
      </c>
      <c r="E575" s="9">
        <v>0</v>
      </c>
      <c r="F575" s="9">
        <v>0</v>
      </c>
      <c r="G575" s="11">
        <v>0</v>
      </c>
      <c r="H575" s="9">
        <v>0</v>
      </c>
      <c r="I575" s="9">
        <v>0</v>
      </c>
      <c r="J575" s="11">
        <v>0</v>
      </c>
      <c r="K575" s="1" t="s">
        <v>115</v>
      </c>
      <c r="L575" s="1">
        <v>2695</v>
      </c>
    </row>
    <row r="576" spans="1:12" ht="22" customHeight="1" x14ac:dyDescent="0.35">
      <c r="A576" s="5">
        <v>2024</v>
      </c>
      <c r="B576" s="5" t="s">
        <v>104</v>
      </c>
      <c r="C576" s="6" t="s">
        <v>105</v>
      </c>
      <c r="D576" s="5" t="s">
        <v>127</v>
      </c>
      <c r="E576" s="8">
        <v>9</v>
      </c>
      <c r="F576" s="8">
        <v>35</v>
      </c>
      <c r="G576" s="10">
        <v>6647685</v>
      </c>
      <c r="H576" s="8">
        <v>35</v>
      </c>
      <c r="I576" s="8">
        <v>9</v>
      </c>
      <c r="J576" s="10">
        <v>6647685</v>
      </c>
      <c r="K576" s="5" t="s">
        <v>115</v>
      </c>
      <c r="L576" s="5">
        <v>2695</v>
      </c>
    </row>
    <row r="577" spans="1:12" ht="22" customHeight="1" x14ac:dyDescent="0.35">
      <c r="A577" s="1">
        <v>2024</v>
      </c>
      <c r="B577" s="1" t="s">
        <v>104</v>
      </c>
      <c r="C577" s="7" t="s">
        <v>105</v>
      </c>
      <c r="D577" s="1" t="s">
        <v>128</v>
      </c>
      <c r="E577" s="9">
        <v>34</v>
      </c>
      <c r="F577" s="9">
        <v>650</v>
      </c>
      <c r="G577" s="11">
        <v>92474976</v>
      </c>
      <c r="H577" s="9">
        <v>650</v>
      </c>
      <c r="I577" s="9">
        <v>34</v>
      </c>
      <c r="J577" s="11">
        <v>92474976</v>
      </c>
      <c r="K577" s="1" t="s">
        <v>115</v>
      </c>
      <c r="L577" s="1">
        <v>2695</v>
      </c>
    </row>
    <row r="578" spans="1:12" ht="22" customHeight="1" x14ac:dyDescent="0.35">
      <c r="A578" s="5">
        <v>2024</v>
      </c>
      <c r="B578" s="5" t="s">
        <v>106</v>
      </c>
      <c r="C578" s="6" t="s">
        <v>107</v>
      </c>
      <c r="D578" s="5" t="s">
        <v>125</v>
      </c>
      <c r="E578" s="8">
        <v>21</v>
      </c>
      <c r="F578" s="8">
        <v>21</v>
      </c>
      <c r="G578" s="10">
        <v>6958057</v>
      </c>
      <c r="H578" s="8">
        <v>21</v>
      </c>
      <c r="I578" s="8">
        <v>21</v>
      </c>
      <c r="J578" s="10">
        <v>6958057</v>
      </c>
      <c r="K578" s="5" t="s">
        <v>115</v>
      </c>
      <c r="L578" s="5">
        <v>2696</v>
      </c>
    </row>
    <row r="579" spans="1:12" ht="22" customHeight="1" x14ac:dyDescent="0.35">
      <c r="A579" s="1">
        <v>2024</v>
      </c>
      <c r="B579" s="1" t="s">
        <v>106</v>
      </c>
      <c r="C579" s="7" t="s">
        <v>107</v>
      </c>
      <c r="D579" s="1" t="s">
        <v>126</v>
      </c>
      <c r="E579" s="9">
        <v>0</v>
      </c>
      <c r="F579" s="9">
        <v>0</v>
      </c>
      <c r="G579" s="11">
        <v>0</v>
      </c>
      <c r="H579" s="9">
        <v>0</v>
      </c>
      <c r="I579" s="9">
        <v>0</v>
      </c>
      <c r="J579" s="11">
        <v>0</v>
      </c>
      <c r="K579" s="1" t="s">
        <v>115</v>
      </c>
      <c r="L579" s="1">
        <v>2696</v>
      </c>
    </row>
    <row r="580" spans="1:12" ht="22" customHeight="1" x14ac:dyDescent="0.35">
      <c r="A580" s="5">
        <v>2024</v>
      </c>
      <c r="B580" s="5" t="s">
        <v>106</v>
      </c>
      <c r="C580" s="6" t="s">
        <v>107</v>
      </c>
      <c r="D580" s="5" t="s">
        <v>127</v>
      </c>
      <c r="E580" s="8">
        <v>1</v>
      </c>
      <c r="F580" s="8">
        <v>3</v>
      </c>
      <c r="G580" s="10">
        <v>715000</v>
      </c>
      <c r="H580" s="8">
        <v>3</v>
      </c>
      <c r="I580" s="8">
        <v>1</v>
      </c>
      <c r="J580" s="10">
        <v>715000</v>
      </c>
      <c r="K580" s="5" t="s">
        <v>115</v>
      </c>
      <c r="L580" s="5">
        <v>2696</v>
      </c>
    </row>
    <row r="581" spans="1:12" ht="22" customHeight="1" x14ac:dyDescent="0.35">
      <c r="A581" s="1">
        <v>2024</v>
      </c>
      <c r="B581" s="1" t="s">
        <v>106</v>
      </c>
      <c r="C581" s="7" t="s">
        <v>107</v>
      </c>
      <c r="D581" s="1" t="s">
        <v>128</v>
      </c>
      <c r="E581" s="9">
        <v>0</v>
      </c>
      <c r="F581" s="9">
        <v>0</v>
      </c>
      <c r="G581" s="11">
        <v>0</v>
      </c>
      <c r="H581" s="9">
        <v>0</v>
      </c>
      <c r="I581" s="9">
        <v>0</v>
      </c>
      <c r="J581" s="11">
        <v>0</v>
      </c>
      <c r="K581" s="1" t="s">
        <v>115</v>
      </c>
      <c r="L581" s="1">
        <v>2696</v>
      </c>
    </row>
    <row r="582" spans="1:12" ht="22" customHeight="1" x14ac:dyDescent="0.35">
      <c r="A582" s="5">
        <v>2024</v>
      </c>
      <c r="B582" s="5" t="s">
        <v>108</v>
      </c>
      <c r="C582" s="6" t="s">
        <v>109</v>
      </c>
      <c r="D582" s="5" t="s">
        <v>125</v>
      </c>
      <c r="E582" s="8">
        <v>1044</v>
      </c>
      <c r="F582" s="8">
        <v>1044</v>
      </c>
      <c r="G582" s="10">
        <v>387469917</v>
      </c>
      <c r="H582" s="8">
        <v>684</v>
      </c>
      <c r="I582" s="8">
        <v>684</v>
      </c>
      <c r="J582" s="10">
        <v>291457790</v>
      </c>
      <c r="K582" s="5" t="s">
        <v>115</v>
      </c>
      <c r="L582" s="5">
        <v>2697</v>
      </c>
    </row>
    <row r="583" spans="1:12" ht="22" customHeight="1" x14ac:dyDescent="0.35">
      <c r="A583" s="1">
        <v>2024</v>
      </c>
      <c r="B583" s="1" t="s">
        <v>108</v>
      </c>
      <c r="C583" s="7" t="s">
        <v>109</v>
      </c>
      <c r="D583" s="1" t="s">
        <v>126</v>
      </c>
      <c r="E583" s="9">
        <v>5</v>
      </c>
      <c r="F583" s="9">
        <v>10</v>
      </c>
      <c r="G583" s="11">
        <v>1868353</v>
      </c>
      <c r="H583" s="9">
        <v>10</v>
      </c>
      <c r="I583" s="9">
        <v>5</v>
      </c>
      <c r="J583" s="11">
        <v>1868353</v>
      </c>
      <c r="K583" s="1" t="s">
        <v>115</v>
      </c>
      <c r="L583" s="1">
        <v>2697</v>
      </c>
    </row>
    <row r="584" spans="1:12" ht="22" customHeight="1" x14ac:dyDescent="0.35">
      <c r="A584" s="5">
        <v>2024</v>
      </c>
      <c r="B584" s="5" t="s">
        <v>108</v>
      </c>
      <c r="C584" s="6" t="s">
        <v>109</v>
      </c>
      <c r="D584" s="5" t="s">
        <v>127</v>
      </c>
      <c r="E584" s="8">
        <v>16</v>
      </c>
      <c r="F584" s="8">
        <v>55</v>
      </c>
      <c r="G584" s="10">
        <v>11002865</v>
      </c>
      <c r="H584" s="8">
        <v>8</v>
      </c>
      <c r="I584" s="8">
        <v>2</v>
      </c>
      <c r="J584" s="10">
        <v>2142655</v>
      </c>
      <c r="K584" s="5" t="s">
        <v>115</v>
      </c>
      <c r="L584" s="5">
        <v>2697</v>
      </c>
    </row>
    <row r="585" spans="1:12" ht="22" customHeight="1" x14ac:dyDescent="0.35">
      <c r="A585" s="1">
        <v>2024</v>
      </c>
      <c r="B585" s="1" t="s">
        <v>108</v>
      </c>
      <c r="C585" s="7" t="s">
        <v>109</v>
      </c>
      <c r="D585" s="1" t="s">
        <v>128</v>
      </c>
      <c r="E585" s="9">
        <v>39</v>
      </c>
      <c r="F585" s="9">
        <v>521</v>
      </c>
      <c r="G585" s="11">
        <v>86666780</v>
      </c>
      <c r="H585" s="9">
        <v>182</v>
      </c>
      <c r="I585" s="9">
        <v>15</v>
      </c>
      <c r="J585" s="11">
        <v>36997399</v>
      </c>
      <c r="K585" s="1" t="s">
        <v>115</v>
      </c>
      <c r="L585" s="1">
        <v>2697</v>
      </c>
    </row>
    <row r="586" spans="1:12" ht="22" customHeight="1" x14ac:dyDescent="0.35">
      <c r="A586" s="5">
        <v>2025</v>
      </c>
      <c r="B586" s="5" t="s">
        <v>49</v>
      </c>
      <c r="C586" s="6" t="s">
        <v>50</v>
      </c>
      <c r="D586" s="5" t="s">
        <v>125</v>
      </c>
      <c r="E586" s="8">
        <v>38</v>
      </c>
      <c r="F586" s="8">
        <v>38</v>
      </c>
      <c r="G586" s="10">
        <v>15757330</v>
      </c>
      <c r="H586" s="8">
        <v>38</v>
      </c>
      <c r="I586" s="8">
        <v>38</v>
      </c>
      <c r="J586" s="10">
        <v>15757330</v>
      </c>
      <c r="K586" s="5" t="s">
        <v>116</v>
      </c>
      <c r="L586" s="5">
        <v>2670</v>
      </c>
    </row>
    <row r="587" spans="1:12" ht="22" customHeight="1" x14ac:dyDescent="0.35">
      <c r="A587" s="1">
        <v>2025</v>
      </c>
      <c r="B587" s="1" t="s">
        <v>49</v>
      </c>
      <c r="C587" s="7" t="s">
        <v>50</v>
      </c>
      <c r="D587" s="1" t="s">
        <v>126</v>
      </c>
      <c r="E587" s="9">
        <v>0</v>
      </c>
      <c r="F587" s="9">
        <v>0</v>
      </c>
      <c r="G587" s="11">
        <v>0</v>
      </c>
      <c r="H587" s="9">
        <v>0</v>
      </c>
      <c r="I587" s="9">
        <v>0</v>
      </c>
      <c r="J587" s="11">
        <v>0</v>
      </c>
      <c r="K587" s="1" t="s">
        <v>116</v>
      </c>
      <c r="L587" s="1">
        <v>2670</v>
      </c>
    </row>
    <row r="588" spans="1:12" ht="22" customHeight="1" x14ac:dyDescent="0.35">
      <c r="A588" s="5">
        <v>2025</v>
      </c>
      <c r="B588" s="5" t="s">
        <v>49</v>
      </c>
      <c r="C588" s="6" t="s">
        <v>50</v>
      </c>
      <c r="D588" s="5" t="s">
        <v>127</v>
      </c>
      <c r="E588" s="8">
        <v>0</v>
      </c>
      <c r="F588" s="8">
        <v>0</v>
      </c>
      <c r="G588" s="10">
        <v>0</v>
      </c>
      <c r="H588" s="8">
        <v>0</v>
      </c>
      <c r="I588" s="8">
        <v>0</v>
      </c>
      <c r="J588" s="10">
        <v>0</v>
      </c>
      <c r="K588" s="5" t="s">
        <v>116</v>
      </c>
      <c r="L588" s="5">
        <v>2670</v>
      </c>
    </row>
    <row r="589" spans="1:12" ht="22" customHeight="1" x14ac:dyDescent="0.35">
      <c r="A589" s="1">
        <v>2025</v>
      </c>
      <c r="B589" s="1" t="s">
        <v>49</v>
      </c>
      <c r="C589" s="7" t="s">
        <v>50</v>
      </c>
      <c r="D589" s="1" t="s">
        <v>128</v>
      </c>
      <c r="E589" s="9">
        <v>2</v>
      </c>
      <c r="F589" s="9">
        <v>10</v>
      </c>
      <c r="G589" s="11">
        <v>1943622</v>
      </c>
      <c r="H589" s="9">
        <v>10</v>
      </c>
      <c r="I589" s="9">
        <v>2</v>
      </c>
      <c r="J589" s="11">
        <v>1943622</v>
      </c>
      <c r="K589" s="1" t="s">
        <v>116</v>
      </c>
      <c r="L589" s="1">
        <v>2670</v>
      </c>
    </row>
    <row r="590" spans="1:12" ht="22" customHeight="1" x14ac:dyDescent="0.35">
      <c r="A590" s="5">
        <v>2025</v>
      </c>
      <c r="B590" s="5" t="s">
        <v>54</v>
      </c>
      <c r="C590" s="6" t="s">
        <v>55</v>
      </c>
      <c r="D590" s="5" t="s">
        <v>125</v>
      </c>
      <c r="E590" s="8">
        <v>369</v>
      </c>
      <c r="F590" s="8">
        <v>369</v>
      </c>
      <c r="G590" s="10">
        <v>133963042</v>
      </c>
      <c r="H590" s="8">
        <v>345</v>
      </c>
      <c r="I590" s="8">
        <v>345</v>
      </c>
      <c r="J590" s="10">
        <v>127176789</v>
      </c>
      <c r="K590" s="5" t="s">
        <v>116</v>
      </c>
      <c r="L590" s="5">
        <v>2671</v>
      </c>
    </row>
    <row r="591" spans="1:12" ht="22" customHeight="1" x14ac:dyDescent="0.35">
      <c r="A591" s="1">
        <v>2025</v>
      </c>
      <c r="B591" s="1" t="s">
        <v>54</v>
      </c>
      <c r="C591" s="7" t="s">
        <v>55</v>
      </c>
      <c r="D591" s="1" t="s">
        <v>126</v>
      </c>
      <c r="E591" s="9">
        <v>0</v>
      </c>
      <c r="F591" s="9">
        <v>0</v>
      </c>
      <c r="G591" s="11">
        <v>0</v>
      </c>
      <c r="H591" s="9">
        <v>0</v>
      </c>
      <c r="I591" s="9">
        <v>0</v>
      </c>
      <c r="J591" s="11">
        <v>0</v>
      </c>
      <c r="K591" s="1" t="s">
        <v>116</v>
      </c>
      <c r="L591" s="1">
        <v>2671</v>
      </c>
    </row>
    <row r="592" spans="1:12" ht="22" customHeight="1" x14ac:dyDescent="0.35">
      <c r="A592" s="5">
        <v>2025</v>
      </c>
      <c r="B592" s="5" t="s">
        <v>54</v>
      </c>
      <c r="C592" s="6" t="s">
        <v>55</v>
      </c>
      <c r="D592" s="5" t="s">
        <v>127</v>
      </c>
      <c r="E592" s="8">
        <v>9</v>
      </c>
      <c r="F592" s="8">
        <v>35</v>
      </c>
      <c r="G592" s="10">
        <v>6947830</v>
      </c>
      <c r="H592" s="8">
        <v>35</v>
      </c>
      <c r="I592" s="8">
        <v>9</v>
      </c>
      <c r="J592" s="10">
        <v>6947830</v>
      </c>
      <c r="K592" s="5" t="s">
        <v>116</v>
      </c>
      <c r="L592" s="5">
        <v>2671</v>
      </c>
    </row>
    <row r="593" spans="1:12" ht="22" customHeight="1" x14ac:dyDescent="0.35">
      <c r="A593" s="1">
        <v>2025</v>
      </c>
      <c r="B593" s="1" t="s">
        <v>54</v>
      </c>
      <c r="C593" s="7" t="s">
        <v>55</v>
      </c>
      <c r="D593" s="1" t="s">
        <v>128</v>
      </c>
      <c r="E593" s="9">
        <v>8</v>
      </c>
      <c r="F593" s="9">
        <v>52</v>
      </c>
      <c r="G593" s="11">
        <v>14473418</v>
      </c>
      <c r="H593" s="9">
        <v>52</v>
      </c>
      <c r="I593" s="9">
        <v>8</v>
      </c>
      <c r="J593" s="11">
        <v>14473418</v>
      </c>
      <c r="K593" s="1" t="s">
        <v>116</v>
      </c>
      <c r="L593" s="1">
        <v>2671</v>
      </c>
    </row>
    <row r="594" spans="1:12" ht="22" customHeight="1" x14ac:dyDescent="0.35">
      <c r="A594" s="5">
        <v>2025</v>
      </c>
      <c r="B594" s="5" t="s">
        <v>56</v>
      </c>
      <c r="C594" s="6" t="s">
        <v>57</v>
      </c>
      <c r="D594" s="5" t="s">
        <v>125</v>
      </c>
      <c r="E594" s="8">
        <v>850</v>
      </c>
      <c r="F594" s="8">
        <v>850</v>
      </c>
      <c r="G594" s="10">
        <v>330143028</v>
      </c>
      <c r="H594" s="8">
        <v>850</v>
      </c>
      <c r="I594" s="8">
        <v>850</v>
      </c>
      <c r="J594" s="10">
        <v>330143028</v>
      </c>
      <c r="K594" s="5" t="s">
        <v>116</v>
      </c>
      <c r="L594" s="5">
        <v>2672</v>
      </c>
    </row>
    <row r="595" spans="1:12" ht="22" customHeight="1" x14ac:dyDescent="0.35">
      <c r="A595" s="1">
        <v>2025</v>
      </c>
      <c r="B595" s="1" t="s">
        <v>56</v>
      </c>
      <c r="C595" s="7" t="s">
        <v>57</v>
      </c>
      <c r="D595" s="1" t="s">
        <v>126</v>
      </c>
      <c r="E595" s="9">
        <v>0</v>
      </c>
      <c r="F595" s="9">
        <v>0</v>
      </c>
      <c r="G595" s="11">
        <v>0</v>
      </c>
      <c r="H595" s="9">
        <v>0</v>
      </c>
      <c r="I595" s="9">
        <v>0</v>
      </c>
      <c r="J595" s="11">
        <v>0</v>
      </c>
      <c r="K595" s="1" t="s">
        <v>116</v>
      </c>
      <c r="L595" s="1">
        <v>2672</v>
      </c>
    </row>
    <row r="596" spans="1:12" ht="22" customHeight="1" x14ac:dyDescent="0.35">
      <c r="A596" s="5">
        <v>2025</v>
      </c>
      <c r="B596" s="5" t="s">
        <v>56</v>
      </c>
      <c r="C596" s="6" t="s">
        <v>57</v>
      </c>
      <c r="D596" s="5" t="s">
        <v>127</v>
      </c>
      <c r="E596" s="8">
        <v>0</v>
      </c>
      <c r="F596" s="8">
        <v>0</v>
      </c>
      <c r="G596" s="10">
        <v>0</v>
      </c>
      <c r="H596" s="8">
        <v>0</v>
      </c>
      <c r="I596" s="8">
        <v>0</v>
      </c>
      <c r="J596" s="10">
        <v>0</v>
      </c>
      <c r="K596" s="5" t="s">
        <v>116</v>
      </c>
      <c r="L596" s="5">
        <v>2672</v>
      </c>
    </row>
    <row r="597" spans="1:12" ht="22" customHeight="1" x14ac:dyDescent="0.35">
      <c r="A597" s="1">
        <v>2025</v>
      </c>
      <c r="B597" s="1" t="s">
        <v>56</v>
      </c>
      <c r="C597" s="7" t="s">
        <v>57</v>
      </c>
      <c r="D597" s="1" t="s">
        <v>128</v>
      </c>
      <c r="E597" s="9">
        <v>14</v>
      </c>
      <c r="F597" s="9">
        <v>262</v>
      </c>
      <c r="G597" s="11">
        <v>25804400</v>
      </c>
      <c r="H597" s="9">
        <v>262</v>
      </c>
      <c r="I597" s="9">
        <v>14</v>
      </c>
      <c r="J597" s="11">
        <v>25804400</v>
      </c>
      <c r="K597" s="1" t="s">
        <v>116</v>
      </c>
      <c r="L597" s="1">
        <v>2672</v>
      </c>
    </row>
    <row r="598" spans="1:12" ht="22" customHeight="1" x14ac:dyDescent="0.35">
      <c r="A598" s="5">
        <v>2025</v>
      </c>
      <c r="B598" s="5" t="s">
        <v>58</v>
      </c>
      <c r="C598" s="6" t="s">
        <v>59</v>
      </c>
      <c r="D598" s="5" t="s">
        <v>125</v>
      </c>
      <c r="E598" s="8">
        <v>45</v>
      </c>
      <c r="F598" s="8">
        <v>45</v>
      </c>
      <c r="G598" s="10">
        <v>19900132</v>
      </c>
      <c r="H598" s="8">
        <v>45</v>
      </c>
      <c r="I598" s="8">
        <v>45</v>
      </c>
      <c r="J598" s="10">
        <v>19900132</v>
      </c>
      <c r="K598" s="5" t="s">
        <v>116</v>
      </c>
      <c r="L598" s="5">
        <v>2673</v>
      </c>
    </row>
    <row r="599" spans="1:12" ht="22" customHeight="1" x14ac:dyDescent="0.35">
      <c r="A599" s="1">
        <v>2025</v>
      </c>
      <c r="B599" s="1" t="s">
        <v>58</v>
      </c>
      <c r="C599" s="7" t="s">
        <v>59</v>
      </c>
      <c r="D599" s="1" t="s">
        <v>126</v>
      </c>
      <c r="E599" s="9">
        <v>0</v>
      </c>
      <c r="F599" s="9">
        <v>0</v>
      </c>
      <c r="G599" s="11">
        <v>0</v>
      </c>
      <c r="H599" s="9">
        <v>0</v>
      </c>
      <c r="I599" s="9">
        <v>0</v>
      </c>
      <c r="J599" s="11">
        <v>0</v>
      </c>
      <c r="K599" s="1" t="s">
        <v>116</v>
      </c>
      <c r="L599" s="1">
        <v>2673</v>
      </c>
    </row>
    <row r="600" spans="1:12" ht="22" customHeight="1" x14ac:dyDescent="0.35">
      <c r="A600" s="5">
        <v>2025</v>
      </c>
      <c r="B600" s="5" t="s">
        <v>58</v>
      </c>
      <c r="C600" s="6" t="s">
        <v>59</v>
      </c>
      <c r="D600" s="5" t="s">
        <v>127</v>
      </c>
      <c r="E600" s="8">
        <v>0</v>
      </c>
      <c r="F600" s="8">
        <v>0</v>
      </c>
      <c r="G600" s="10">
        <v>0</v>
      </c>
      <c r="H600" s="8">
        <v>0</v>
      </c>
      <c r="I600" s="8">
        <v>0</v>
      </c>
      <c r="J600" s="10">
        <v>0</v>
      </c>
      <c r="K600" s="5" t="s">
        <v>116</v>
      </c>
      <c r="L600" s="5">
        <v>2673</v>
      </c>
    </row>
    <row r="601" spans="1:12" ht="22" customHeight="1" x14ac:dyDescent="0.35">
      <c r="A601" s="1">
        <v>2025</v>
      </c>
      <c r="B601" s="1" t="s">
        <v>58</v>
      </c>
      <c r="C601" s="7" t="s">
        <v>59</v>
      </c>
      <c r="D601" s="1" t="s">
        <v>128</v>
      </c>
      <c r="E601" s="9">
        <v>0</v>
      </c>
      <c r="F601" s="9">
        <v>0</v>
      </c>
      <c r="G601" s="11">
        <v>0</v>
      </c>
      <c r="H601" s="9">
        <v>0</v>
      </c>
      <c r="I601" s="9">
        <v>0</v>
      </c>
      <c r="J601" s="11">
        <v>0</v>
      </c>
      <c r="K601" s="1" t="s">
        <v>116</v>
      </c>
      <c r="L601" s="1">
        <v>2673</v>
      </c>
    </row>
    <row r="602" spans="1:12" ht="22" customHeight="1" x14ac:dyDescent="0.35">
      <c r="A602" s="5">
        <v>2025</v>
      </c>
      <c r="B602" s="5" t="s">
        <v>60</v>
      </c>
      <c r="C602" s="6" t="s">
        <v>61</v>
      </c>
      <c r="D602" s="5" t="s">
        <v>125</v>
      </c>
      <c r="E602" s="8">
        <v>17</v>
      </c>
      <c r="F602" s="8">
        <v>17</v>
      </c>
      <c r="G602" s="10">
        <v>6678405</v>
      </c>
      <c r="H602" s="8">
        <v>17</v>
      </c>
      <c r="I602" s="8">
        <v>17</v>
      </c>
      <c r="J602" s="10">
        <v>6678405</v>
      </c>
      <c r="K602" s="5" t="s">
        <v>116</v>
      </c>
      <c r="L602" s="5">
        <v>2674</v>
      </c>
    </row>
    <row r="603" spans="1:12" ht="22" customHeight="1" x14ac:dyDescent="0.35">
      <c r="A603" s="1">
        <v>2025</v>
      </c>
      <c r="B603" s="1" t="s">
        <v>60</v>
      </c>
      <c r="C603" s="7" t="s">
        <v>61</v>
      </c>
      <c r="D603" s="1" t="s">
        <v>126</v>
      </c>
      <c r="E603" s="9">
        <v>0</v>
      </c>
      <c r="F603" s="9">
        <v>0</v>
      </c>
      <c r="G603" s="11">
        <v>0</v>
      </c>
      <c r="H603" s="9">
        <v>0</v>
      </c>
      <c r="I603" s="9">
        <v>0</v>
      </c>
      <c r="J603" s="11">
        <v>0</v>
      </c>
      <c r="K603" s="1" t="s">
        <v>116</v>
      </c>
      <c r="L603" s="1">
        <v>2674</v>
      </c>
    </row>
    <row r="604" spans="1:12" ht="22" customHeight="1" x14ac:dyDescent="0.35">
      <c r="A604" s="5">
        <v>2025</v>
      </c>
      <c r="B604" s="5" t="s">
        <v>60</v>
      </c>
      <c r="C604" s="6" t="s">
        <v>61</v>
      </c>
      <c r="D604" s="5" t="s">
        <v>127</v>
      </c>
      <c r="E604" s="8">
        <v>0</v>
      </c>
      <c r="F604" s="8">
        <v>0</v>
      </c>
      <c r="G604" s="10">
        <v>0</v>
      </c>
      <c r="H604" s="8">
        <v>0</v>
      </c>
      <c r="I604" s="8">
        <v>0</v>
      </c>
      <c r="J604" s="10">
        <v>0</v>
      </c>
      <c r="K604" s="5" t="s">
        <v>116</v>
      </c>
      <c r="L604" s="5">
        <v>2674</v>
      </c>
    </row>
    <row r="605" spans="1:12" ht="22" customHeight="1" x14ac:dyDescent="0.35">
      <c r="A605" s="1">
        <v>2025</v>
      </c>
      <c r="B605" s="1" t="s">
        <v>60</v>
      </c>
      <c r="C605" s="7" t="s">
        <v>61</v>
      </c>
      <c r="D605" s="1" t="s">
        <v>128</v>
      </c>
      <c r="E605" s="9">
        <v>0</v>
      </c>
      <c r="F605" s="9">
        <v>0</v>
      </c>
      <c r="G605" s="11">
        <v>0</v>
      </c>
      <c r="H605" s="9">
        <v>0</v>
      </c>
      <c r="I605" s="9">
        <v>0</v>
      </c>
      <c r="J605" s="11">
        <v>0</v>
      </c>
      <c r="K605" s="1" t="s">
        <v>116</v>
      </c>
      <c r="L605" s="1">
        <v>2674</v>
      </c>
    </row>
    <row r="606" spans="1:12" ht="22" customHeight="1" x14ac:dyDescent="0.35">
      <c r="A606" s="5">
        <v>2025</v>
      </c>
      <c r="B606" s="5" t="s">
        <v>62</v>
      </c>
      <c r="C606" s="6" t="s">
        <v>63</v>
      </c>
      <c r="D606" s="5" t="s">
        <v>125</v>
      </c>
      <c r="E606" s="8">
        <v>841</v>
      </c>
      <c r="F606" s="8">
        <v>841</v>
      </c>
      <c r="G606" s="10">
        <v>340323749</v>
      </c>
      <c r="H606" s="8">
        <v>841</v>
      </c>
      <c r="I606" s="8">
        <v>841</v>
      </c>
      <c r="J606" s="10">
        <v>340323749</v>
      </c>
      <c r="K606" s="5" t="s">
        <v>116</v>
      </c>
      <c r="L606" s="5">
        <v>2675</v>
      </c>
    </row>
    <row r="607" spans="1:12" ht="22" customHeight="1" x14ac:dyDescent="0.35">
      <c r="A607" s="1">
        <v>2025</v>
      </c>
      <c r="B607" s="1" t="s">
        <v>62</v>
      </c>
      <c r="C607" s="7" t="s">
        <v>63</v>
      </c>
      <c r="D607" s="1" t="s">
        <v>126</v>
      </c>
      <c r="E607" s="9">
        <v>4</v>
      </c>
      <c r="F607" s="9">
        <v>8</v>
      </c>
      <c r="G607" s="11">
        <v>1288614</v>
      </c>
      <c r="H607" s="9">
        <v>8</v>
      </c>
      <c r="I607" s="9">
        <v>4</v>
      </c>
      <c r="J607" s="11">
        <v>1288614</v>
      </c>
      <c r="K607" s="1" t="s">
        <v>116</v>
      </c>
      <c r="L607" s="1">
        <v>2675</v>
      </c>
    </row>
    <row r="608" spans="1:12" ht="22" customHeight="1" x14ac:dyDescent="0.35">
      <c r="A608" s="5">
        <v>2025</v>
      </c>
      <c r="B608" s="5" t="s">
        <v>62</v>
      </c>
      <c r="C608" s="6" t="s">
        <v>63</v>
      </c>
      <c r="D608" s="5" t="s">
        <v>127</v>
      </c>
      <c r="E608" s="8">
        <v>18</v>
      </c>
      <c r="F608" s="8">
        <v>72</v>
      </c>
      <c r="G608" s="10">
        <v>12969165</v>
      </c>
      <c r="H608" s="8">
        <v>72</v>
      </c>
      <c r="I608" s="8">
        <v>18</v>
      </c>
      <c r="J608" s="10">
        <v>12969165</v>
      </c>
      <c r="K608" s="5" t="s">
        <v>116</v>
      </c>
      <c r="L608" s="5">
        <v>2675</v>
      </c>
    </row>
    <row r="609" spans="1:12" ht="22" customHeight="1" x14ac:dyDescent="0.35">
      <c r="A609" s="1">
        <v>2025</v>
      </c>
      <c r="B609" s="1" t="s">
        <v>62</v>
      </c>
      <c r="C609" s="7" t="s">
        <v>63</v>
      </c>
      <c r="D609" s="1" t="s">
        <v>128</v>
      </c>
      <c r="E609" s="9">
        <v>25</v>
      </c>
      <c r="F609" s="9">
        <v>996</v>
      </c>
      <c r="G609" s="11">
        <v>135044234</v>
      </c>
      <c r="H609" s="9">
        <v>996</v>
      </c>
      <c r="I609" s="9">
        <v>25</v>
      </c>
      <c r="J609" s="11">
        <v>135044234</v>
      </c>
      <c r="K609" s="1" t="s">
        <v>116</v>
      </c>
      <c r="L609" s="1">
        <v>2675</v>
      </c>
    </row>
    <row r="610" spans="1:12" ht="22" customHeight="1" x14ac:dyDescent="0.35">
      <c r="A610" s="5">
        <v>2025</v>
      </c>
      <c r="B610" s="5" t="s">
        <v>64</v>
      </c>
      <c r="C610" s="6" t="s">
        <v>65</v>
      </c>
      <c r="D610" s="5" t="s">
        <v>125</v>
      </c>
      <c r="E610" s="8">
        <v>123</v>
      </c>
      <c r="F610" s="8">
        <v>123</v>
      </c>
      <c r="G610" s="10">
        <v>38389117</v>
      </c>
      <c r="H610" s="8">
        <v>62</v>
      </c>
      <c r="I610" s="8">
        <v>62</v>
      </c>
      <c r="J610" s="10">
        <v>23284707</v>
      </c>
      <c r="K610" s="5" t="s">
        <v>116</v>
      </c>
      <c r="L610" s="5">
        <v>2676</v>
      </c>
    </row>
    <row r="611" spans="1:12" ht="22" customHeight="1" x14ac:dyDescent="0.35">
      <c r="A611" s="1">
        <v>2025</v>
      </c>
      <c r="B611" s="1" t="s">
        <v>64</v>
      </c>
      <c r="C611" s="7" t="s">
        <v>65</v>
      </c>
      <c r="D611" s="1" t="s">
        <v>126</v>
      </c>
      <c r="E611" s="9">
        <v>0</v>
      </c>
      <c r="F611" s="9">
        <v>0</v>
      </c>
      <c r="G611" s="11">
        <v>0</v>
      </c>
      <c r="H611" s="9">
        <v>0</v>
      </c>
      <c r="I611" s="9">
        <v>0</v>
      </c>
      <c r="J611" s="11">
        <v>0</v>
      </c>
      <c r="K611" s="1" t="s">
        <v>116</v>
      </c>
      <c r="L611" s="1">
        <v>2676</v>
      </c>
    </row>
    <row r="612" spans="1:12" ht="22" customHeight="1" x14ac:dyDescent="0.35">
      <c r="A612" s="5">
        <v>2025</v>
      </c>
      <c r="B612" s="5" t="s">
        <v>64</v>
      </c>
      <c r="C612" s="6" t="s">
        <v>65</v>
      </c>
      <c r="D612" s="5" t="s">
        <v>127</v>
      </c>
      <c r="E612" s="8">
        <v>1</v>
      </c>
      <c r="F612" s="8">
        <v>4</v>
      </c>
      <c r="G612" s="10">
        <v>728059</v>
      </c>
      <c r="H612" s="8">
        <v>4</v>
      </c>
      <c r="I612" s="8">
        <v>1</v>
      </c>
      <c r="J612" s="10">
        <v>728059</v>
      </c>
      <c r="K612" s="5" t="s">
        <v>116</v>
      </c>
      <c r="L612" s="5">
        <v>2676</v>
      </c>
    </row>
    <row r="613" spans="1:12" ht="22" customHeight="1" x14ac:dyDescent="0.35">
      <c r="A613" s="1">
        <v>2025</v>
      </c>
      <c r="B613" s="1" t="s">
        <v>64</v>
      </c>
      <c r="C613" s="7" t="s">
        <v>65</v>
      </c>
      <c r="D613" s="1" t="s">
        <v>128</v>
      </c>
      <c r="E613" s="9">
        <v>0</v>
      </c>
      <c r="F613" s="9">
        <v>0</v>
      </c>
      <c r="G613" s="11">
        <v>0</v>
      </c>
      <c r="H613" s="9">
        <v>0</v>
      </c>
      <c r="I613" s="9">
        <v>0</v>
      </c>
      <c r="J613" s="11">
        <v>0</v>
      </c>
      <c r="K613" s="1" t="s">
        <v>116</v>
      </c>
      <c r="L613" s="1">
        <v>2676</v>
      </c>
    </row>
    <row r="614" spans="1:12" ht="22" customHeight="1" x14ac:dyDescent="0.35">
      <c r="A614" s="5">
        <v>2025</v>
      </c>
      <c r="B614" s="5" t="s">
        <v>66</v>
      </c>
      <c r="C614" s="6" t="s">
        <v>67</v>
      </c>
      <c r="D614" s="5" t="s">
        <v>125</v>
      </c>
      <c r="E614" s="8">
        <v>77</v>
      </c>
      <c r="F614" s="8">
        <v>77</v>
      </c>
      <c r="G614" s="10">
        <v>7299770</v>
      </c>
      <c r="H614" s="8">
        <v>77</v>
      </c>
      <c r="I614" s="8">
        <v>77</v>
      </c>
      <c r="J614" s="10">
        <v>7299770</v>
      </c>
      <c r="K614" s="5" t="s">
        <v>116</v>
      </c>
      <c r="L614" s="5">
        <v>2677</v>
      </c>
    </row>
    <row r="615" spans="1:12" ht="22" customHeight="1" x14ac:dyDescent="0.35">
      <c r="A615" s="1">
        <v>2025</v>
      </c>
      <c r="B615" s="1" t="s">
        <v>66</v>
      </c>
      <c r="C615" s="7" t="s">
        <v>67</v>
      </c>
      <c r="D615" s="1" t="s">
        <v>126</v>
      </c>
      <c r="E615" s="9">
        <v>0</v>
      </c>
      <c r="F615" s="9">
        <v>0</v>
      </c>
      <c r="G615" s="11">
        <v>0</v>
      </c>
      <c r="H615" s="9">
        <v>0</v>
      </c>
      <c r="I615" s="9">
        <v>0</v>
      </c>
      <c r="J615" s="11">
        <v>0</v>
      </c>
      <c r="K615" s="1" t="s">
        <v>116</v>
      </c>
      <c r="L615" s="1">
        <v>2677</v>
      </c>
    </row>
    <row r="616" spans="1:12" ht="22" customHeight="1" x14ac:dyDescent="0.35">
      <c r="A616" s="5">
        <v>2025</v>
      </c>
      <c r="B616" s="5" t="s">
        <v>66</v>
      </c>
      <c r="C616" s="6" t="s">
        <v>67</v>
      </c>
      <c r="D616" s="5" t="s">
        <v>127</v>
      </c>
      <c r="E616" s="8">
        <v>0</v>
      </c>
      <c r="F616" s="8">
        <v>0</v>
      </c>
      <c r="G616" s="10">
        <v>0</v>
      </c>
      <c r="H616" s="8">
        <v>0</v>
      </c>
      <c r="I616" s="8">
        <v>0</v>
      </c>
      <c r="J616" s="10">
        <v>0</v>
      </c>
      <c r="K616" s="5" t="s">
        <v>116</v>
      </c>
      <c r="L616" s="5">
        <v>2677</v>
      </c>
    </row>
    <row r="617" spans="1:12" ht="22" customHeight="1" x14ac:dyDescent="0.35">
      <c r="A617" s="1">
        <v>2025</v>
      </c>
      <c r="B617" s="1" t="s">
        <v>66</v>
      </c>
      <c r="C617" s="7" t="s">
        <v>67</v>
      </c>
      <c r="D617" s="1" t="s">
        <v>128</v>
      </c>
      <c r="E617" s="9">
        <v>0</v>
      </c>
      <c r="F617" s="9">
        <v>0</v>
      </c>
      <c r="G617" s="11">
        <v>0</v>
      </c>
      <c r="H617" s="9">
        <v>0</v>
      </c>
      <c r="I617" s="9">
        <v>0</v>
      </c>
      <c r="J617" s="11">
        <v>0</v>
      </c>
      <c r="K617" s="1" t="s">
        <v>116</v>
      </c>
      <c r="L617" s="1">
        <v>2677</v>
      </c>
    </row>
    <row r="618" spans="1:12" ht="22" customHeight="1" x14ac:dyDescent="0.35">
      <c r="A618" s="5">
        <v>2025</v>
      </c>
      <c r="B618" s="5" t="s">
        <v>68</v>
      </c>
      <c r="C618" s="6" t="s">
        <v>69</v>
      </c>
      <c r="D618" s="5" t="s">
        <v>125</v>
      </c>
      <c r="E618" s="8">
        <v>27</v>
      </c>
      <c r="F618" s="8">
        <v>27</v>
      </c>
      <c r="G618" s="10">
        <v>10535601</v>
      </c>
      <c r="H618" s="8">
        <v>27</v>
      </c>
      <c r="I618" s="8">
        <v>27</v>
      </c>
      <c r="J618" s="10">
        <v>10535601</v>
      </c>
      <c r="K618" s="5" t="s">
        <v>116</v>
      </c>
      <c r="L618" s="5">
        <v>2678</v>
      </c>
    </row>
    <row r="619" spans="1:12" ht="22" customHeight="1" x14ac:dyDescent="0.35">
      <c r="A619" s="1">
        <v>2025</v>
      </c>
      <c r="B619" s="1" t="s">
        <v>68</v>
      </c>
      <c r="C619" s="7" t="s">
        <v>69</v>
      </c>
      <c r="D619" s="1" t="s">
        <v>126</v>
      </c>
      <c r="E619" s="9">
        <v>0</v>
      </c>
      <c r="F619" s="9">
        <v>0</v>
      </c>
      <c r="G619" s="11">
        <v>0</v>
      </c>
      <c r="H619" s="9">
        <v>0</v>
      </c>
      <c r="I619" s="9">
        <v>0</v>
      </c>
      <c r="J619" s="11">
        <v>0</v>
      </c>
      <c r="K619" s="1" t="s">
        <v>116</v>
      </c>
      <c r="L619" s="1">
        <v>2678</v>
      </c>
    </row>
    <row r="620" spans="1:12" ht="22" customHeight="1" x14ac:dyDescent="0.35">
      <c r="A620" s="5">
        <v>2025</v>
      </c>
      <c r="B620" s="5" t="s">
        <v>68</v>
      </c>
      <c r="C620" s="6" t="s">
        <v>69</v>
      </c>
      <c r="D620" s="5" t="s">
        <v>127</v>
      </c>
      <c r="E620" s="8">
        <v>0</v>
      </c>
      <c r="F620" s="8">
        <v>0</v>
      </c>
      <c r="G620" s="10">
        <v>0</v>
      </c>
      <c r="H620" s="8">
        <v>0</v>
      </c>
      <c r="I620" s="8">
        <v>0</v>
      </c>
      <c r="J620" s="10">
        <v>0</v>
      </c>
      <c r="K620" s="5" t="s">
        <v>116</v>
      </c>
      <c r="L620" s="5">
        <v>2678</v>
      </c>
    </row>
    <row r="621" spans="1:12" ht="22" customHeight="1" x14ac:dyDescent="0.35">
      <c r="A621" s="1">
        <v>2025</v>
      </c>
      <c r="B621" s="1" t="s">
        <v>68</v>
      </c>
      <c r="C621" s="7" t="s">
        <v>69</v>
      </c>
      <c r="D621" s="1" t="s">
        <v>128</v>
      </c>
      <c r="E621" s="9">
        <v>0</v>
      </c>
      <c r="F621" s="9">
        <v>0</v>
      </c>
      <c r="G621" s="11">
        <v>0</v>
      </c>
      <c r="H621" s="9">
        <v>0</v>
      </c>
      <c r="I621" s="9">
        <v>0</v>
      </c>
      <c r="J621" s="11">
        <v>0</v>
      </c>
      <c r="K621" s="1" t="s">
        <v>116</v>
      </c>
      <c r="L621" s="1">
        <v>2678</v>
      </c>
    </row>
    <row r="622" spans="1:12" ht="22" customHeight="1" x14ac:dyDescent="0.35">
      <c r="A622" s="5">
        <v>2025</v>
      </c>
      <c r="B622" s="5" t="s">
        <v>70</v>
      </c>
      <c r="C622" s="6" t="s">
        <v>71</v>
      </c>
      <c r="D622" s="5" t="s">
        <v>125</v>
      </c>
      <c r="E622" s="8">
        <v>42</v>
      </c>
      <c r="F622" s="8">
        <v>42</v>
      </c>
      <c r="G622" s="10">
        <v>15960382</v>
      </c>
      <c r="H622" s="8">
        <v>42</v>
      </c>
      <c r="I622" s="8">
        <v>42</v>
      </c>
      <c r="J622" s="10">
        <v>15960382</v>
      </c>
      <c r="K622" s="5" t="s">
        <v>116</v>
      </c>
      <c r="L622" s="5">
        <v>2679</v>
      </c>
    </row>
    <row r="623" spans="1:12" ht="22" customHeight="1" x14ac:dyDescent="0.35">
      <c r="A623" s="1">
        <v>2025</v>
      </c>
      <c r="B623" s="1" t="s">
        <v>70</v>
      </c>
      <c r="C623" s="7" t="s">
        <v>71</v>
      </c>
      <c r="D623" s="1" t="s">
        <v>126</v>
      </c>
      <c r="E623" s="9">
        <v>3</v>
      </c>
      <c r="F623" s="9">
        <v>6</v>
      </c>
      <c r="G623" s="11">
        <v>933525</v>
      </c>
      <c r="H623" s="9">
        <v>6</v>
      </c>
      <c r="I623" s="9">
        <v>3</v>
      </c>
      <c r="J623" s="11">
        <v>933525</v>
      </c>
      <c r="K623" s="1" t="s">
        <v>116</v>
      </c>
      <c r="L623" s="1">
        <v>2679</v>
      </c>
    </row>
    <row r="624" spans="1:12" ht="22" customHeight="1" x14ac:dyDescent="0.35">
      <c r="A624" s="5">
        <v>2025</v>
      </c>
      <c r="B624" s="5" t="s">
        <v>70</v>
      </c>
      <c r="C624" s="6" t="s">
        <v>71</v>
      </c>
      <c r="D624" s="5" t="s">
        <v>127</v>
      </c>
      <c r="E624" s="8">
        <v>0</v>
      </c>
      <c r="F624" s="8">
        <v>0</v>
      </c>
      <c r="G624" s="10">
        <v>0</v>
      </c>
      <c r="H624" s="8">
        <v>0</v>
      </c>
      <c r="I624" s="8">
        <v>0</v>
      </c>
      <c r="J624" s="10">
        <v>0</v>
      </c>
      <c r="K624" s="5" t="s">
        <v>116</v>
      </c>
      <c r="L624" s="5">
        <v>2679</v>
      </c>
    </row>
    <row r="625" spans="1:12" ht="22" customHeight="1" x14ac:dyDescent="0.35">
      <c r="A625" s="1">
        <v>2025</v>
      </c>
      <c r="B625" s="1" t="s">
        <v>70</v>
      </c>
      <c r="C625" s="7" t="s">
        <v>71</v>
      </c>
      <c r="D625" s="1" t="s">
        <v>128</v>
      </c>
      <c r="E625" s="9">
        <v>4</v>
      </c>
      <c r="F625" s="9">
        <v>76</v>
      </c>
      <c r="G625" s="11">
        <v>12675781</v>
      </c>
      <c r="H625" s="9">
        <v>76</v>
      </c>
      <c r="I625" s="9">
        <v>4</v>
      </c>
      <c r="J625" s="11">
        <v>12675781</v>
      </c>
      <c r="K625" s="1" t="s">
        <v>116</v>
      </c>
      <c r="L625" s="1">
        <v>2679</v>
      </c>
    </row>
    <row r="626" spans="1:12" ht="22" customHeight="1" x14ac:dyDescent="0.35">
      <c r="A626" s="5">
        <v>2025</v>
      </c>
      <c r="B626" s="5" t="s">
        <v>72</v>
      </c>
      <c r="C626" s="6" t="s">
        <v>73</v>
      </c>
      <c r="D626" s="5" t="s">
        <v>125</v>
      </c>
      <c r="E626" s="8">
        <v>678</v>
      </c>
      <c r="F626" s="8">
        <v>678</v>
      </c>
      <c r="G626" s="10">
        <v>190390382</v>
      </c>
      <c r="H626" s="8">
        <v>678</v>
      </c>
      <c r="I626" s="8">
        <v>678</v>
      </c>
      <c r="J626" s="10">
        <v>190390382</v>
      </c>
      <c r="K626" s="5" t="s">
        <v>116</v>
      </c>
      <c r="L626" s="5">
        <v>2680</v>
      </c>
    </row>
    <row r="627" spans="1:12" ht="22" customHeight="1" x14ac:dyDescent="0.35">
      <c r="A627" s="1">
        <v>2025</v>
      </c>
      <c r="B627" s="1" t="s">
        <v>72</v>
      </c>
      <c r="C627" s="7" t="s">
        <v>73</v>
      </c>
      <c r="D627" s="1" t="s">
        <v>126</v>
      </c>
      <c r="E627" s="9">
        <v>0</v>
      </c>
      <c r="F627" s="9">
        <v>0</v>
      </c>
      <c r="G627" s="11">
        <v>0</v>
      </c>
      <c r="H627" s="9">
        <v>0</v>
      </c>
      <c r="I627" s="9">
        <v>0</v>
      </c>
      <c r="J627" s="11">
        <v>0</v>
      </c>
      <c r="K627" s="1" t="s">
        <v>116</v>
      </c>
      <c r="L627" s="1">
        <v>2680</v>
      </c>
    </row>
    <row r="628" spans="1:12" ht="22" customHeight="1" x14ac:dyDescent="0.35">
      <c r="A628" s="5">
        <v>2025</v>
      </c>
      <c r="B628" s="5" t="s">
        <v>72</v>
      </c>
      <c r="C628" s="6" t="s">
        <v>73</v>
      </c>
      <c r="D628" s="5" t="s">
        <v>127</v>
      </c>
      <c r="E628" s="8">
        <v>0</v>
      </c>
      <c r="F628" s="8">
        <v>0</v>
      </c>
      <c r="G628" s="10">
        <v>0</v>
      </c>
      <c r="H628" s="8">
        <v>0</v>
      </c>
      <c r="I628" s="8">
        <v>0</v>
      </c>
      <c r="J628" s="10">
        <v>0</v>
      </c>
      <c r="K628" s="5" t="s">
        <v>116</v>
      </c>
      <c r="L628" s="5">
        <v>2680</v>
      </c>
    </row>
    <row r="629" spans="1:12" ht="22" customHeight="1" x14ac:dyDescent="0.35">
      <c r="A629" s="1">
        <v>2025</v>
      </c>
      <c r="B629" s="1" t="s">
        <v>72</v>
      </c>
      <c r="C629" s="7" t="s">
        <v>73</v>
      </c>
      <c r="D629" s="1" t="s">
        <v>128</v>
      </c>
      <c r="E629" s="9">
        <v>0</v>
      </c>
      <c r="F629" s="9">
        <v>0</v>
      </c>
      <c r="G629" s="11">
        <v>0</v>
      </c>
      <c r="H629" s="9">
        <v>0</v>
      </c>
      <c r="I629" s="9">
        <v>0</v>
      </c>
      <c r="J629" s="11">
        <v>0</v>
      </c>
      <c r="K629" s="1" t="s">
        <v>116</v>
      </c>
      <c r="L629" s="1">
        <v>2680</v>
      </c>
    </row>
    <row r="630" spans="1:12" ht="22" customHeight="1" x14ac:dyDescent="0.35">
      <c r="A630" s="5">
        <v>2025</v>
      </c>
      <c r="B630" s="5" t="s">
        <v>74</v>
      </c>
      <c r="C630" s="6" t="s">
        <v>75</v>
      </c>
      <c r="D630" s="5" t="s">
        <v>125</v>
      </c>
      <c r="E630" s="8">
        <v>71</v>
      </c>
      <c r="F630" s="8">
        <v>71</v>
      </c>
      <c r="G630" s="10">
        <v>30829823</v>
      </c>
      <c r="H630" s="8">
        <v>64</v>
      </c>
      <c r="I630" s="8">
        <v>64</v>
      </c>
      <c r="J630" s="10">
        <v>26897720</v>
      </c>
      <c r="K630" s="5" t="s">
        <v>116</v>
      </c>
      <c r="L630" s="5">
        <v>2681</v>
      </c>
    </row>
    <row r="631" spans="1:12" ht="22" customHeight="1" x14ac:dyDescent="0.35">
      <c r="A631" s="1">
        <v>2025</v>
      </c>
      <c r="B631" s="1" t="s">
        <v>74</v>
      </c>
      <c r="C631" s="7" t="s">
        <v>75</v>
      </c>
      <c r="D631" s="1" t="s">
        <v>126</v>
      </c>
      <c r="E631" s="9">
        <v>6</v>
      </c>
      <c r="F631" s="9">
        <v>12</v>
      </c>
      <c r="G631" s="11">
        <v>2575217</v>
      </c>
      <c r="H631" s="9">
        <v>10</v>
      </c>
      <c r="I631" s="9">
        <v>5</v>
      </c>
      <c r="J631" s="11">
        <v>2191090</v>
      </c>
      <c r="K631" s="1" t="s">
        <v>116</v>
      </c>
      <c r="L631" s="1">
        <v>2681</v>
      </c>
    </row>
    <row r="632" spans="1:12" ht="22" customHeight="1" x14ac:dyDescent="0.35">
      <c r="A632" s="5">
        <v>2025</v>
      </c>
      <c r="B632" s="5" t="s">
        <v>74</v>
      </c>
      <c r="C632" s="6" t="s">
        <v>75</v>
      </c>
      <c r="D632" s="5" t="s">
        <v>127</v>
      </c>
      <c r="E632" s="8">
        <v>3</v>
      </c>
      <c r="F632" s="8">
        <v>11</v>
      </c>
      <c r="G632" s="10">
        <v>1201634</v>
      </c>
      <c r="H632" s="8">
        <v>11</v>
      </c>
      <c r="I632" s="8">
        <v>3</v>
      </c>
      <c r="J632" s="10">
        <v>1201634</v>
      </c>
      <c r="K632" s="5" t="s">
        <v>116</v>
      </c>
      <c r="L632" s="5">
        <v>2681</v>
      </c>
    </row>
    <row r="633" spans="1:12" ht="22" customHeight="1" x14ac:dyDescent="0.35">
      <c r="A633" s="1">
        <v>2025</v>
      </c>
      <c r="B633" s="1" t="s">
        <v>74</v>
      </c>
      <c r="C633" s="7" t="s">
        <v>75</v>
      </c>
      <c r="D633" s="1" t="s">
        <v>128</v>
      </c>
      <c r="E633" s="9">
        <v>1</v>
      </c>
      <c r="F633" s="9">
        <v>8</v>
      </c>
      <c r="G633" s="11">
        <v>1396589</v>
      </c>
      <c r="H633" s="9">
        <v>8</v>
      </c>
      <c r="I633" s="9">
        <v>1</v>
      </c>
      <c r="J633" s="11">
        <v>1396589</v>
      </c>
      <c r="K633" s="1" t="s">
        <v>116</v>
      </c>
      <c r="L633" s="1">
        <v>2681</v>
      </c>
    </row>
    <row r="634" spans="1:12" ht="22" customHeight="1" x14ac:dyDescent="0.35">
      <c r="A634" s="5">
        <v>2025</v>
      </c>
      <c r="B634" s="5" t="s">
        <v>76</v>
      </c>
      <c r="C634" s="6" t="s">
        <v>77</v>
      </c>
      <c r="D634" s="5" t="s">
        <v>125</v>
      </c>
      <c r="E634" s="8">
        <v>122</v>
      </c>
      <c r="F634" s="8">
        <v>122</v>
      </c>
      <c r="G634" s="10">
        <v>47048917</v>
      </c>
      <c r="H634" s="8">
        <v>104</v>
      </c>
      <c r="I634" s="8">
        <v>104</v>
      </c>
      <c r="J634" s="10">
        <v>40990128</v>
      </c>
      <c r="K634" s="5" t="s">
        <v>116</v>
      </c>
      <c r="L634" s="5">
        <v>2682</v>
      </c>
    </row>
    <row r="635" spans="1:12" ht="22" customHeight="1" x14ac:dyDescent="0.35">
      <c r="A635" s="1">
        <v>2025</v>
      </c>
      <c r="B635" s="1" t="s">
        <v>76</v>
      </c>
      <c r="C635" s="7" t="s">
        <v>77</v>
      </c>
      <c r="D635" s="1" t="s">
        <v>126</v>
      </c>
      <c r="E635" s="9">
        <v>2</v>
      </c>
      <c r="F635" s="9">
        <v>4</v>
      </c>
      <c r="G635" s="11">
        <v>639952</v>
      </c>
      <c r="H635" s="9">
        <v>4</v>
      </c>
      <c r="I635" s="9">
        <v>2</v>
      </c>
      <c r="J635" s="11">
        <v>639952</v>
      </c>
      <c r="K635" s="1" t="s">
        <v>116</v>
      </c>
      <c r="L635" s="1">
        <v>2682</v>
      </c>
    </row>
    <row r="636" spans="1:12" ht="22" customHeight="1" x14ac:dyDescent="0.35">
      <c r="A636" s="5">
        <v>2025</v>
      </c>
      <c r="B636" s="5" t="s">
        <v>76</v>
      </c>
      <c r="C636" s="6" t="s">
        <v>77</v>
      </c>
      <c r="D636" s="5" t="s">
        <v>127</v>
      </c>
      <c r="E636" s="8">
        <v>1</v>
      </c>
      <c r="F636" s="8">
        <v>4</v>
      </c>
      <c r="G636" s="10">
        <v>875000</v>
      </c>
      <c r="H636" s="8">
        <v>0</v>
      </c>
      <c r="I636" s="8">
        <v>0</v>
      </c>
      <c r="J636" s="10">
        <v>0</v>
      </c>
      <c r="K636" s="5" t="s">
        <v>116</v>
      </c>
      <c r="L636" s="5">
        <v>2682</v>
      </c>
    </row>
    <row r="637" spans="1:12" ht="22" customHeight="1" x14ac:dyDescent="0.35">
      <c r="A637" s="1">
        <v>2025</v>
      </c>
      <c r="B637" s="1" t="s">
        <v>76</v>
      </c>
      <c r="C637" s="7" t="s">
        <v>77</v>
      </c>
      <c r="D637" s="1" t="s">
        <v>128</v>
      </c>
      <c r="E637" s="9">
        <v>2</v>
      </c>
      <c r="F637" s="9">
        <v>16</v>
      </c>
      <c r="G637" s="11">
        <v>2038620</v>
      </c>
      <c r="H637" s="9">
        <v>16</v>
      </c>
      <c r="I637" s="9">
        <v>2</v>
      </c>
      <c r="J637" s="11">
        <v>2038620</v>
      </c>
      <c r="K637" s="1" t="s">
        <v>116</v>
      </c>
      <c r="L637" s="1">
        <v>2682</v>
      </c>
    </row>
    <row r="638" spans="1:12" ht="22" customHeight="1" x14ac:dyDescent="0.35">
      <c r="A638" s="5">
        <v>2025</v>
      </c>
      <c r="B638" s="5" t="s">
        <v>78</v>
      </c>
      <c r="C638" s="6" t="s">
        <v>79</v>
      </c>
      <c r="D638" s="5" t="s">
        <v>125</v>
      </c>
      <c r="E638" s="8">
        <v>67</v>
      </c>
      <c r="F638" s="8">
        <v>67</v>
      </c>
      <c r="G638" s="10">
        <v>17848507</v>
      </c>
      <c r="H638" s="8">
        <v>67</v>
      </c>
      <c r="I638" s="8">
        <v>67</v>
      </c>
      <c r="J638" s="10">
        <v>17848507</v>
      </c>
      <c r="K638" s="5" t="s">
        <v>116</v>
      </c>
      <c r="L638" s="5">
        <v>2683</v>
      </c>
    </row>
    <row r="639" spans="1:12" ht="22" customHeight="1" x14ac:dyDescent="0.35">
      <c r="A639" s="1">
        <v>2025</v>
      </c>
      <c r="B639" s="1" t="s">
        <v>78</v>
      </c>
      <c r="C639" s="7" t="s">
        <v>79</v>
      </c>
      <c r="D639" s="1" t="s">
        <v>126</v>
      </c>
      <c r="E639" s="9">
        <v>3</v>
      </c>
      <c r="F639" s="9">
        <v>6</v>
      </c>
      <c r="G639" s="11">
        <v>1535646</v>
      </c>
      <c r="H639" s="9">
        <v>6</v>
      </c>
      <c r="I639" s="9">
        <v>3</v>
      </c>
      <c r="J639" s="11">
        <v>1535646</v>
      </c>
      <c r="K639" s="1" t="s">
        <v>116</v>
      </c>
      <c r="L639" s="1">
        <v>2683</v>
      </c>
    </row>
    <row r="640" spans="1:12" ht="22" customHeight="1" x14ac:dyDescent="0.35">
      <c r="A640" s="5">
        <v>2025</v>
      </c>
      <c r="B640" s="5" t="s">
        <v>78</v>
      </c>
      <c r="C640" s="6" t="s">
        <v>79</v>
      </c>
      <c r="D640" s="5" t="s">
        <v>127</v>
      </c>
      <c r="E640" s="8">
        <v>0</v>
      </c>
      <c r="F640" s="8">
        <v>0</v>
      </c>
      <c r="G640" s="10">
        <v>0</v>
      </c>
      <c r="H640" s="8">
        <v>0</v>
      </c>
      <c r="I640" s="8">
        <v>0</v>
      </c>
      <c r="J640" s="10">
        <v>0</v>
      </c>
      <c r="K640" s="5" t="s">
        <v>116</v>
      </c>
      <c r="L640" s="5">
        <v>2683</v>
      </c>
    </row>
    <row r="641" spans="1:12" ht="22" customHeight="1" x14ac:dyDescent="0.35">
      <c r="A641" s="1">
        <v>2025</v>
      </c>
      <c r="B641" s="1" t="s">
        <v>78</v>
      </c>
      <c r="C641" s="7" t="s">
        <v>79</v>
      </c>
      <c r="D641" s="1" t="s">
        <v>128</v>
      </c>
      <c r="E641" s="9">
        <v>0</v>
      </c>
      <c r="F641" s="9">
        <v>0</v>
      </c>
      <c r="G641" s="11">
        <v>0</v>
      </c>
      <c r="H641" s="9">
        <v>0</v>
      </c>
      <c r="I641" s="9">
        <v>0</v>
      </c>
      <c r="J641" s="11">
        <v>0</v>
      </c>
      <c r="K641" s="1" t="s">
        <v>116</v>
      </c>
      <c r="L641" s="1">
        <v>2683</v>
      </c>
    </row>
    <row r="642" spans="1:12" ht="22" customHeight="1" x14ac:dyDescent="0.35">
      <c r="A642" s="5">
        <v>2025</v>
      </c>
      <c r="B642" s="5" t="s">
        <v>80</v>
      </c>
      <c r="C642" s="6" t="s">
        <v>81</v>
      </c>
      <c r="D642" s="5" t="s">
        <v>125</v>
      </c>
      <c r="E642" s="8">
        <v>92</v>
      </c>
      <c r="F642" s="8">
        <v>92</v>
      </c>
      <c r="G642" s="10">
        <v>29875373</v>
      </c>
      <c r="H642" s="8">
        <v>92</v>
      </c>
      <c r="I642" s="8">
        <v>92</v>
      </c>
      <c r="J642" s="10">
        <v>29875373</v>
      </c>
      <c r="K642" s="5" t="s">
        <v>116</v>
      </c>
      <c r="L642" s="5">
        <v>2684</v>
      </c>
    </row>
    <row r="643" spans="1:12" ht="22" customHeight="1" x14ac:dyDescent="0.35">
      <c r="A643" s="1">
        <v>2025</v>
      </c>
      <c r="B643" s="1" t="s">
        <v>80</v>
      </c>
      <c r="C643" s="7" t="s">
        <v>81</v>
      </c>
      <c r="D643" s="1" t="s">
        <v>126</v>
      </c>
      <c r="E643" s="9">
        <v>6</v>
      </c>
      <c r="F643" s="9">
        <v>12</v>
      </c>
      <c r="G643" s="11">
        <v>2202287</v>
      </c>
      <c r="H643" s="9">
        <v>12</v>
      </c>
      <c r="I643" s="9">
        <v>6</v>
      </c>
      <c r="J643" s="11">
        <v>2202287</v>
      </c>
      <c r="K643" s="1" t="s">
        <v>116</v>
      </c>
      <c r="L643" s="1">
        <v>2684</v>
      </c>
    </row>
    <row r="644" spans="1:12" ht="22" customHeight="1" x14ac:dyDescent="0.35">
      <c r="A644" s="5">
        <v>2025</v>
      </c>
      <c r="B644" s="5" t="s">
        <v>80</v>
      </c>
      <c r="C644" s="6" t="s">
        <v>81</v>
      </c>
      <c r="D644" s="5" t="s">
        <v>127</v>
      </c>
      <c r="E644" s="8">
        <v>11</v>
      </c>
      <c r="F644" s="8">
        <v>42</v>
      </c>
      <c r="G644" s="10">
        <v>8738371</v>
      </c>
      <c r="H644" s="8">
        <v>42</v>
      </c>
      <c r="I644" s="8">
        <v>11</v>
      </c>
      <c r="J644" s="10">
        <v>8738371</v>
      </c>
      <c r="K644" s="5" t="s">
        <v>116</v>
      </c>
      <c r="L644" s="5">
        <v>2684</v>
      </c>
    </row>
    <row r="645" spans="1:12" ht="22" customHeight="1" x14ac:dyDescent="0.35">
      <c r="A645" s="1">
        <v>2025</v>
      </c>
      <c r="B645" s="1" t="s">
        <v>80</v>
      </c>
      <c r="C645" s="7" t="s">
        <v>81</v>
      </c>
      <c r="D645" s="1" t="s">
        <v>128</v>
      </c>
      <c r="E645" s="9">
        <v>8</v>
      </c>
      <c r="F645" s="9">
        <v>46</v>
      </c>
      <c r="G645" s="11">
        <v>7681723</v>
      </c>
      <c r="H645" s="9">
        <v>46</v>
      </c>
      <c r="I645" s="9">
        <v>8</v>
      </c>
      <c r="J645" s="11">
        <v>7681723</v>
      </c>
      <c r="K645" s="1" t="s">
        <v>116</v>
      </c>
      <c r="L645" s="1">
        <v>2684</v>
      </c>
    </row>
    <row r="646" spans="1:12" ht="22" customHeight="1" x14ac:dyDescent="0.35">
      <c r="A646" s="5">
        <v>2025</v>
      </c>
      <c r="B646" s="5" t="s">
        <v>82</v>
      </c>
      <c r="C646" s="6" t="s">
        <v>83</v>
      </c>
      <c r="D646" s="5" t="s">
        <v>125</v>
      </c>
      <c r="E646" s="8">
        <v>21</v>
      </c>
      <c r="F646" s="8">
        <v>21</v>
      </c>
      <c r="G646" s="10">
        <v>3166800</v>
      </c>
      <c r="H646" s="8">
        <v>0</v>
      </c>
      <c r="I646" s="8">
        <v>0</v>
      </c>
      <c r="J646" s="10">
        <v>0</v>
      </c>
      <c r="K646" s="5" t="s">
        <v>116</v>
      </c>
      <c r="L646" s="5">
        <v>2685</v>
      </c>
    </row>
    <row r="647" spans="1:12" ht="22" customHeight="1" x14ac:dyDescent="0.35">
      <c r="A647" s="1">
        <v>2025</v>
      </c>
      <c r="B647" s="1" t="s">
        <v>82</v>
      </c>
      <c r="C647" s="7" t="s">
        <v>83</v>
      </c>
      <c r="D647" s="1" t="s">
        <v>126</v>
      </c>
      <c r="E647" s="9">
        <v>0</v>
      </c>
      <c r="F647" s="9">
        <v>0</v>
      </c>
      <c r="G647" s="11">
        <v>0</v>
      </c>
      <c r="H647" s="9">
        <v>0</v>
      </c>
      <c r="I647" s="9">
        <v>0</v>
      </c>
      <c r="J647" s="11">
        <v>0</v>
      </c>
      <c r="K647" s="1" t="s">
        <v>116</v>
      </c>
      <c r="L647" s="1">
        <v>2685</v>
      </c>
    </row>
    <row r="648" spans="1:12" ht="22" customHeight="1" x14ac:dyDescent="0.35">
      <c r="A648" s="5">
        <v>2025</v>
      </c>
      <c r="B648" s="5" t="s">
        <v>82</v>
      </c>
      <c r="C648" s="6" t="s">
        <v>83</v>
      </c>
      <c r="D648" s="5" t="s">
        <v>127</v>
      </c>
      <c r="E648" s="8">
        <v>0</v>
      </c>
      <c r="F648" s="8">
        <v>0</v>
      </c>
      <c r="G648" s="10">
        <v>0</v>
      </c>
      <c r="H648" s="8">
        <v>0</v>
      </c>
      <c r="I648" s="8">
        <v>0</v>
      </c>
      <c r="J648" s="10">
        <v>0</v>
      </c>
      <c r="K648" s="5" t="s">
        <v>116</v>
      </c>
      <c r="L648" s="5">
        <v>2685</v>
      </c>
    </row>
    <row r="649" spans="1:12" ht="22" customHeight="1" x14ac:dyDescent="0.35">
      <c r="A649" s="1">
        <v>2025</v>
      </c>
      <c r="B649" s="1" t="s">
        <v>82</v>
      </c>
      <c r="C649" s="7" t="s">
        <v>83</v>
      </c>
      <c r="D649" s="1" t="s">
        <v>128</v>
      </c>
      <c r="E649" s="9">
        <v>0</v>
      </c>
      <c r="F649" s="9">
        <v>0</v>
      </c>
      <c r="G649" s="11">
        <v>0</v>
      </c>
      <c r="H649" s="9">
        <v>0</v>
      </c>
      <c r="I649" s="9">
        <v>0</v>
      </c>
      <c r="J649" s="11">
        <v>0</v>
      </c>
      <c r="K649" s="1" t="s">
        <v>116</v>
      </c>
      <c r="L649" s="1">
        <v>2685</v>
      </c>
    </row>
    <row r="650" spans="1:12" ht="22" customHeight="1" x14ac:dyDescent="0.35">
      <c r="A650" s="5">
        <v>2025</v>
      </c>
      <c r="B650" s="5" t="s">
        <v>84</v>
      </c>
      <c r="C650" s="6" t="s">
        <v>85</v>
      </c>
      <c r="D650" s="5" t="s">
        <v>125</v>
      </c>
      <c r="E650" s="8">
        <v>62</v>
      </c>
      <c r="F650" s="8">
        <v>62</v>
      </c>
      <c r="G650" s="10">
        <v>34335352</v>
      </c>
      <c r="H650" s="8">
        <v>22</v>
      </c>
      <c r="I650" s="8">
        <v>22</v>
      </c>
      <c r="J650" s="10">
        <v>20200489</v>
      </c>
      <c r="K650" s="5" t="s">
        <v>116</v>
      </c>
      <c r="L650" s="5">
        <v>2686</v>
      </c>
    </row>
    <row r="651" spans="1:12" ht="22" customHeight="1" x14ac:dyDescent="0.35">
      <c r="A651" s="1">
        <v>2025</v>
      </c>
      <c r="B651" s="1" t="s">
        <v>84</v>
      </c>
      <c r="C651" s="7" t="s">
        <v>85</v>
      </c>
      <c r="D651" s="1" t="s">
        <v>126</v>
      </c>
      <c r="E651" s="9">
        <v>0</v>
      </c>
      <c r="F651" s="9">
        <v>0</v>
      </c>
      <c r="G651" s="11">
        <v>0</v>
      </c>
      <c r="H651" s="9">
        <v>0</v>
      </c>
      <c r="I651" s="9">
        <v>0</v>
      </c>
      <c r="J651" s="11">
        <v>0</v>
      </c>
      <c r="K651" s="1" t="s">
        <v>116</v>
      </c>
      <c r="L651" s="1">
        <v>2686</v>
      </c>
    </row>
    <row r="652" spans="1:12" ht="22" customHeight="1" x14ac:dyDescent="0.35">
      <c r="A652" s="5">
        <v>2025</v>
      </c>
      <c r="B652" s="5" t="s">
        <v>84</v>
      </c>
      <c r="C652" s="6" t="s">
        <v>85</v>
      </c>
      <c r="D652" s="5" t="s">
        <v>127</v>
      </c>
      <c r="E652" s="8">
        <v>1</v>
      </c>
      <c r="F652" s="8">
        <v>4</v>
      </c>
      <c r="G652" s="10">
        <v>1400000</v>
      </c>
      <c r="H652" s="8">
        <v>4</v>
      </c>
      <c r="I652" s="8">
        <v>1</v>
      </c>
      <c r="J652" s="10">
        <v>1400000</v>
      </c>
      <c r="K652" s="5" t="s">
        <v>116</v>
      </c>
      <c r="L652" s="5">
        <v>2686</v>
      </c>
    </row>
    <row r="653" spans="1:12" ht="22" customHeight="1" x14ac:dyDescent="0.35">
      <c r="A653" s="1">
        <v>2025</v>
      </c>
      <c r="B653" s="1" t="s">
        <v>84</v>
      </c>
      <c r="C653" s="7" t="s">
        <v>85</v>
      </c>
      <c r="D653" s="1" t="s">
        <v>128</v>
      </c>
      <c r="E653" s="9">
        <v>2</v>
      </c>
      <c r="F653" s="9">
        <v>16</v>
      </c>
      <c r="G653" s="11">
        <v>6000000</v>
      </c>
      <c r="H653" s="9">
        <v>16</v>
      </c>
      <c r="I653" s="9">
        <v>2</v>
      </c>
      <c r="J653" s="11">
        <v>6000000</v>
      </c>
      <c r="K653" s="1" t="s">
        <v>116</v>
      </c>
      <c r="L653" s="1">
        <v>2686</v>
      </c>
    </row>
    <row r="654" spans="1:12" ht="22" customHeight="1" x14ac:dyDescent="0.35">
      <c r="A654" s="5">
        <v>2025</v>
      </c>
      <c r="B654" s="5" t="s">
        <v>86</v>
      </c>
      <c r="C654" s="6" t="s">
        <v>87</v>
      </c>
      <c r="D654" s="5" t="s">
        <v>125</v>
      </c>
      <c r="E654" s="8">
        <v>2576</v>
      </c>
      <c r="F654" s="8">
        <v>2576</v>
      </c>
      <c r="G654" s="10">
        <v>917035696</v>
      </c>
      <c r="H654" s="8">
        <v>2566</v>
      </c>
      <c r="I654" s="8">
        <v>2566</v>
      </c>
      <c r="J654" s="10">
        <v>911132492</v>
      </c>
      <c r="K654" s="5" t="s">
        <v>116</v>
      </c>
      <c r="L654" s="5">
        <v>2687</v>
      </c>
    </row>
    <row r="655" spans="1:12" ht="22" customHeight="1" x14ac:dyDescent="0.35">
      <c r="A655" s="1">
        <v>2025</v>
      </c>
      <c r="B655" s="1" t="s">
        <v>86</v>
      </c>
      <c r="C655" s="7" t="s">
        <v>87</v>
      </c>
      <c r="D655" s="1" t="s">
        <v>126</v>
      </c>
      <c r="E655" s="9">
        <v>34</v>
      </c>
      <c r="F655" s="9">
        <v>68</v>
      </c>
      <c r="G655" s="11">
        <v>16011506</v>
      </c>
      <c r="H655" s="9">
        <v>54</v>
      </c>
      <c r="I655" s="9">
        <v>27</v>
      </c>
      <c r="J655" s="11">
        <v>13321491</v>
      </c>
      <c r="K655" s="1" t="s">
        <v>116</v>
      </c>
      <c r="L655" s="1">
        <v>2687</v>
      </c>
    </row>
    <row r="656" spans="1:12" ht="22" customHeight="1" x14ac:dyDescent="0.35">
      <c r="A656" s="5">
        <v>2025</v>
      </c>
      <c r="B656" s="5" t="s">
        <v>86</v>
      </c>
      <c r="C656" s="6" t="s">
        <v>87</v>
      </c>
      <c r="D656" s="5" t="s">
        <v>127</v>
      </c>
      <c r="E656" s="8">
        <v>29</v>
      </c>
      <c r="F656" s="8">
        <v>101</v>
      </c>
      <c r="G656" s="10">
        <v>30508274</v>
      </c>
      <c r="H656" s="8">
        <v>101</v>
      </c>
      <c r="I656" s="8">
        <v>29</v>
      </c>
      <c r="J656" s="10">
        <v>30508274</v>
      </c>
      <c r="K656" s="5" t="s">
        <v>116</v>
      </c>
      <c r="L656" s="5">
        <v>2687</v>
      </c>
    </row>
    <row r="657" spans="1:12" ht="22" customHeight="1" x14ac:dyDescent="0.35">
      <c r="A657" s="1">
        <v>2025</v>
      </c>
      <c r="B657" s="1" t="s">
        <v>86</v>
      </c>
      <c r="C657" s="7" t="s">
        <v>87</v>
      </c>
      <c r="D657" s="1" t="s">
        <v>128</v>
      </c>
      <c r="E657" s="9">
        <v>82</v>
      </c>
      <c r="F657" s="9">
        <v>4434</v>
      </c>
      <c r="G657" s="11">
        <v>1023835457</v>
      </c>
      <c r="H657" s="9">
        <v>4434</v>
      </c>
      <c r="I657" s="9">
        <v>82</v>
      </c>
      <c r="J657" s="11">
        <v>1023835457</v>
      </c>
      <c r="K657" s="1" t="s">
        <v>116</v>
      </c>
      <c r="L657" s="1">
        <v>2687</v>
      </c>
    </row>
    <row r="658" spans="1:12" ht="22" customHeight="1" x14ac:dyDescent="0.35">
      <c r="A658" s="5">
        <v>2025</v>
      </c>
      <c r="B658" s="5" t="s">
        <v>88</v>
      </c>
      <c r="C658" s="6" t="s">
        <v>89</v>
      </c>
      <c r="D658" s="5" t="s">
        <v>125</v>
      </c>
      <c r="E658" s="8">
        <v>49</v>
      </c>
      <c r="F658" s="8">
        <v>49</v>
      </c>
      <c r="G658" s="10">
        <v>18881061</v>
      </c>
      <c r="H658" s="8">
        <v>4</v>
      </c>
      <c r="I658" s="8">
        <v>4</v>
      </c>
      <c r="J658" s="10">
        <v>1146423</v>
      </c>
      <c r="K658" s="5" t="s">
        <v>116</v>
      </c>
      <c r="L658" s="5">
        <v>2688</v>
      </c>
    </row>
    <row r="659" spans="1:12" ht="22" customHeight="1" x14ac:dyDescent="0.35">
      <c r="A659" s="1">
        <v>2025</v>
      </c>
      <c r="B659" s="1" t="s">
        <v>88</v>
      </c>
      <c r="C659" s="7" t="s">
        <v>89</v>
      </c>
      <c r="D659" s="1" t="s">
        <v>126</v>
      </c>
      <c r="E659" s="9">
        <v>3</v>
      </c>
      <c r="F659" s="9">
        <v>6</v>
      </c>
      <c r="G659" s="11">
        <v>896537</v>
      </c>
      <c r="H659" s="9">
        <v>4</v>
      </c>
      <c r="I659" s="9">
        <v>2</v>
      </c>
      <c r="J659" s="11">
        <v>477524</v>
      </c>
      <c r="K659" s="1" t="s">
        <v>116</v>
      </c>
      <c r="L659" s="1">
        <v>2688</v>
      </c>
    </row>
    <row r="660" spans="1:12" ht="22" customHeight="1" x14ac:dyDescent="0.35">
      <c r="A660" s="5">
        <v>2025</v>
      </c>
      <c r="B660" s="5" t="s">
        <v>88</v>
      </c>
      <c r="C660" s="6" t="s">
        <v>89</v>
      </c>
      <c r="D660" s="5" t="s">
        <v>127</v>
      </c>
      <c r="E660" s="8">
        <v>0</v>
      </c>
      <c r="F660" s="8">
        <v>0</v>
      </c>
      <c r="G660" s="10">
        <v>0</v>
      </c>
      <c r="H660" s="8">
        <v>0</v>
      </c>
      <c r="I660" s="8">
        <v>0</v>
      </c>
      <c r="J660" s="10">
        <v>0</v>
      </c>
      <c r="K660" s="5" t="s">
        <v>116</v>
      </c>
      <c r="L660" s="5">
        <v>2688</v>
      </c>
    </row>
    <row r="661" spans="1:12" ht="22" customHeight="1" x14ac:dyDescent="0.35">
      <c r="A661" s="1">
        <v>2025</v>
      </c>
      <c r="B661" s="1" t="s">
        <v>88</v>
      </c>
      <c r="C661" s="7" t="s">
        <v>89</v>
      </c>
      <c r="D661" s="1" t="s">
        <v>128</v>
      </c>
      <c r="E661" s="9">
        <v>0</v>
      </c>
      <c r="F661" s="9">
        <v>0</v>
      </c>
      <c r="G661" s="11">
        <v>0</v>
      </c>
      <c r="H661" s="9">
        <v>0</v>
      </c>
      <c r="I661" s="9">
        <v>0</v>
      </c>
      <c r="J661" s="11">
        <v>0</v>
      </c>
      <c r="K661" s="1" t="s">
        <v>116</v>
      </c>
      <c r="L661" s="1">
        <v>2688</v>
      </c>
    </row>
    <row r="662" spans="1:12" ht="22" customHeight="1" x14ac:dyDescent="0.35">
      <c r="A662" s="5">
        <v>2025</v>
      </c>
      <c r="B662" s="5" t="s">
        <v>90</v>
      </c>
      <c r="C662" s="6" t="s">
        <v>91</v>
      </c>
      <c r="D662" s="5" t="s">
        <v>125</v>
      </c>
      <c r="E662" s="8">
        <v>190</v>
      </c>
      <c r="F662" s="8">
        <v>190</v>
      </c>
      <c r="G662" s="10">
        <v>78638443</v>
      </c>
      <c r="H662" s="8">
        <v>190</v>
      </c>
      <c r="I662" s="8">
        <v>190</v>
      </c>
      <c r="J662" s="10">
        <v>78638443</v>
      </c>
      <c r="K662" s="5" t="s">
        <v>116</v>
      </c>
      <c r="L662" s="5">
        <v>2689</v>
      </c>
    </row>
    <row r="663" spans="1:12" ht="22" customHeight="1" x14ac:dyDescent="0.35">
      <c r="A663" s="1">
        <v>2025</v>
      </c>
      <c r="B663" s="1" t="s">
        <v>90</v>
      </c>
      <c r="C663" s="7" t="s">
        <v>91</v>
      </c>
      <c r="D663" s="1" t="s">
        <v>126</v>
      </c>
      <c r="E663" s="9">
        <v>16</v>
      </c>
      <c r="F663" s="9">
        <v>32</v>
      </c>
      <c r="G663" s="11">
        <v>8572342</v>
      </c>
      <c r="H663" s="9">
        <v>32</v>
      </c>
      <c r="I663" s="9">
        <v>16</v>
      </c>
      <c r="J663" s="11">
        <v>8572342</v>
      </c>
      <c r="K663" s="1" t="s">
        <v>116</v>
      </c>
      <c r="L663" s="1">
        <v>2689</v>
      </c>
    </row>
    <row r="664" spans="1:12" ht="22" customHeight="1" x14ac:dyDescent="0.35">
      <c r="A664" s="5">
        <v>2025</v>
      </c>
      <c r="B664" s="5" t="s">
        <v>90</v>
      </c>
      <c r="C664" s="6" t="s">
        <v>91</v>
      </c>
      <c r="D664" s="5" t="s">
        <v>127</v>
      </c>
      <c r="E664" s="8">
        <v>1</v>
      </c>
      <c r="F664" s="8">
        <v>4</v>
      </c>
      <c r="G664" s="10">
        <v>970458</v>
      </c>
      <c r="H664" s="8">
        <v>4</v>
      </c>
      <c r="I664" s="8">
        <v>1</v>
      </c>
      <c r="J664" s="10">
        <v>970458</v>
      </c>
      <c r="K664" s="5" t="s">
        <v>116</v>
      </c>
      <c r="L664" s="5">
        <v>2689</v>
      </c>
    </row>
    <row r="665" spans="1:12" ht="22" customHeight="1" x14ac:dyDescent="0.35">
      <c r="A665" s="1">
        <v>2025</v>
      </c>
      <c r="B665" s="1" t="s">
        <v>90</v>
      </c>
      <c r="C665" s="7" t="s">
        <v>91</v>
      </c>
      <c r="D665" s="1" t="s">
        <v>128</v>
      </c>
      <c r="E665" s="9">
        <v>2</v>
      </c>
      <c r="F665" s="9">
        <v>12</v>
      </c>
      <c r="G665" s="11">
        <v>3231184</v>
      </c>
      <c r="H665" s="9">
        <v>12</v>
      </c>
      <c r="I665" s="9">
        <v>2</v>
      </c>
      <c r="J665" s="11">
        <v>3231184</v>
      </c>
      <c r="K665" s="1" t="s">
        <v>116</v>
      </c>
      <c r="L665" s="1">
        <v>2689</v>
      </c>
    </row>
    <row r="666" spans="1:12" ht="22" customHeight="1" x14ac:dyDescent="0.35">
      <c r="A666" s="5">
        <v>2025</v>
      </c>
      <c r="B666" s="5" t="s">
        <v>92</v>
      </c>
      <c r="C666" s="6" t="s">
        <v>93</v>
      </c>
      <c r="D666" s="5" t="s">
        <v>125</v>
      </c>
      <c r="E666" s="8">
        <v>97</v>
      </c>
      <c r="F666" s="8">
        <v>97</v>
      </c>
      <c r="G666" s="10">
        <v>43574509</v>
      </c>
      <c r="H666" s="8">
        <v>97</v>
      </c>
      <c r="I666" s="8">
        <v>97</v>
      </c>
      <c r="J666" s="10">
        <v>43574509</v>
      </c>
      <c r="K666" s="5" t="s">
        <v>116</v>
      </c>
      <c r="L666" s="5">
        <v>2690</v>
      </c>
    </row>
    <row r="667" spans="1:12" ht="22" customHeight="1" x14ac:dyDescent="0.35">
      <c r="A667" s="1">
        <v>2025</v>
      </c>
      <c r="B667" s="1" t="s">
        <v>92</v>
      </c>
      <c r="C667" s="7" t="s">
        <v>93</v>
      </c>
      <c r="D667" s="1" t="s">
        <v>126</v>
      </c>
      <c r="E667" s="9">
        <v>0</v>
      </c>
      <c r="F667" s="9">
        <v>0</v>
      </c>
      <c r="G667" s="11">
        <v>0</v>
      </c>
      <c r="H667" s="9">
        <v>0</v>
      </c>
      <c r="I667" s="9">
        <v>0</v>
      </c>
      <c r="J667" s="11">
        <v>0</v>
      </c>
      <c r="K667" s="1" t="s">
        <v>116</v>
      </c>
      <c r="L667" s="1">
        <v>2690</v>
      </c>
    </row>
    <row r="668" spans="1:12" ht="22" customHeight="1" x14ac:dyDescent="0.35">
      <c r="A668" s="5">
        <v>2025</v>
      </c>
      <c r="B668" s="5" t="s">
        <v>92</v>
      </c>
      <c r="C668" s="6" t="s">
        <v>93</v>
      </c>
      <c r="D668" s="5" t="s">
        <v>127</v>
      </c>
      <c r="E668" s="8">
        <v>0</v>
      </c>
      <c r="F668" s="8">
        <v>0</v>
      </c>
      <c r="G668" s="10">
        <v>0</v>
      </c>
      <c r="H668" s="8">
        <v>0</v>
      </c>
      <c r="I668" s="8">
        <v>0</v>
      </c>
      <c r="J668" s="10">
        <v>0</v>
      </c>
      <c r="K668" s="5" t="s">
        <v>116</v>
      </c>
      <c r="L668" s="5">
        <v>2690</v>
      </c>
    </row>
    <row r="669" spans="1:12" ht="22" customHeight="1" x14ac:dyDescent="0.35">
      <c r="A669" s="1">
        <v>2025</v>
      </c>
      <c r="B669" s="1" t="s">
        <v>92</v>
      </c>
      <c r="C669" s="7" t="s">
        <v>93</v>
      </c>
      <c r="D669" s="1" t="s">
        <v>128</v>
      </c>
      <c r="E669" s="9">
        <v>0</v>
      </c>
      <c r="F669" s="9">
        <v>0</v>
      </c>
      <c r="G669" s="11">
        <v>0</v>
      </c>
      <c r="H669" s="9">
        <v>0</v>
      </c>
      <c r="I669" s="9">
        <v>0</v>
      </c>
      <c r="J669" s="11">
        <v>0</v>
      </c>
      <c r="K669" s="1" t="s">
        <v>116</v>
      </c>
      <c r="L669" s="1">
        <v>2690</v>
      </c>
    </row>
    <row r="670" spans="1:12" ht="22" customHeight="1" x14ac:dyDescent="0.35">
      <c r="A670" s="5">
        <v>2025</v>
      </c>
      <c r="B670" s="5" t="s">
        <v>94</v>
      </c>
      <c r="C670" s="6" t="s">
        <v>95</v>
      </c>
      <c r="D670" s="5" t="s">
        <v>125</v>
      </c>
      <c r="E670" s="8">
        <v>334</v>
      </c>
      <c r="F670" s="8">
        <v>334</v>
      </c>
      <c r="G670" s="10">
        <v>316214651</v>
      </c>
      <c r="H670" s="8">
        <v>334</v>
      </c>
      <c r="I670" s="8">
        <v>334</v>
      </c>
      <c r="J670" s="10">
        <v>316214651</v>
      </c>
      <c r="K670" s="5" t="s">
        <v>116</v>
      </c>
      <c r="L670" s="5">
        <v>2691</v>
      </c>
    </row>
    <row r="671" spans="1:12" ht="22" customHeight="1" x14ac:dyDescent="0.35">
      <c r="A671" s="1">
        <v>2025</v>
      </c>
      <c r="B671" s="1" t="s">
        <v>94</v>
      </c>
      <c r="C671" s="7" t="s">
        <v>95</v>
      </c>
      <c r="D671" s="1" t="s">
        <v>126</v>
      </c>
      <c r="E671" s="9">
        <v>1</v>
      </c>
      <c r="F671" s="9">
        <v>2</v>
      </c>
      <c r="G671" s="11">
        <v>3135968</v>
      </c>
      <c r="H671" s="9">
        <v>2</v>
      </c>
      <c r="I671" s="9">
        <v>1</v>
      </c>
      <c r="J671" s="11">
        <v>3135968</v>
      </c>
      <c r="K671" s="1" t="s">
        <v>116</v>
      </c>
      <c r="L671" s="1">
        <v>2691</v>
      </c>
    </row>
    <row r="672" spans="1:12" ht="22" customHeight="1" x14ac:dyDescent="0.35">
      <c r="A672" s="5">
        <v>2025</v>
      </c>
      <c r="B672" s="5" t="s">
        <v>94</v>
      </c>
      <c r="C672" s="6" t="s">
        <v>95</v>
      </c>
      <c r="D672" s="5" t="s">
        <v>127</v>
      </c>
      <c r="E672" s="8">
        <v>2</v>
      </c>
      <c r="F672" s="8">
        <v>8</v>
      </c>
      <c r="G672" s="10">
        <v>3483242</v>
      </c>
      <c r="H672" s="8">
        <v>8</v>
      </c>
      <c r="I672" s="8">
        <v>2</v>
      </c>
      <c r="J672" s="10">
        <v>3483242</v>
      </c>
      <c r="K672" s="5" t="s">
        <v>116</v>
      </c>
      <c r="L672" s="5">
        <v>2691</v>
      </c>
    </row>
    <row r="673" spans="1:12" ht="22" customHeight="1" x14ac:dyDescent="0.35">
      <c r="A673" s="1">
        <v>2025</v>
      </c>
      <c r="B673" s="1" t="s">
        <v>94</v>
      </c>
      <c r="C673" s="7" t="s">
        <v>95</v>
      </c>
      <c r="D673" s="1" t="s">
        <v>128</v>
      </c>
      <c r="E673" s="9">
        <v>8</v>
      </c>
      <c r="F673" s="9">
        <v>219</v>
      </c>
      <c r="G673" s="11">
        <v>80340026</v>
      </c>
      <c r="H673" s="9">
        <v>219</v>
      </c>
      <c r="I673" s="9">
        <v>8</v>
      </c>
      <c r="J673" s="11">
        <v>80340026</v>
      </c>
      <c r="K673" s="1" t="s">
        <v>116</v>
      </c>
      <c r="L673" s="1">
        <v>2691</v>
      </c>
    </row>
    <row r="674" spans="1:12" ht="22" customHeight="1" x14ac:dyDescent="0.35">
      <c r="A674" s="5">
        <v>2025</v>
      </c>
      <c r="B674" s="5" t="s">
        <v>96</v>
      </c>
      <c r="C674" s="6" t="s">
        <v>97</v>
      </c>
      <c r="D674" s="5" t="s">
        <v>125</v>
      </c>
      <c r="E674" s="8">
        <v>439</v>
      </c>
      <c r="F674" s="8">
        <v>439</v>
      </c>
      <c r="G674" s="10">
        <v>166219520</v>
      </c>
      <c r="H674" s="8">
        <v>432</v>
      </c>
      <c r="I674" s="8">
        <v>432</v>
      </c>
      <c r="J674" s="10">
        <v>163677645</v>
      </c>
      <c r="K674" s="5" t="s">
        <v>116</v>
      </c>
      <c r="L674" s="5">
        <v>2692</v>
      </c>
    </row>
    <row r="675" spans="1:12" ht="22" customHeight="1" x14ac:dyDescent="0.35">
      <c r="A675" s="1">
        <v>2025</v>
      </c>
      <c r="B675" s="1" t="s">
        <v>96</v>
      </c>
      <c r="C675" s="7" t="s">
        <v>97</v>
      </c>
      <c r="D675" s="1" t="s">
        <v>126</v>
      </c>
      <c r="E675" s="9">
        <v>4</v>
      </c>
      <c r="F675" s="9">
        <v>8</v>
      </c>
      <c r="G675" s="11">
        <v>2638011</v>
      </c>
      <c r="H675" s="9">
        <v>8</v>
      </c>
      <c r="I675" s="9">
        <v>4</v>
      </c>
      <c r="J675" s="11">
        <v>2638011</v>
      </c>
      <c r="K675" s="1" t="s">
        <v>116</v>
      </c>
      <c r="L675" s="1">
        <v>2692</v>
      </c>
    </row>
    <row r="676" spans="1:12" ht="22" customHeight="1" x14ac:dyDescent="0.35">
      <c r="A676" s="5">
        <v>2025</v>
      </c>
      <c r="B676" s="5" t="s">
        <v>96</v>
      </c>
      <c r="C676" s="6" t="s">
        <v>97</v>
      </c>
      <c r="D676" s="5" t="s">
        <v>127</v>
      </c>
      <c r="E676" s="8">
        <v>10</v>
      </c>
      <c r="F676" s="8">
        <v>39</v>
      </c>
      <c r="G676" s="10">
        <v>11220741</v>
      </c>
      <c r="H676" s="8">
        <v>39</v>
      </c>
      <c r="I676" s="8">
        <v>10</v>
      </c>
      <c r="J676" s="10">
        <v>11220741</v>
      </c>
      <c r="K676" s="5" t="s">
        <v>116</v>
      </c>
      <c r="L676" s="5">
        <v>2692</v>
      </c>
    </row>
    <row r="677" spans="1:12" ht="22" customHeight="1" x14ac:dyDescent="0.35">
      <c r="A677" s="1">
        <v>2025</v>
      </c>
      <c r="B677" s="1" t="s">
        <v>96</v>
      </c>
      <c r="C677" s="7" t="s">
        <v>97</v>
      </c>
      <c r="D677" s="1" t="s">
        <v>128</v>
      </c>
      <c r="E677" s="9">
        <v>7</v>
      </c>
      <c r="F677" s="9">
        <v>37</v>
      </c>
      <c r="G677" s="11">
        <v>11379178</v>
      </c>
      <c r="H677" s="9">
        <v>37</v>
      </c>
      <c r="I677" s="9">
        <v>7</v>
      </c>
      <c r="J677" s="11">
        <v>11379178</v>
      </c>
      <c r="K677" s="1" t="s">
        <v>116</v>
      </c>
      <c r="L677" s="1">
        <v>2692</v>
      </c>
    </row>
    <row r="678" spans="1:12" ht="22" customHeight="1" x14ac:dyDescent="0.35">
      <c r="A678" s="5">
        <v>2025</v>
      </c>
      <c r="B678" s="5" t="s">
        <v>98</v>
      </c>
      <c r="C678" s="6" t="s">
        <v>99</v>
      </c>
      <c r="D678" s="5" t="s">
        <v>125</v>
      </c>
      <c r="E678" s="8">
        <v>98</v>
      </c>
      <c r="F678" s="8">
        <v>98</v>
      </c>
      <c r="G678" s="10">
        <v>37938843</v>
      </c>
      <c r="H678" s="8">
        <v>98</v>
      </c>
      <c r="I678" s="8">
        <v>98</v>
      </c>
      <c r="J678" s="10">
        <v>37938843</v>
      </c>
      <c r="K678" s="5" t="s">
        <v>116</v>
      </c>
      <c r="L678" s="5">
        <v>2693</v>
      </c>
    </row>
    <row r="679" spans="1:12" ht="22" customHeight="1" x14ac:dyDescent="0.35">
      <c r="A679" s="1">
        <v>2025</v>
      </c>
      <c r="B679" s="1" t="s">
        <v>98</v>
      </c>
      <c r="C679" s="7" t="s">
        <v>99</v>
      </c>
      <c r="D679" s="1" t="s">
        <v>126</v>
      </c>
      <c r="E679" s="9">
        <v>0</v>
      </c>
      <c r="F679" s="9">
        <v>0</v>
      </c>
      <c r="G679" s="11">
        <v>0</v>
      </c>
      <c r="H679" s="9">
        <v>0</v>
      </c>
      <c r="I679" s="9">
        <v>0</v>
      </c>
      <c r="J679" s="11">
        <v>0</v>
      </c>
      <c r="K679" s="1" t="s">
        <v>116</v>
      </c>
      <c r="L679" s="1">
        <v>2693</v>
      </c>
    </row>
    <row r="680" spans="1:12" ht="22" customHeight="1" x14ac:dyDescent="0.35">
      <c r="A680" s="5">
        <v>2025</v>
      </c>
      <c r="B680" s="5" t="s">
        <v>98</v>
      </c>
      <c r="C680" s="6" t="s">
        <v>99</v>
      </c>
      <c r="D680" s="5" t="s">
        <v>127</v>
      </c>
      <c r="E680" s="8">
        <v>1</v>
      </c>
      <c r="F680" s="8">
        <v>4</v>
      </c>
      <c r="G680" s="10">
        <v>1227008</v>
      </c>
      <c r="H680" s="8">
        <v>4</v>
      </c>
      <c r="I680" s="8">
        <v>1</v>
      </c>
      <c r="J680" s="10">
        <v>1227008</v>
      </c>
      <c r="K680" s="5" t="s">
        <v>116</v>
      </c>
      <c r="L680" s="5">
        <v>2693</v>
      </c>
    </row>
    <row r="681" spans="1:12" ht="22" customHeight="1" x14ac:dyDescent="0.35">
      <c r="A681" s="1">
        <v>2025</v>
      </c>
      <c r="B681" s="1" t="s">
        <v>98</v>
      </c>
      <c r="C681" s="7" t="s">
        <v>99</v>
      </c>
      <c r="D681" s="1" t="s">
        <v>128</v>
      </c>
      <c r="E681" s="9">
        <v>3</v>
      </c>
      <c r="F681" s="9">
        <v>68</v>
      </c>
      <c r="G681" s="11">
        <v>9000000</v>
      </c>
      <c r="H681" s="9">
        <v>68</v>
      </c>
      <c r="I681" s="9">
        <v>3</v>
      </c>
      <c r="J681" s="11">
        <v>9000000</v>
      </c>
      <c r="K681" s="1" t="s">
        <v>116</v>
      </c>
      <c r="L681" s="1">
        <v>2693</v>
      </c>
    </row>
    <row r="682" spans="1:12" ht="22" customHeight="1" x14ac:dyDescent="0.35">
      <c r="A682" s="5">
        <v>2025</v>
      </c>
      <c r="B682" s="5" t="s">
        <v>100</v>
      </c>
      <c r="C682" s="6" t="s">
        <v>101</v>
      </c>
      <c r="D682" s="5" t="s">
        <v>125</v>
      </c>
      <c r="E682" s="8">
        <v>5324</v>
      </c>
      <c r="F682" s="8">
        <v>5324</v>
      </c>
      <c r="G682" s="10">
        <v>1782326563</v>
      </c>
      <c r="H682" s="8">
        <v>5294</v>
      </c>
      <c r="I682" s="8">
        <v>5294</v>
      </c>
      <c r="J682" s="10">
        <v>1754018661</v>
      </c>
      <c r="K682" s="5" t="s">
        <v>116</v>
      </c>
      <c r="L682" s="5">
        <v>2694</v>
      </c>
    </row>
    <row r="683" spans="1:12" ht="22" customHeight="1" x14ac:dyDescent="0.35">
      <c r="A683" s="1">
        <v>2025</v>
      </c>
      <c r="B683" s="1" t="s">
        <v>100</v>
      </c>
      <c r="C683" s="7" t="s">
        <v>101</v>
      </c>
      <c r="D683" s="1" t="s">
        <v>126</v>
      </c>
      <c r="E683" s="9">
        <v>11</v>
      </c>
      <c r="F683" s="9">
        <v>22</v>
      </c>
      <c r="G683" s="11">
        <v>5426800</v>
      </c>
      <c r="H683" s="9">
        <v>22</v>
      </c>
      <c r="I683" s="9">
        <v>11</v>
      </c>
      <c r="J683" s="11">
        <v>5426800</v>
      </c>
      <c r="K683" s="1" t="s">
        <v>116</v>
      </c>
      <c r="L683" s="1">
        <v>2694</v>
      </c>
    </row>
    <row r="684" spans="1:12" ht="22" customHeight="1" x14ac:dyDescent="0.35">
      <c r="A684" s="5">
        <v>2025</v>
      </c>
      <c r="B684" s="5" t="s">
        <v>100</v>
      </c>
      <c r="C684" s="6" t="s">
        <v>101</v>
      </c>
      <c r="D684" s="5" t="s">
        <v>127</v>
      </c>
      <c r="E684" s="8">
        <v>45</v>
      </c>
      <c r="F684" s="8">
        <v>169</v>
      </c>
      <c r="G684" s="10">
        <v>35810197</v>
      </c>
      <c r="H684" s="8">
        <v>169</v>
      </c>
      <c r="I684" s="8">
        <v>45</v>
      </c>
      <c r="J684" s="10">
        <v>35810197</v>
      </c>
      <c r="K684" s="5" t="s">
        <v>116</v>
      </c>
      <c r="L684" s="5">
        <v>2694</v>
      </c>
    </row>
    <row r="685" spans="1:12" ht="22" customHeight="1" x14ac:dyDescent="0.35">
      <c r="A685" s="1">
        <v>2025</v>
      </c>
      <c r="B685" s="1" t="s">
        <v>100</v>
      </c>
      <c r="C685" s="7" t="s">
        <v>101</v>
      </c>
      <c r="D685" s="1" t="s">
        <v>128</v>
      </c>
      <c r="E685" s="9">
        <v>145</v>
      </c>
      <c r="F685" s="9">
        <v>1687</v>
      </c>
      <c r="G685" s="11">
        <v>278948299</v>
      </c>
      <c r="H685" s="9">
        <v>1687</v>
      </c>
      <c r="I685" s="9">
        <v>145</v>
      </c>
      <c r="J685" s="11">
        <v>278948299</v>
      </c>
      <c r="K685" s="1" t="s">
        <v>116</v>
      </c>
      <c r="L685" s="1">
        <v>2694</v>
      </c>
    </row>
    <row r="686" spans="1:12" ht="22" customHeight="1" x14ac:dyDescent="0.35">
      <c r="A686" s="5">
        <v>2025</v>
      </c>
      <c r="B686" s="5" t="s">
        <v>102</v>
      </c>
      <c r="C686" s="6" t="s">
        <v>103</v>
      </c>
      <c r="D686" s="5" t="s">
        <v>125</v>
      </c>
      <c r="E686" s="8">
        <v>786</v>
      </c>
      <c r="F686" s="8">
        <v>786</v>
      </c>
      <c r="G686" s="10">
        <v>728972938</v>
      </c>
      <c r="H686" s="8">
        <v>758</v>
      </c>
      <c r="I686" s="8">
        <v>758</v>
      </c>
      <c r="J686" s="10">
        <v>701960751</v>
      </c>
      <c r="K686" s="5" t="s">
        <v>116</v>
      </c>
      <c r="L686" s="5">
        <v>2695</v>
      </c>
    </row>
    <row r="687" spans="1:12" ht="22" customHeight="1" x14ac:dyDescent="0.35">
      <c r="A687" s="1">
        <v>2025</v>
      </c>
      <c r="B687" s="1" t="s">
        <v>102</v>
      </c>
      <c r="C687" s="7" t="s">
        <v>103</v>
      </c>
      <c r="D687" s="1" t="s">
        <v>126</v>
      </c>
      <c r="E687" s="9">
        <v>0</v>
      </c>
      <c r="F687" s="9">
        <v>0</v>
      </c>
      <c r="G687" s="11">
        <v>0</v>
      </c>
      <c r="H687" s="9">
        <v>0</v>
      </c>
      <c r="I687" s="9">
        <v>0</v>
      </c>
      <c r="J687" s="11">
        <v>0</v>
      </c>
      <c r="K687" s="1" t="s">
        <v>116</v>
      </c>
      <c r="L687" s="1">
        <v>2695</v>
      </c>
    </row>
    <row r="688" spans="1:12" ht="22" customHeight="1" x14ac:dyDescent="0.35">
      <c r="A688" s="5">
        <v>2025</v>
      </c>
      <c r="B688" s="5" t="s">
        <v>102</v>
      </c>
      <c r="C688" s="6" t="s">
        <v>103</v>
      </c>
      <c r="D688" s="5" t="s">
        <v>127</v>
      </c>
      <c r="E688" s="8">
        <v>0</v>
      </c>
      <c r="F688" s="8">
        <v>0</v>
      </c>
      <c r="G688" s="10">
        <v>0</v>
      </c>
      <c r="H688" s="8">
        <v>0</v>
      </c>
      <c r="I688" s="8">
        <v>0</v>
      </c>
      <c r="J688" s="10">
        <v>0</v>
      </c>
      <c r="K688" s="5" t="s">
        <v>116</v>
      </c>
      <c r="L688" s="5">
        <v>2695</v>
      </c>
    </row>
    <row r="689" spans="1:12" ht="22" customHeight="1" x14ac:dyDescent="0.35">
      <c r="A689" s="1">
        <v>2025</v>
      </c>
      <c r="B689" s="1" t="s">
        <v>102</v>
      </c>
      <c r="C689" s="7" t="s">
        <v>103</v>
      </c>
      <c r="D689" s="1" t="s">
        <v>128</v>
      </c>
      <c r="E689" s="9">
        <v>8</v>
      </c>
      <c r="F689" s="9">
        <v>342</v>
      </c>
      <c r="G689" s="11">
        <v>62026492</v>
      </c>
      <c r="H689" s="9">
        <v>342</v>
      </c>
      <c r="I689" s="9">
        <v>8</v>
      </c>
      <c r="J689" s="11">
        <v>62026492</v>
      </c>
      <c r="K689" s="1" t="s">
        <v>116</v>
      </c>
      <c r="L689" s="1">
        <v>2695</v>
      </c>
    </row>
    <row r="690" spans="1:12" ht="22" customHeight="1" x14ac:dyDescent="0.35">
      <c r="A690" s="5">
        <v>2025</v>
      </c>
      <c r="B690" s="5" t="s">
        <v>104</v>
      </c>
      <c r="C690" s="6" t="s">
        <v>105</v>
      </c>
      <c r="D690" s="5" t="s">
        <v>125</v>
      </c>
      <c r="E690" s="8">
        <v>2497</v>
      </c>
      <c r="F690" s="8">
        <v>2497</v>
      </c>
      <c r="G690" s="10">
        <v>607103625</v>
      </c>
      <c r="H690" s="8">
        <v>2475</v>
      </c>
      <c r="I690" s="8">
        <v>2475</v>
      </c>
      <c r="J690" s="10">
        <v>603310585</v>
      </c>
      <c r="K690" s="5" t="s">
        <v>116</v>
      </c>
      <c r="L690" s="5">
        <v>2696</v>
      </c>
    </row>
    <row r="691" spans="1:12" ht="22" customHeight="1" x14ac:dyDescent="0.35">
      <c r="A691" s="1">
        <v>2025</v>
      </c>
      <c r="B691" s="1" t="s">
        <v>104</v>
      </c>
      <c r="C691" s="7" t="s">
        <v>105</v>
      </c>
      <c r="D691" s="1" t="s">
        <v>126</v>
      </c>
      <c r="E691" s="9">
        <v>5</v>
      </c>
      <c r="F691" s="9">
        <v>10</v>
      </c>
      <c r="G691" s="11">
        <v>2320946</v>
      </c>
      <c r="H691" s="9">
        <v>10</v>
      </c>
      <c r="I691" s="9">
        <v>5</v>
      </c>
      <c r="J691" s="11">
        <v>2320946</v>
      </c>
      <c r="K691" s="1" t="s">
        <v>116</v>
      </c>
      <c r="L691" s="1">
        <v>2696</v>
      </c>
    </row>
    <row r="692" spans="1:12" ht="22" customHeight="1" x14ac:dyDescent="0.35">
      <c r="A692" s="5">
        <v>2025</v>
      </c>
      <c r="B692" s="5" t="s">
        <v>104</v>
      </c>
      <c r="C692" s="6" t="s">
        <v>105</v>
      </c>
      <c r="D692" s="5" t="s">
        <v>127</v>
      </c>
      <c r="E692" s="8">
        <v>6</v>
      </c>
      <c r="F692" s="8">
        <v>24</v>
      </c>
      <c r="G692" s="10">
        <v>7181263</v>
      </c>
      <c r="H692" s="8">
        <v>24</v>
      </c>
      <c r="I692" s="8">
        <v>6</v>
      </c>
      <c r="J692" s="10">
        <v>7181263</v>
      </c>
      <c r="K692" s="5" t="s">
        <v>116</v>
      </c>
      <c r="L692" s="5">
        <v>2696</v>
      </c>
    </row>
    <row r="693" spans="1:12" ht="22" customHeight="1" x14ac:dyDescent="0.35">
      <c r="A693" s="1">
        <v>2025</v>
      </c>
      <c r="B693" s="1" t="s">
        <v>104</v>
      </c>
      <c r="C693" s="7" t="s">
        <v>105</v>
      </c>
      <c r="D693" s="1" t="s">
        <v>128</v>
      </c>
      <c r="E693" s="9">
        <v>20</v>
      </c>
      <c r="F693" s="9">
        <v>326</v>
      </c>
      <c r="G693" s="11">
        <v>39412227</v>
      </c>
      <c r="H693" s="9">
        <v>326</v>
      </c>
      <c r="I693" s="9">
        <v>20</v>
      </c>
      <c r="J693" s="11">
        <v>39412227</v>
      </c>
      <c r="K693" s="1" t="s">
        <v>116</v>
      </c>
      <c r="L693" s="1">
        <v>2696</v>
      </c>
    </row>
    <row r="694" spans="1:12" ht="22" customHeight="1" x14ac:dyDescent="0.35">
      <c r="A694" s="5">
        <v>2025</v>
      </c>
      <c r="B694" s="5" t="s">
        <v>106</v>
      </c>
      <c r="C694" s="6" t="s">
        <v>107</v>
      </c>
      <c r="D694" s="5" t="s">
        <v>125</v>
      </c>
      <c r="E694" s="8">
        <v>29</v>
      </c>
      <c r="F694" s="8">
        <v>29</v>
      </c>
      <c r="G694" s="10">
        <v>10893780</v>
      </c>
      <c r="H694" s="8">
        <v>29</v>
      </c>
      <c r="I694" s="8">
        <v>29</v>
      </c>
      <c r="J694" s="10">
        <v>10893780</v>
      </c>
      <c r="K694" s="5" t="s">
        <v>116</v>
      </c>
      <c r="L694" s="5">
        <v>2697</v>
      </c>
    </row>
    <row r="695" spans="1:12" ht="22" customHeight="1" x14ac:dyDescent="0.35">
      <c r="A695" s="1">
        <v>2025</v>
      </c>
      <c r="B695" s="1" t="s">
        <v>106</v>
      </c>
      <c r="C695" s="7" t="s">
        <v>107</v>
      </c>
      <c r="D695" s="1" t="s">
        <v>126</v>
      </c>
      <c r="E695" s="9">
        <v>0</v>
      </c>
      <c r="F695" s="9">
        <v>0</v>
      </c>
      <c r="G695" s="11">
        <v>0</v>
      </c>
      <c r="H695" s="9">
        <v>0</v>
      </c>
      <c r="I695" s="9">
        <v>0</v>
      </c>
      <c r="J695" s="11">
        <v>0</v>
      </c>
      <c r="K695" s="1" t="s">
        <v>116</v>
      </c>
      <c r="L695" s="1">
        <v>2697</v>
      </c>
    </row>
    <row r="696" spans="1:12" ht="22" customHeight="1" x14ac:dyDescent="0.35">
      <c r="A696" s="5">
        <v>2025</v>
      </c>
      <c r="B696" s="5" t="s">
        <v>106</v>
      </c>
      <c r="C696" s="6" t="s">
        <v>107</v>
      </c>
      <c r="D696" s="5" t="s">
        <v>127</v>
      </c>
      <c r="E696" s="8">
        <v>0</v>
      </c>
      <c r="F696" s="8">
        <v>0</v>
      </c>
      <c r="G696" s="10">
        <v>0</v>
      </c>
      <c r="H696" s="8">
        <v>0</v>
      </c>
      <c r="I696" s="8">
        <v>0</v>
      </c>
      <c r="J696" s="10">
        <v>0</v>
      </c>
      <c r="K696" s="5" t="s">
        <v>116</v>
      </c>
      <c r="L696" s="5">
        <v>2697</v>
      </c>
    </row>
    <row r="697" spans="1:12" ht="22" customHeight="1" x14ac:dyDescent="0.35">
      <c r="A697" s="1">
        <v>2025</v>
      </c>
      <c r="B697" s="1" t="s">
        <v>106</v>
      </c>
      <c r="C697" s="7" t="s">
        <v>107</v>
      </c>
      <c r="D697" s="1" t="s">
        <v>128</v>
      </c>
      <c r="E697" s="9">
        <v>0</v>
      </c>
      <c r="F697" s="9">
        <v>0</v>
      </c>
      <c r="G697" s="11">
        <v>0</v>
      </c>
      <c r="H697" s="9">
        <v>0</v>
      </c>
      <c r="I697" s="9">
        <v>0</v>
      </c>
      <c r="J697" s="11">
        <v>0</v>
      </c>
      <c r="K697" s="1" t="s">
        <v>116</v>
      </c>
      <c r="L697" s="1">
        <v>2697</v>
      </c>
    </row>
    <row r="698" spans="1:12" ht="22" customHeight="1" x14ac:dyDescent="0.35">
      <c r="A698" s="5">
        <v>2025</v>
      </c>
      <c r="B698" s="5" t="s">
        <v>108</v>
      </c>
      <c r="C698" s="6" t="s">
        <v>109</v>
      </c>
      <c r="D698" s="5" t="s">
        <v>125</v>
      </c>
      <c r="E698" s="8">
        <v>813</v>
      </c>
      <c r="F698" s="8">
        <v>813</v>
      </c>
      <c r="G698" s="10">
        <v>313976308</v>
      </c>
      <c r="H698" s="8">
        <v>516</v>
      </c>
      <c r="I698" s="8">
        <v>516</v>
      </c>
      <c r="J698" s="10">
        <v>223407972</v>
      </c>
      <c r="K698" s="5" t="s">
        <v>116</v>
      </c>
      <c r="L698" s="5">
        <v>2698</v>
      </c>
    </row>
    <row r="699" spans="1:12" ht="22" customHeight="1" x14ac:dyDescent="0.35">
      <c r="A699" s="1">
        <v>2025</v>
      </c>
      <c r="B699" s="1" t="s">
        <v>108</v>
      </c>
      <c r="C699" s="7" t="s">
        <v>109</v>
      </c>
      <c r="D699" s="1" t="s">
        <v>126</v>
      </c>
      <c r="E699" s="9">
        <v>3</v>
      </c>
      <c r="F699" s="9">
        <v>6</v>
      </c>
      <c r="G699" s="11">
        <v>1138764</v>
      </c>
      <c r="H699" s="9">
        <v>0</v>
      </c>
      <c r="I699" s="9">
        <v>0</v>
      </c>
      <c r="J699" s="11">
        <v>0</v>
      </c>
      <c r="K699" s="1" t="s">
        <v>116</v>
      </c>
      <c r="L699" s="1">
        <v>2698</v>
      </c>
    </row>
    <row r="700" spans="1:12" ht="22" customHeight="1" x14ac:dyDescent="0.35">
      <c r="A700" s="5">
        <v>2025</v>
      </c>
      <c r="B700" s="5" t="s">
        <v>108</v>
      </c>
      <c r="C700" s="6" t="s">
        <v>109</v>
      </c>
      <c r="D700" s="5" t="s">
        <v>127</v>
      </c>
      <c r="E700" s="8">
        <v>16</v>
      </c>
      <c r="F700" s="8">
        <v>57</v>
      </c>
      <c r="G700" s="10">
        <v>12534421</v>
      </c>
      <c r="H700" s="8">
        <v>57</v>
      </c>
      <c r="I700" s="8">
        <v>16</v>
      </c>
      <c r="J700" s="10">
        <v>12534421</v>
      </c>
      <c r="K700" s="5" t="s">
        <v>116</v>
      </c>
      <c r="L700" s="5">
        <v>2698</v>
      </c>
    </row>
    <row r="701" spans="1:12" ht="22" customHeight="1" x14ac:dyDescent="0.35">
      <c r="A701" s="1">
        <v>2025</v>
      </c>
      <c r="B701" s="1" t="s">
        <v>108</v>
      </c>
      <c r="C701" s="7" t="s">
        <v>109</v>
      </c>
      <c r="D701" s="1" t="s">
        <v>128</v>
      </c>
      <c r="E701" s="9">
        <v>57</v>
      </c>
      <c r="F701" s="9">
        <v>614</v>
      </c>
      <c r="G701" s="11">
        <v>114896883</v>
      </c>
      <c r="H701" s="9">
        <v>272</v>
      </c>
      <c r="I701" s="9">
        <v>42</v>
      </c>
      <c r="J701" s="11">
        <v>62117279</v>
      </c>
      <c r="K701" s="1" t="s">
        <v>116</v>
      </c>
      <c r="L701" s="1">
        <v>2698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7E8B"/>
  </sheetPr>
  <dimension ref="A1:F26"/>
  <sheetViews>
    <sheetView showGridLines="0" workbookViewId="0">
      <pane ySplit="5" topLeftCell="A89" activePane="bottomLeft" state="frozen"/>
      <selection pane="bottomLeft"/>
    </sheetView>
  </sheetViews>
  <sheetFormatPr defaultRowHeight="14.5" x14ac:dyDescent="0.35"/>
  <cols>
    <col min="1" max="1" width="19.7265625" customWidth="1"/>
    <col min="2" max="2" width="36.26953125" customWidth="1"/>
    <col min="3" max="3" width="77.453125" customWidth="1"/>
    <col min="4" max="4" width="32" customWidth="1"/>
    <col min="5" max="5" width="32.453125" customWidth="1"/>
    <col min="6" max="6" width="60.6328125" customWidth="1"/>
  </cols>
  <sheetData>
    <row r="1" spans="1:6" ht="30" customHeight="1" x14ac:dyDescent="0.35">
      <c r="A1" s="2" t="s">
        <v>129</v>
      </c>
      <c r="B1" s="1"/>
      <c r="C1" s="1"/>
      <c r="D1" s="1"/>
      <c r="E1" s="1"/>
      <c r="F1" s="1"/>
    </row>
    <row r="2" spans="1:6" ht="22" customHeight="1" x14ac:dyDescent="0.35">
      <c r="A2" s="3" t="s">
        <v>130</v>
      </c>
      <c r="B2" s="1"/>
      <c r="C2" s="1"/>
      <c r="D2" s="1"/>
      <c r="E2" s="1"/>
      <c r="F2" s="1"/>
    </row>
    <row r="3" spans="1:6" ht="22" customHeight="1" x14ac:dyDescent="0.35">
      <c r="A3" s="1"/>
      <c r="B3" s="1"/>
      <c r="C3" s="1"/>
      <c r="D3" s="1"/>
      <c r="E3" s="1"/>
      <c r="F3" s="1"/>
    </row>
    <row r="4" spans="1:6" ht="22" customHeight="1" x14ac:dyDescent="0.35">
      <c r="A4" s="1"/>
      <c r="B4" s="1"/>
      <c r="C4" s="1"/>
      <c r="D4" s="1"/>
      <c r="E4" s="1"/>
      <c r="F4" s="1"/>
    </row>
    <row r="5" spans="1:6" ht="42" customHeight="1" x14ac:dyDescent="0.35">
      <c r="A5" s="4" t="s">
        <v>47</v>
      </c>
      <c r="B5" s="4" t="s">
        <v>131</v>
      </c>
      <c r="C5" s="4" t="s">
        <v>132</v>
      </c>
      <c r="D5" s="4" t="s">
        <v>133</v>
      </c>
      <c r="E5" s="4" t="s">
        <v>134</v>
      </c>
      <c r="F5" s="4" t="s">
        <v>135</v>
      </c>
    </row>
    <row r="6" spans="1:6" ht="48" customHeight="1" x14ac:dyDescent="0.35">
      <c r="A6" s="16" t="s">
        <v>53</v>
      </c>
      <c r="B6" s="16" t="s">
        <v>136</v>
      </c>
      <c r="C6" s="16" t="s">
        <v>137</v>
      </c>
      <c r="D6" s="16" t="s">
        <v>138</v>
      </c>
      <c r="E6" s="16">
        <v>46296.834509826389</v>
      </c>
      <c r="F6" s="16" t="s">
        <v>139</v>
      </c>
    </row>
    <row r="7" spans="1:6" ht="48" customHeight="1" x14ac:dyDescent="0.35">
      <c r="A7" s="17" t="s">
        <v>140</v>
      </c>
      <c r="B7" s="17" t="s">
        <v>141</v>
      </c>
      <c r="C7" s="17" t="s">
        <v>142</v>
      </c>
      <c r="D7" s="17" t="s">
        <v>143</v>
      </c>
      <c r="E7" s="17">
        <v>46296.834511655092</v>
      </c>
      <c r="F7" s="17" t="s">
        <v>144</v>
      </c>
    </row>
    <row r="8" spans="1:6" ht="48" customHeight="1" x14ac:dyDescent="0.35">
      <c r="A8" s="16" t="s">
        <v>111</v>
      </c>
      <c r="B8" s="16" t="s">
        <v>145</v>
      </c>
      <c r="C8" s="16" t="s">
        <v>146</v>
      </c>
      <c r="D8" s="16" t="s">
        <v>147</v>
      </c>
      <c r="E8" s="16">
        <v>46296.834510914348</v>
      </c>
      <c r="F8" s="16" t="s">
        <v>148</v>
      </c>
    </row>
    <row r="9" spans="1:6" ht="48" customHeight="1" x14ac:dyDescent="0.35">
      <c r="A9" s="17" t="s">
        <v>149</v>
      </c>
      <c r="B9" s="17" t="s">
        <v>150</v>
      </c>
      <c r="C9" s="17" t="s">
        <v>151</v>
      </c>
      <c r="D9" s="17" t="s">
        <v>152</v>
      </c>
      <c r="E9" s="17">
        <v>46296.834509699074</v>
      </c>
      <c r="F9" s="17" t="s">
        <v>153</v>
      </c>
    </row>
    <row r="10" spans="1:6" ht="48" customHeight="1" x14ac:dyDescent="0.35">
      <c r="A10" s="16" t="s">
        <v>112</v>
      </c>
      <c r="B10" s="16" t="s">
        <v>154</v>
      </c>
      <c r="C10" s="16" t="s">
        <v>155</v>
      </c>
      <c r="D10" s="16" t="s">
        <v>156</v>
      </c>
      <c r="E10" s="16">
        <v>46296.83451390046</v>
      </c>
      <c r="F10" s="16" t="s">
        <v>157</v>
      </c>
    </row>
    <row r="11" spans="1:6" ht="48" customHeight="1" x14ac:dyDescent="0.35">
      <c r="A11" s="17" t="s">
        <v>158</v>
      </c>
      <c r="B11" s="17" t="s">
        <v>159</v>
      </c>
      <c r="C11" s="17" t="s">
        <v>160</v>
      </c>
      <c r="D11" s="17" t="s">
        <v>161</v>
      </c>
      <c r="E11" s="17">
        <v>46296.834511956018</v>
      </c>
      <c r="F11" s="17" t="s">
        <v>162</v>
      </c>
    </row>
    <row r="12" spans="1:6" ht="48" customHeight="1" x14ac:dyDescent="0.35">
      <c r="A12" s="16" t="s">
        <v>114</v>
      </c>
      <c r="B12" s="16" t="s">
        <v>163</v>
      </c>
      <c r="C12" s="16" t="s">
        <v>164</v>
      </c>
      <c r="D12" s="16" t="s">
        <v>165</v>
      </c>
      <c r="E12" s="16">
        <v>46296.83451335648</v>
      </c>
      <c r="F12" s="16" t="s">
        <v>166</v>
      </c>
    </row>
    <row r="13" spans="1:6" ht="48" customHeight="1" x14ac:dyDescent="0.35">
      <c r="A13" s="17" t="s">
        <v>167</v>
      </c>
      <c r="B13" s="17" t="s">
        <v>168</v>
      </c>
      <c r="C13" s="17" t="s">
        <v>169</v>
      </c>
      <c r="D13" s="17" t="s">
        <v>170</v>
      </c>
      <c r="E13" s="17">
        <v>46296.834514085647</v>
      </c>
      <c r="F13" s="17" t="s">
        <v>171</v>
      </c>
    </row>
    <row r="14" spans="1:6" ht="48" customHeight="1" x14ac:dyDescent="0.35">
      <c r="A14" s="16" t="s">
        <v>115</v>
      </c>
      <c r="B14" s="16" t="s">
        <v>172</v>
      </c>
      <c r="C14" s="16" t="s">
        <v>173</v>
      </c>
      <c r="D14" s="16" t="s">
        <v>174</v>
      </c>
      <c r="E14" s="16">
        <v>46296.834514259259</v>
      </c>
      <c r="F14" s="16" t="s">
        <v>175</v>
      </c>
    </row>
    <row r="15" spans="1:6" ht="48" customHeight="1" x14ac:dyDescent="0.35">
      <c r="A15" s="17" t="s">
        <v>176</v>
      </c>
      <c r="B15" s="17" t="s">
        <v>177</v>
      </c>
      <c r="C15" s="17" t="s">
        <v>178</v>
      </c>
      <c r="D15" s="17" t="s">
        <v>179</v>
      </c>
      <c r="E15" s="17">
        <v>46296.83451552083</v>
      </c>
      <c r="F15" s="17" t="s">
        <v>180</v>
      </c>
    </row>
    <row r="16" spans="1:6" ht="48" customHeight="1" x14ac:dyDescent="0.35">
      <c r="A16" s="16" t="s">
        <v>116</v>
      </c>
      <c r="B16" s="16" t="s">
        <v>181</v>
      </c>
      <c r="C16" s="16" t="s">
        <v>182</v>
      </c>
      <c r="D16" s="16" t="s">
        <v>183</v>
      </c>
      <c r="E16" s="16">
        <v>46296.83451601852</v>
      </c>
      <c r="F16" s="16" t="s">
        <v>184</v>
      </c>
    </row>
    <row r="17" spans="1:6" ht="48" customHeight="1" x14ac:dyDescent="0.35">
      <c r="A17" s="17" t="s">
        <v>185</v>
      </c>
      <c r="B17" s="17" t="s">
        <v>186</v>
      </c>
      <c r="C17" s="17" t="s">
        <v>187</v>
      </c>
      <c r="D17" s="17" t="s">
        <v>188</v>
      </c>
      <c r="E17" s="17">
        <v>46296.83451601852</v>
      </c>
      <c r="F17" s="17" t="s">
        <v>189</v>
      </c>
    </row>
    <row r="18" spans="1:6" ht="48" customHeight="1" x14ac:dyDescent="0.35">
      <c r="A18" s="16" t="s">
        <v>190</v>
      </c>
      <c r="B18" s="16" t="s">
        <v>191</v>
      </c>
      <c r="C18" s="16" t="s">
        <v>192</v>
      </c>
      <c r="D18" s="16" t="s">
        <v>193</v>
      </c>
      <c r="E18" s="16">
        <v>46296.834520532408</v>
      </c>
      <c r="F18" s="16" t="s">
        <v>194</v>
      </c>
    </row>
    <row r="19" spans="1:6" ht="48" customHeight="1" x14ac:dyDescent="0.35">
      <c r="A19" s="17" t="s">
        <v>195</v>
      </c>
      <c r="B19" s="17" t="s">
        <v>196</v>
      </c>
      <c r="C19" s="17" t="s">
        <v>197</v>
      </c>
      <c r="D19" s="17" t="s">
        <v>198</v>
      </c>
      <c r="E19" s="17">
        <v>46296.834518402778</v>
      </c>
      <c r="F19" s="17" t="s">
        <v>199</v>
      </c>
    </row>
    <row r="20" spans="1:6" ht="48" customHeight="1" x14ac:dyDescent="0.35">
      <c r="A20" s="16" t="s">
        <v>200</v>
      </c>
      <c r="B20" s="16" t="s">
        <v>201</v>
      </c>
      <c r="C20" s="16" t="s">
        <v>202</v>
      </c>
      <c r="D20" s="16" t="s">
        <v>203</v>
      </c>
      <c r="E20" s="16">
        <v>46296.834517928241</v>
      </c>
      <c r="F20" s="16" t="s">
        <v>204</v>
      </c>
    </row>
    <row r="21" spans="1:6" ht="48" customHeight="1" x14ac:dyDescent="0.35">
      <c r="A21" s="17" t="s">
        <v>205</v>
      </c>
      <c r="B21" s="17" t="s">
        <v>206</v>
      </c>
      <c r="C21" s="17" t="s">
        <v>207</v>
      </c>
      <c r="D21" s="17" t="s">
        <v>208</v>
      </c>
      <c r="E21" s="17">
        <v>46296.836872662039</v>
      </c>
      <c r="F21" s="17" t="s">
        <v>209</v>
      </c>
    </row>
    <row r="22" spans="1:6" ht="48" customHeight="1" x14ac:dyDescent="0.35">
      <c r="A22" s="16" t="s">
        <v>210</v>
      </c>
      <c r="B22" s="16" t="s">
        <v>211</v>
      </c>
      <c r="C22" s="16" t="s">
        <v>212</v>
      </c>
      <c r="D22" s="16" t="s">
        <v>213</v>
      </c>
      <c r="E22" s="16">
        <v>46296.836879328701</v>
      </c>
      <c r="F22" s="16" t="s">
        <v>214</v>
      </c>
    </row>
    <row r="23" spans="1:6" ht="48" customHeight="1" x14ac:dyDescent="0.35">
      <c r="A23" s="17" t="s">
        <v>215</v>
      </c>
      <c r="B23" s="17" t="s">
        <v>216</v>
      </c>
      <c r="C23" s="17" t="s">
        <v>217</v>
      </c>
      <c r="D23" s="17" t="s">
        <v>218</v>
      </c>
      <c r="E23" s="17">
        <v>46296.83687806713</v>
      </c>
      <c r="F23" s="17" t="s">
        <v>219</v>
      </c>
    </row>
    <row r="24" spans="1:6" ht="48" customHeight="1" x14ac:dyDescent="0.35">
      <c r="A24" s="16" t="s">
        <v>220</v>
      </c>
      <c r="B24" s="16" t="s">
        <v>221</v>
      </c>
      <c r="C24" s="16" t="s">
        <v>222</v>
      </c>
      <c r="D24" s="16" t="s">
        <v>223</v>
      </c>
      <c r="E24" s="16">
        <v>46296.83687796296</v>
      </c>
      <c r="F24" s="16" t="s">
        <v>224</v>
      </c>
    </row>
    <row r="25" spans="1:6" ht="48" customHeight="1" x14ac:dyDescent="0.35">
      <c r="A25" s="17" t="s">
        <v>225</v>
      </c>
      <c r="B25" s="17" t="s">
        <v>226</v>
      </c>
      <c r="C25" s="17" t="s">
        <v>227</v>
      </c>
      <c r="D25" s="17" t="s">
        <v>228</v>
      </c>
      <c r="E25" s="17">
        <v>46296.83687890046</v>
      </c>
      <c r="F25" s="17" t="s">
        <v>229</v>
      </c>
    </row>
    <row r="26" spans="1:6" ht="48" customHeight="1" x14ac:dyDescent="0.35">
      <c r="A26" s="16" t="s">
        <v>230</v>
      </c>
      <c r="B26" s="16" t="s">
        <v>231</v>
      </c>
      <c r="C26" s="16" t="s">
        <v>232</v>
      </c>
      <c r="D26" s="16" t="s">
        <v>233</v>
      </c>
      <c r="E26" s="16">
        <v>46296.836896307868</v>
      </c>
      <c r="F26" s="16" t="s">
        <v>234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7E8B"/>
  </sheetPr>
  <dimension ref="A1:F67"/>
  <sheetViews>
    <sheetView showGridLines="0" workbookViewId="0">
      <pane ySplit="5" topLeftCell="A194" activePane="bottomLeft" state="frozen"/>
      <selection pane="bottomLeft"/>
    </sheetView>
  </sheetViews>
  <sheetFormatPr defaultRowHeight="14.5" x14ac:dyDescent="0.35"/>
  <cols>
    <col min="1" max="1" width="20.453125" customWidth="1"/>
    <col min="2" max="2" width="28.36328125" customWidth="1"/>
    <col min="3" max="3" width="15.90625" customWidth="1"/>
    <col min="4" max="4" width="15" customWidth="1"/>
    <col min="5" max="5" width="53.7265625" customWidth="1"/>
    <col min="6" max="6" width="51.26953125" customWidth="1"/>
  </cols>
  <sheetData>
    <row r="1" spans="1:6" ht="30" customHeight="1" x14ac:dyDescent="0.35">
      <c r="A1" s="2" t="s">
        <v>235</v>
      </c>
      <c r="B1" s="1"/>
      <c r="C1" s="1"/>
      <c r="D1" s="1"/>
      <c r="E1" s="1"/>
      <c r="F1" s="1"/>
    </row>
    <row r="2" spans="1:6" ht="22" customHeight="1" x14ac:dyDescent="0.35">
      <c r="A2" s="3" t="s">
        <v>236</v>
      </c>
      <c r="B2" s="1"/>
      <c r="C2" s="1"/>
      <c r="D2" s="1"/>
      <c r="E2" s="1"/>
      <c r="F2" s="1"/>
    </row>
    <row r="3" spans="1:6" ht="22" customHeight="1" x14ac:dyDescent="0.35">
      <c r="A3" s="1"/>
      <c r="B3" s="1"/>
      <c r="C3" s="1"/>
      <c r="D3" s="1"/>
      <c r="E3" s="1"/>
      <c r="F3" s="1"/>
    </row>
    <row r="4" spans="1:6" ht="22" customHeight="1" x14ac:dyDescent="0.35">
      <c r="A4" s="1"/>
      <c r="B4" s="1"/>
      <c r="C4" s="1"/>
      <c r="D4" s="1"/>
      <c r="E4" s="1"/>
      <c r="F4" s="1"/>
    </row>
    <row r="5" spans="1:6" ht="42" customHeight="1" x14ac:dyDescent="0.35">
      <c r="A5" s="4" t="s">
        <v>237</v>
      </c>
      <c r="B5" s="4" t="s">
        <v>238</v>
      </c>
      <c r="C5" s="4" t="s">
        <v>239</v>
      </c>
      <c r="D5" s="4" t="s">
        <v>240</v>
      </c>
      <c r="E5" s="4" t="s">
        <v>241</v>
      </c>
      <c r="F5" s="4" t="s">
        <v>242</v>
      </c>
    </row>
    <row r="6" spans="1:6" ht="64" customHeight="1" x14ac:dyDescent="0.35">
      <c r="A6" s="16" t="s">
        <v>243</v>
      </c>
      <c r="B6" s="16" t="s">
        <v>244</v>
      </c>
      <c r="C6" s="16" t="s">
        <v>245</v>
      </c>
      <c r="D6" s="16" t="s">
        <v>246</v>
      </c>
      <c r="E6" s="16" t="s">
        <v>247</v>
      </c>
      <c r="F6" s="16" t="s">
        <v>248</v>
      </c>
    </row>
    <row r="7" spans="1:6" ht="64" customHeight="1" x14ac:dyDescent="0.35">
      <c r="A7" s="17" t="s">
        <v>243</v>
      </c>
      <c r="B7" s="17" t="s">
        <v>249</v>
      </c>
      <c r="C7" s="17" t="s">
        <v>250</v>
      </c>
      <c r="D7" s="17" t="s">
        <v>251</v>
      </c>
      <c r="E7" s="17" t="s">
        <v>252</v>
      </c>
      <c r="F7" s="17" t="s">
        <v>253</v>
      </c>
    </row>
    <row r="8" spans="1:6" ht="64" customHeight="1" x14ac:dyDescent="0.35">
      <c r="A8" s="16" t="s">
        <v>243</v>
      </c>
      <c r="B8" s="16" t="s">
        <v>254</v>
      </c>
      <c r="C8" s="16" t="s">
        <v>250</v>
      </c>
      <c r="D8" s="16" t="s">
        <v>251</v>
      </c>
      <c r="E8" s="16" t="s">
        <v>255</v>
      </c>
      <c r="F8" s="16" t="s">
        <v>256</v>
      </c>
    </row>
    <row r="9" spans="1:6" ht="64" customHeight="1" x14ac:dyDescent="0.35">
      <c r="A9" s="17" t="s">
        <v>243</v>
      </c>
      <c r="B9" s="17" t="s">
        <v>257</v>
      </c>
      <c r="C9" s="17" t="s">
        <v>250</v>
      </c>
      <c r="D9" s="17" t="s">
        <v>251</v>
      </c>
      <c r="E9" s="17" t="s">
        <v>258</v>
      </c>
      <c r="F9" s="17" t="s">
        <v>259</v>
      </c>
    </row>
    <row r="10" spans="1:6" ht="64" customHeight="1" x14ac:dyDescent="0.35">
      <c r="A10" s="16" t="s">
        <v>243</v>
      </c>
      <c r="B10" s="16" t="s">
        <v>260</v>
      </c>
      <c r="C10" s="16" t="s">
        <v>250</v>
      </c>
      <c r="D10" s="16" t="s">
        <v>261</v>
      </c>
      <c r="E10" s="16" t="s">
        <v>262</v>
      </c>
      <c r="F10" s="16" t="s">
        <v>263</v>
      </c>
    </row>
    <row r="11" spans="1:6" ht="64" customHeight="1" x14ac:dyDescent="0.35">
      <c r="A11" s="17" t="s">
        <v>243</v>
      </c>
      <c r="B11" s="17" t="s">
        <v>264</v>
      </c>
      <c r="C11" s="17" t="s">
        <v>245</v>
      </c>
      <c r="D11" s="17" t="s">
        <v>265</v>
      </c>
      <c r="E11" s="17" t="s">
        <v>266</v>
      </c>
      <c r="F11" s="17" t="s">
        <v>267</v>
      </c>
    </row>
    <row r="12" spans="1:6" ht="64" customHeight="1" x14ac:dyDescent="0.35">
      <c r="A12" s="16" t="s">
        <v>243</v>
      </c>
      <c r="B12" s="16" t="s">
        <v>268</v>
      </c>
      <c r="C12" s="16" t="s">
        <v>245</v>
      </c>
      <c r="D12" s="16" t="s">
        <v>265</v>
      </c>
      <c r="E12" s="16" t="s">
        <v>269</v>
      </c>
      <c r="F12" s="16" t="s">
        <v>270</v>
      </c>
    </row>
    <row r="13" spans="1:6" ht="64" customHeight="1" x14ac:dyDescent="0.35">
      <c r="A13" s="17" t="s">
        <v>243</v>
      </c>
      <c r="B13" s="17" t="s">
        <v>271</v>
      </c>
      <c r="C13" s="17" t="s">
        <v>245</v>
      </c>
      <c r="D13" s="17" t="s">
        <v>265</v>
      </c>
      <c r="E13" s="17" t="s">
        <v>272</v>
      </c>
      <c r="F13" s="17" t="s">
        <v>273</v>
      </c>
    </row>
    <row r="14" spans="1:6" ht="64" customHeight="1" x14ac:dyDescent="0.35">
      <c r="A14" s="16" t="s">
        <v>243</v>
      </c>
      <c r="B14" s="16" t="s">
        <v>274</v>
      </c>
      <c r="C14" s="16" t="s">
        <v>245</v>
      </c>
      <c r="D14" s="16" t="s">
        <v>265</v>
      </c>
      <c r="E14" s="16" t="s">
        <v>275</v>
      </c>
      <c r="F14" s="16" t="s">
        <v>276</v>
      </c>
    </row>
    <row r="15" spans="1:6" ht="64" customHeight="1" x14ac:dyDescent="0.35">
      <c r="A15" s="17" t="s">
        <v>243</v>
      </c>
      <c r="B15" s="17" t="s">
        <v>277</v>
      </c>
      <c r="C15" s="17" t="s">
        <v>245</v>
      </c>
      <c r="D15" s="17" t="s">
        <v>265</v>
      </c>
      <c r="E15" s="17" t="s">
        <v>278</v>
      </c>
      <c r="F15" s="17" t="s">
        <v>279</v>
      </c>
    </row>
    <row r="16" spans="1:6" ht="64" customHeight="1" x14ac:dyDescent="0.35">
      <c r="A16" s="16" t="s">
        <v>243</v>
      </c>
      <c r="B16" s="16" t="s">
        <v>280</v>
      </c>
      <c r="C16" s="16" t="s">
        <v>245</v>
      </c>
      <c r="D16" s="16" t="s">
        <v>265</v>
      </c>
      <c r="E16" s="16" t="s">
        <v>281</v>
      </c>
      <c r="F16" s="16" t="s">
        <v>282</v>
      </c>
    </row>
    <row r="17" spans="1:6" ht="64" customHeight="1" x14ac:dyDescent="0.35">
      <c r="A17" s="17" t="s">
        <v>243</v>
      </c>
      <c r="B17" s="17" t="s">
        <v>283</v>
      </c>
      <c r="C17" s="17" t="s">
        <v>245</v>
      </c>
      <c r="D17" s="17" t="s">
        <v>265</v>
      </c>
      <c r="E17" s="17" t="s">
        <v>284</v>
      </c>
      <c r="F17" s="17" t="s">
        <v>285</v>
      </c>
    </row>
    <row r="18" spans="1:6" ht="64" customHeight="1" x14ac:dyDescent="0.35">
      <c r="A18" s="16" t="s">
        <v>243</v>
      </c>
      <c r="B18" s="16" t="s">
        <v>286</v>
      </c>
      <c r="C18" s="16" t="s">
        <v>245</v>
      </c>
      <c r="D18" s="16" t="s">
        <v>287</v>
      </c>
      <c r="E18" s="16" t="s">
        <v>288</v>
      </c>
      <c r="F18" s="16" t="s">
        <v>289</v>
      </c>
    </row>
    <row r="19" spans="1:6" ht="64" customHeight="1" x14ac:dyDescent="0.35">
      <c r="A19" s="17" t="s">
        <v>243</v>
      </c>
      <c r="B19" s="17" t="s">
        <v>290</v>
      </c>
      <c r="C19" s="17" t="s">
        <v>245</v>
      </c>
      <c r="D19" s="17" t="s">
        <v>265</v>
      </c>
      <c r="E19" s="17" t="s">
        <v>291</v>
      </c>
      <c r="F19" s="17" t="s">
        <v>292</v>
      </c>
    </row>
    <row r="20" spans="1:6" ht="64" customHeight="1" x14ac:dyDescent="0.35">
      <c r="A20" s="16" t="s">
        <v>243</v>
      </c>
      <c r="B20" s="16" t="s">
        <v>293</v>
      </c>
      <c r="C20" s="16" t="s">
        <v>245</v>
      </c>
      <c r="D20" s="16" t="s">
        <v>265</v>
      </c>
      <c r="E20" s="16" t="s">
        <v>294</v>
      </c>
      <c r="F20" s="16" t="s">
        <v>295</v>
      </c>
    </row>
    <row r="21" spans="1:6" ht="64" customHeight="1" x14ac:dyDescent="0.35">
      <c r="A21" s="17" t="s">
        <v>243</v>
      </c>
      <c r="B21" s="17" t="s">
        <v>296</v>
      </c>
      <c r="C21" s="17" t="s">
        <v>245</v>
      </c>
      <c r="D21" s="17" t="s">
        <v>287</v>
      </c>
      <c r="E21" s="17" t="s">
        <v>297</v>
      </c>
      <c r="F21" s="17" t="s">
        <v>298</v>
      </c>
    </row>
    <row r="22" spans="1:6" ht="64" customHeight="1" x14ac:dyDescent="0.35">
      <c r="A22" s="16" t="s">
        <v>243</v>
      </c>
      <c r="B22" s="16" t="s">
        <v>299</v>
      </c>
      <c r="C22" s="16" t="s">
        <v>245</v>
      </c>
      <c r="D22" s="16" t="s">
        <v>265</v>
      </c>
      <c r="E22" s="16" t="s">
        <v>300</v>
      </c>
      <c r="F22" s="16" t="s">
        <v>301</v>
      </c>
    </row>
    <row r="23" spans="1:6" ht="64" customHeight="1" x14ac:dyDescent="0.35">
      <c r="A23" s="17" t="s">
        <v>243</v>
      </c>
      <c r="B23" s="17" t="s">
        <v>302</v>
      </c>
      <c r="C23" s="17" t="s">
        <v>303</v>
      </c>
      <c r="D23" s="17" t="s">
        <v>304</v>
      </c>
      <c r="E23" s="17" t="s">
        <v>305</v>
      </c>
      <c r="F23" s="17" t="s">
        <v>306</v>
      </c>
    </row>
    <row r="24" spans="1:6" ht="64" customHeight="1" x14ac:dyDescent="0.35">
      <c r="A24" s="16" t="s">
        <v>243</v>
      </c>
      <c r="B24" s="16" t="s">
        <v>307</v>
      </c>
      <c r="C24" s="16" t="s">
        <v>250</v>
      </c>
      <c r="D24" s="16" t="s">
        <v>308</v>
      </c>
      <c r="E24" s="16" t="s">
        <v>309</v>
      </c>
      <c r="F24" s="16" t="s">
        <v>310</v>
      </c>
    </row>
    <row r="25" spans="1:6" ht="64" customHeight="1" x14ac:dyDescent="0.35">
      <c r="A25" s="17" t="s">
        <v>243</v>
      </c>
      <c r="B25" s="17" t="s">
        <v>311</v>
      </c>
      <c r="C25" s="17" t="s">
        <v>250</v>
      </c>
      <c r="D25" s="17" t="s">
        <v>312</v>
      </c>
      <c r="E25" s="17" t="s">
        <v>313</v>
      </c>
      <c r="F25" s="17" t="s">
        <v>314</v>
      </c>
    </row>
    <row r="26" spans="1:6" ht="64" customHeight="1" x14ac:dyDescent="0.35">
      <c r="A26" s="16" t="s">
        <v>243</v>
      </c>
      <c r="B26" s="16" t="s">
        <v>315</v>
      </c>
      <c r="C26" s="16" t="s">
        <v>250</v>
      </c>
      <c r="D26" s="16" t="s">
        <v>316</v>
      </c>
      <c r="E26" s="16" t="s">
        <v>317</v>
      </c>
      <c r="F26" s="16" t="s">
        <v>318</v>
      </c>
    </row>
    <row r="27" spans="1:6" ht="64" customHeight="1" x14ac:dyDescent="0.35">
      <c r="A27" s="17" t="s">
        <v>243</v>
      </c>
      <c r="B27" s="17" t="s">
        <v>319</v>
      </c>
      <c r="C27" s="17" t="s">
        <v>250</v>
      </c>
      <c r="D27" s="17" t="s">
        <v>320</v>
      </c>
      <c r="E27" s="17" t="s">
        <v>321</v>
      </c>
      <c r="F27" s="17" t="s">
        <v>322</v>
      </c>
    </row>
    <row r="28" spans="1:6" ht="64" customHeight="1" x14ac:dyDescent="0.35">
      <c r="A28" s="16" t="s">
        <v>243</v>
      </c>
      <c r="B28" s="16" t="s">
        <v>323</v>
      </c>
      <c r="C28" s="16" t="s">
        <v>245</v>
      </c>
      <c r="D28" s="16" t="s">
        <v>324</v>
      </c>
      <c r="E28" s="16" t="s">
        <v>325</v>
      </c>
      <c r="F28" s="16" t="s">
        <v>326</v>
      </c>
    </row>
    <row r="29" spans="1:6" ht="64" customHeight="1" x14ac:dyDescent="0.35">
      <c r="A29" s="17" t="s">
        <v>327</v>
      </c>
      <c r="B29" s="17" t="s">
        <v>244</v>
      </c>
      <c r="C29" s="17" t="s">
        <v>245</v>
      </c>
      <c r="D29" s="17" t="s">
        <v>246</v>
      </c>
      <c r="E29" s="17" t="s">
        <v>247</v>
      </c>
      <c r="F29" s="17" t="s">
        <v>248</v>
      </c>
    </row>
    <row r="30" spans="1:6" ht="64" customHeight="1" x14ac:dyDescent="0.35">
      <c r="A30" s="16" t="s">
        <v>327</v>
      </c>
      <c r="B30" s="16" t="s">
        <v>249</v>
      </c>
      <c r="C30" s="16" t="s">
        <v>250</v>
      </c>
      <c r="D30" s="16" t="s">
        <v>251</v>
      </c>
      <c r="E30" s="16" t="s">
        <v>252</v>
      </c>
      <c r="F30" s="16" t="s">
        <v>253</v>
      </c>
    </row>
    <row r="31" spans="1:6" ht="64" customHeight="1" x14ac:dyDescent="0.35">
      <c r="A31" s="17" t="s">
        <v>327</v>
      </c>
      <c r="B31" s="17" t="s">
        <v>254</v>
      </c>
      <c r="C31" s="17" t="s">
        <v>250</v>
      </c>
      <c r="D31" s="17" t="s">
        <v>251</v>
      </c>
      <c r="E31" s="17" t="s">
        <v>255</v>
      </c>
      <c r="F31" s="17" t="s">
        <v>256</v>
      </c>
    </row>
    <row r="32" spans="1:6" ht="64" customHeight="1" x14ac:dyDescent="0.35">
      <c r="A32" s="16" t="s">
        <v>327</v>
      </c>
      <c r="B32" s="16" t="s">
        <v>257</v>
      </c>
      <c r="C32" s="16" t="s">
        <v>250</v>
      </c>
      <c r="D32" s="16" t="s">
        <v>251</v>
      </c>
      <c r="E32" s="16" t="s">
        <v>258</v>
      </c>
      <c r="F32" s="16" t="s">
        <v>259</v>
      </c>
    </row>
    <row r="33" spans="1:6" ht="64" customHeight="1" x14ac:dyDescent="0.35">
      <c r="A33" s="17" t="s">
        <v>327</v>
      </c>
      <c r="B33" s="17" t="s">
        <v>260</v>
      </c>
      <c r="C33" s="17" t="s">
        <v>250</v>
      </c>
      <c r="D33" s="17" t="s">
        <v>261</v>
      </c>
      <c r="E33" s="17" t="s">
        <v>262</v>
      </c>
      <c r="F33" s="17" t="s">
        <v>263</v>
      </c>
    </row>
    <row r="34" spans="1:6" ht="64" customHeight="1" x14ac:dyDescent="0.35">
      <c r="A34" s="16" t="s">
        <v>327</v>
      </c>
      <c r="B34" s="16" t="s">
        <v>328</v>
      </c>
      <c r="C34" s="16" t="s">
        <v>250</v>
      </c>
      <c r="D34" s="16" t="s">
        <v>251</v>
      </c>
      <c r="E34" s="16" t="s">
        <v>329</v>
      </c>
      <c r="F34" s="16" t="s">
        <v>330</v>
      </c>
    </row>
    <row r="35" spans="1:6" ht="64" customHeight="1" x14ac:dyDescent="0.35">
      <c r="A35" s="17" t="s">
        <v>327</v>
      </c>
      <c r="B35" s="17" t="s">
        <v>331</v>
      </c>
      <c r="C35" s="17" t="s">
        <v>250</v>
      </c>
      <c r="D35" s="17" t="s">
        <v>308</v>
      </c>
      <c r="E35" s="17" t="s">
        <v>332</v>
      </c>
      <c r="F35" s="17" t="s">
        <v>333</v>
      </c>
    </row>
    <row r="36" spans="1:6" ht="64" customHeight="1" x14ac:dyDescent="0.35">
      <c r="A36" s="16" t="s">
        <v>327</v>
      </c>
      <c r="B36" s="16" t="s">
        <v>334</v>
      </c>
      <c r="C36" s="16" t="s">
        <v>250</v>
      </c>
      <c r="D36" s="16" t="s">
        <v>308</v>
      </c>
      <c r="E36" s="16" t="s">
        <v>335</v>
      </c>
      <c r="F36" s="16" t="s">
        <v>336</v>
      </c>
    </row>
    <row r="37" spans="1:6" ht="64" customHeight="1" x14ac:dyDescent="0.35">
      <c r="A37" s="17" t="s">
        <v>327</v>
      </c>
      <c r="B37" s="17" t="s">
        <v>337</v>
      </c>
      <c r="C37" s="17" t="s">
        <v>245</v>
      </c>
      <c r="D37" s="17" t="s">
        <v>265</v>
      </c>
      <c r="E37" s="17" t="s">
        <v>338</v>
      </c>
      <c r="F37" s="17" t="s">
        <v>339</v>
      </c>
    </row>
    <row r="38" spans="1:6" ht="64" customHeight="1" x14ac:dyDescent="0.35">
      <c r="A38" s="16" t="s">
        <v>327</v>
      </c>
      <c r="B38" s="16" t="s">
        <v>340</v>
      </c>
      <c r="C38" s="16" t="s">
        <v>245</v>
      </c>
      <c r="D38" s="16" t="s">
        <v>265</v>
      </c>
      <c r="E38" s="16" t="s">
        <v>341</v>
      </c>
      <c r="F38" s="16" t="s">
        <v>342</v>
      </c>
    </row>
    <row r="39" spans="1:6" ht="64" customHeight="1" x14ac:dyDescent="0.35">
      <c r="A39" s="17" t="s">
        <v>327</v>
      </c>
      <c r="B39" s="17" t="s">
        <v>343</v>
      </c>
      <c r="C39" s="17" t="s">
        <v>245</v>
      </c>
      <c r="D39" s="17" t="s">
        <v>287</v>
      </c>
      <c r="E39" s="17" t="s">
        <v>344</v>
      </c>
      <c r="F39" s="17" t="s">
        <v>345</v>
      </c>
    </row>
    <row r="40" spans="1:6" ht="64" customHeight="1" x14ac:dyDescent="0.35">
      <c r="A40" s="16" t="s">
        <v>327</v>
      </c>
      <c r="B40" s="16" t="s">
        <v>290</v>
      </c>
      <c r="C40" s="16" t="s">
        <v>245</v>
      </c>
      <c r="D40" s="16" t="s">
        <v>265</v>
      </c>
      <c r="E40" s="16" t="s">
        <v>346</v>
      </c>
      <c r="F40" s="16" t="s">
        <v>347</v>
      </c>
    </row>
    <row r="41" spans="1:6" ht="64" customHeight="1" x14ac:dyDescent="0.35">
      <c r="A41" s="17" t="s">
        <v>327</v>
      </c>
      <c r="B41" s="17" t="s">
        <v>293</v>
      </c>
      <c r="C41" s="17" t="s">
        <v>245</v>
      </c>
      <c r="D41" s="17" t="s">
        <v>265</v>
      </c>
      <c r="E41" s="17" t="s">
        <v>348</v>
      </c>
      <c r="F41" s="17" t="s">
        <v>349</v>
      </c>
    </row>
    <row r="42" spans="1:6" ht="64" customHeight="1" x14ac:dyDescent="0.35">
      <c r="A42" s="16" t="s">
        <v>327</v>
      </c>
      <c r="B42" s="16" t="s">
        <v>296</v>
      </c>
      <c r="C42" s="16" t="s">
        <v>245</v>
      </c>
      <c r="D42" s="16" t="s">
        <v>287</v>
      </c>
      <c r="E42" s="16" t="s">
        <v>350</v>
      </c>
      <c r="F42" s="16" t="s">
        <v>351</v>
      </c>
    </row>
    <row r="43" spans="1:6" ht="64" customHeight="1" x14ac:dyDescent="0.35">
      <c r="A43" s="17" t="s">
        <v>327</v>
      </c>
      <c r="B43" s="17" t="s">
        <v>307</v>
      </c>
      <c r="C43" s="17" t="s">
        <v>250</v>
      </c>
      <c r="D43" s="17" t="s">
        <v>308</v>
      </c>
      <c r="E43" s="17" t="s">
        <v>309</v>
      </c>
      <c r="F43" s="17" t="s">
        <v>310</v>
      </c>
    </row>
    <row r="44" spans="1:6" ht="64" customHeight="1" x14ac:dyDescent="0.35">
      <c r="A44" s="16" t="s">
        <v>327</v>
      </c>
      <c r="B44" s="16" t="s">
        <v>311</v>
      </c>
      <c r="C44" s="16" t="s">
        <v>250</v>
      </c>
      <c r="D44" s="16" t="s">
        <v>312</v>
      </c>
      <c r="E44" s="16" t="s">
        <v>313</v>
      </c>
      <c r="F44" s="16" t="s">
        <v>314</v>
      </c>
    </row>
    <row r="45" spans="1:6" ht="64" customHeight="1" x14ac:dyDescent="0.35">
      <c r="A45" s="17" t="s">
        <v>327</v>
      </c>
      <c r="B45" s="17" t="s">
        <v>315</v>
      </c>
      <c r="C45" s="17" t="s">
        <v>250</v>
      </c>
      <c r="D45" s="17" t="s">
        <v>316</v>
      </c>
      <c r="E45" s="17" t="s">
        <v>317</v>
      </c>
      <c r="F45" s="17" t="s">
        <v>318</v>
      </c>
    </row>
    <row r="46" spans="1:6" ht="64" customHeight="1" x14ac:dyDescent="0.35">
      <c r="A46" s="16" t="s">
        <v>327</v>
      </c>
      <c r="B46" s="16" t="s">
        <v>319</v>
      </c>
      <c r="C46" s="16" t="s">
        <v>250</v>
      </c>
      <c r="D46" s="16" t="s">
        <v>320</v>
      </c>
      <c r="E46" s="16" t="s">
        <v>321</v>
      </c>
      <c r="F46" s="16" t="s">
        <v>322</v>
      </c>
    </row>
    <row r="47" spans="1:6" ht="64" customHeight="1" x14ac:dyDescent="0.35">
      <c r="A47" s="17" t="s">
        <v>327</v>
      </c>
      <c r="B47" s="17" t="s">
        <v>323</v>
      </c>
      <c r="C47" s="17" t="s">
        <v>245</v>
      </c>
      <c r="D47" s="17" t="s">
        <v>324</v>
      </c>
      <c r="E47" s="17" t="s">
        <v>325</v>
      </c>
      <c r="F47" s="17" t="s">
        <v>326</v>
      </c>
    </row>
    <row r="48" spans="1:6" ht="64" customHeight="1" x14ac:dyDescent="0.35">
      <c r="A48" s="16" t="s">
        <v>352</v>
      </c>
      <c r="B48" s="16" t="s">
        <v>249</v>
      </c>
      <c r="C48" s="16" t="s">
        <v>250</v>
      </c>
      <c r="D48" s="16" t="s">
        <v>251</v>
      </c>
      <c r="E48" s="16" t="s">
        <v>252</v>
      </c>
      <c r="F48" s="16" t="s">
        <v>253</v>
      </c>
    </row>
    <row r="49" spans="1:6" ht="64" customHeight="1" x14ac:dyDescent="0.35">
      <c r="A49" s="17" t="s">
        <v>352</v>
      </c>
      <c r="B49" s="17" t="s">
        <v>254</v>
      </c>
      <c r="C49" s="17" t="s">
        <v>250</v>
      </c>
      <c r="D49" s="17" t="s">
        <v>251</v>
      </c>
      <c r="E49" s="17" t="s">
        <v>255</v>
      </c>
      <c r="F49" s="17" t="s">
        <v>256</v>
      </c>
    </row>
    <row r="50" spans="1:6" ht="64" customHeight="1" x14ac:dyDescent="0.35">
      <c r="A50" s="16" t="s">
        <v>352</v>
      </c>
      <c r="B50" s="16" t="s">
        <v>257</v>
      </c>
      <c r="C50" s="16" t="s">
        <v>250</v>
      </c>
      <c r="D50" s="16" t="s">
        <v>251</v>
      </c>
      <c r="E50" s="16" t="s">
        <v>258</v>
      </c>
      <c r="F50" s="16" t="s">
        <v>259</v>
      </c>
    </row>
    <row r="51" spans="1:6" ht="64" customHeight="1" x14ac:dyDescent="0.35">
      <c r="A51" s="17" t="s">
        <v>352</v>
      </c>
      <c r="B51" s="17" t="s">
        <v>260</v>
      </c>
      <c r="C51" s="17" t="s">
        <v>250</v>
      </c>
      <c r="D51" s="17" t="s">
        <v>261</v>
      </c>
      <c r="E51" s="17" t="s">
        <v>262</v>
      </c>
      <c r="F51" s="17" t="s">
        <v>263</v>
      </c>
    </row>
    <row r="52" spans="1:6" ht="64" customHeight="1" x14ac:dyDescent="0.35">
      <c r="A52" s="16" t="s">
        <v>353</v>
      </c>
      <c r="B52" s="16" t="s">
        <v>244</v>
      </c>
      <c r="C52" s="16" t="s">
        <v>245</v>
      </c>
      <c r="D52" s="16" t="s">
        <v>246</v>
      </c>
      <c r="E52" s="16" t="s">
        <v>247</v>
      </c>
      <c r="F52" s="16" t="s">
        <v>248</v>
      </c>
    </row>
    <row r="53" spans="1:6" ht="64" customHeight="1" x14ac:dyDescent="0.35">
      <c r="A53" s="17" t="s">
        <v>353</v>
      </c>
      <c r="B53" s="17" t="s">
        <v>249</v>
      </c>
      <c r="C53" s="17" t="s">
        <v>250</v>
      </c>
      <c r="D53" s="17" t="s">
        <v>251</v>
      </c>
      <c r="E53" s="17" t="s">
        <v>252</v>
      </c>
      <c r="F53" s="17" t="s">
        <v>253</v>
      </c>
    </row>
    <row r="54" spans="1:6" ht="64" customHeight="1" x14ac:dyDescent="0.35">
      <c r="A54" s="16" t="s">
        <v>353</v>
      </c>
      <c r="B54" s="16" t="s">
        <v>354</v>
      </c>
      <c r="C54" s="16" t="s">
        <v>250</v>
      </c>
      <c r="D54" s="16" t="s">
        <v>261</v>
      </c>
      <c r="E54" s="16" t="s">
        <v>355</v>
      </c>
      <c r="F54" s="16" t="s">
        <v>356</v>
      </c>
    </row>
    <row r="55" spans="1:6" ht="64" customHeight="1" x14ac:dyDescent="0.35">
      <c r="A55" s="17" t="s">
        <v>353</v>
      </c>
      <c r="B55" s="17" t="s">
        <v>328</v>
      </c>
      <c r="C55" s="17" t="s">
        <v>250</v>
      </c>
      <c r="D55" s="17" t="s">
        <v>251</v>
      </c>
      <c r="E55" s="17" t="s">
        <v>329</v>
      </c>
      <c r="F55" s="17" t="s">
        <v>330</v>
      </c>
    </row>
    <row r="56" spans="1:6" ht="64" customHeight="1" x14ac:dyDescent="0.35">
      <c r="A56" s="16" t="s">
        <v>353</v>
      </c>
      <c r="B56" s="16" t="s">
        <v>331</v>
      </c>
      <c r="C56" s="16" t="s">
        <v>250</v>
      </c>
      <c r="D56" s="16" t="s">
        <v>308</v>
      </c>
      <c r="E56" s="16" t="s">
        <v>332</v>
      </c>
      <c r="F56" s="16" t="s">
        <v>333</v>
      </c>
    </row>
    <row r="57" spans="1:6" ht="64" customHeight="1" x14ac:dyDescent="0.35">
      <c r="A57" s="17" t="s">
        <v>353</v>
      </c>
      <c r="B57" s="17" t="s">
        <v>337</v>
      </c>
      <c r="C57" s="17" t="s">
        <v>245</v>
      </c>
      <c r="D57" s="17" t="s">
        <v>265</v>
      </c>
      <c r="E57" s="17" t="s">
        <v>357</v>
      </c>
      <c r="F57" s="17" t="s">
        <v>358</v>
      </c>
    </row>
    <row r="58" spans="1:6" ht="64" customHeight="1" x14ac:dyDescent="0.35">
      <c r="A58" s="16" t="s">
        <v>353</v>
      </c>
      <c r="B58" s="16" t="s">
        <v>340</v>
      </c>
      <c r="C58" s="16" t="s">
        <v>245</v>
      </c>
      <c r="D58" s="16" t="s">
        <v>265</v>
      </c>
      <c r="E58" s="16" t="s">
        <v>359</v>
      </c>
      <c r="F58" s="16" t="s">
        <v>360</v>
      </c>
    </row>
    <row r="59" spans="1:6" ht="64" customHeight="1" x14ac:dyDescent="0.35">
      <c r="A59" s="17" t="s">
        <v>353</v>
      </c>
      <c r="B59" s="17" t="s">
        <v>361</v>
      </c>
      <c r="C59" s="17" t="s">
        <v>245</v>
      </c>
      <c r="D59" s="17" t="s">
        <v>362</v>
      </c>
      <c r="E59" s="17" t="s">
        <v>363</v>
      </c>
      <c r="F59" s="17" t="s">
        <v>364</v>
      </c>
    </row>
    <row r="60" spans="1:6" ht="64" customHeight="1" x14ac:dyDescent="0.35">
      <c r="A60" s="16" t="s">
        <v>353</v>
      </c>
      <c r="B60" s="16" t="s">
        <v>343</v>
      </c>
      <c r="C60" s="16" t="s">
        <v>245</v>
      </c>
      <c r="D60" s="16" t="s">
        <v>287</v>
      </c>
      <c r="E60" s="16" t="s">
        <v>365</v>
      </c>
      <c r="F60" s="16" t="s">
        <v>366</v>
      </c>
    </row>
    <row r="61" spans="1:6" ht="64" customHeight="1" x14ac:dyDescent="0.35">
      <c r="A61" s="17" t="s">
        <v>353</v>
      </c>
      <c r="B61" s="17" t="s">
        <v>290</v>
      </c>
      <c r="C61" s="17" t="s">
        <v>245</v>
      </c>
      <c r="D61" s="17" t="s">
        <v>265</v>
      </c>
      <c r="E61" s="17" t="s">
        <v>367</v>
      </c>
      <c r="F61" s="17" t="s">
        <v>368</v>
      </c>
    </row>
    <row r="62" spans="1:6" ht="64" customHeight="1" x14ac:dyDescent="0.35">
      <c r="A62" s="16" t="s">
        <v>353</v>
      </c>
      <c r="B62" s="16" t="s">
        <v>293</v>
      </c>
      <c r="C62" s="16" t="s">
        <v>245</v>
      </c>
      <c r="D62" s="16" t="s">
        <v>265</v>
      </c>
      <c r="E62" s="16" t="s">
        <v>369</v>
      </c>
      <c r="F62" s="16" t="s">
        <v>370</v>
      </c>
    </row>
    <row r="63" spans="1:6" ht="64" customHeight="1" x14ac:dyDescent="0.35">
      <c r="A63" s="17" t="s">
        <v>353</v>
      </c>
      <c r="B63" s="17" t="s">
        <v>371</v>
      </c>
      <c r="C63" s="17" t="s">
        <v>245</v>
      </c>
      <c r="D63" s="17" t="s">
        <v>362</v>
      </c>
      <c r="E63" s="17" t="s">
        <v>372</v>
      </c>
      <c r="F63" s="17" t="s">
        <v>373</v>
      </c>
    </row>
    <row r="64" spans="1:6" ht="64" customHeight="1" x14ac:dyDescent="0.35">
      <c r="A64" s="16" t="s">
        <v>353</v>
      </c>
      <c r="B64" s="16" t="s">
        <v>296</v>
      </c>
      <c r="C64" s="16" t="s">
        <v>245</v>
      </c>
      <c r="D64" s="16" t="s">
        <v>287</v>
      </c>
      <c r="E64" s="16" t="s">
        <v>374</v>
      </c>
      <c r="F64" s="16" t="s">
        <v>375</v>
      </c>
    </row>
    <row r="65" spans="1:6" ht="64" customHeight="1" x14ac:dyDescent="0.35">
      <c r="A65" s="17" t="s">
        <v>353</v>
      </c>
      <c r="B65" s="17" t="s">
        <v>315</v>
      </c>
      <c r="C65" s="17" t="s">
        <v>250</v>
      </c>
      <c r="D65" s="17" t="s">
        <v>316</v>
      </c>
      <c r="E65" s="17" t="s">
        <v>317</v>
      </c>
      <c r="F65" s="17" t="s">
        <v>318</v>
      </c>
    </row>
    <row r="66" spans="1:6" ht="64" customHeight="1" x14ac:dyDescent="0.35">
      <c r="A66" s="16" t="s">
        <v>353</v>
      </c>
      <c r="B66" s="16" t="s">
        <v>319</v>
      </c>
      <c r="C66" s="16" t="s">
        <v>250</v>
      </c>
      <c r="D66" s="16" t="s">
        <v>320</v>
      </c>
      <c r="E66" s="16" t="s">
        <v>321</v>
      </c>
      <c r="F66" s="16" t="s">
        <v>322</v>
      </c>
    </row>
    <row r="67" spans="1:6" ht="64" customHeight="1" x14ac:dyDescent="0.35">
      <c r="A67" s="17" t="s">
        <v>353</v>
      </c>
      <c r="B67" s="17" t="s">
        <v>323</v>
      </c>
      <c r="C67" s="17" t="s">
        <v>245</v>
      </c>
      <c r="D67" s="17" t="s">
        <v>324</v>
      </c>
      <c r="E67" s="17" t="s">
        <v>325</v>
      </c>
      <c r="F67" s="17" t="s">
        <v>326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County annual</vt:lpstr>
      <vt:lpstr>By structure</vt:lpstr>
      <vt:lpstr>Sources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Hall</cp:lastModifiedBy>
  <dcterms:modified xsi:type="dcterms:W3CDTF">2026-10-02T21:08:51Z</dcterms:modified>
</cp:coreProperties>
</file>